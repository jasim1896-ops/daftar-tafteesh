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طريقة الاستخدام" sheetId="1" state="visible" r:id="rId1"/>
    <sheet xmlns:r="http://schemas.openxmlformats.org/officeDocument/2006/relationships" name="سجل الزيارات" sheetId="2" state="visible" r:id="rId2"/>
    <sheet xmlns:r="http://schemas.openxmlformats.org/officeDocument/2006/relationships" name="التقرير الأسبوعي" sheetId="3" state="visible" r:id="rId3"/>
    <sheet xmlns:r="http://schemas.openxmlformats.org/officeDocument/2006/relationships" name="التقرير الشهري" sheetId="4" state="visible" r:id="rId4"/>
    <sheet xmlns:r="http://schemas.openxmlformats.org/officeDocument/2006/relationships" name="التقرير الدوري" sheetId="5" state="visible" r:id="rId5"/>
    <sheet xmlns:r="http://schemas.openxmlformats.org/officeDocument/2006/relationships" name="الإعدادات" sheetId="6" state="visible" r:id="rId6"/>
  </sheets>
  <definedNames>
    <definedName name="InspectorName">'الإعدادات'!$B$3</definedName>
    <definedName name="OrgName">'الإعدادات'!$B$4</definedName>
    <definedName name="SectorName">'الإعدادات'!$B$5</definedName>
    <definedName name="PhotoDir">'الإعدادات'!$B$6</definedName>
    <definedName name="AreaHdr">'الإعدادات'!$A$11:$J$11</definedName>
    <definedName name="SitesTop">'الإعدادات'!$A$12</definedName>
    <definedName name="AreaList">OFFSET('الإعدادات'!$A$11,0,0,1,COUNTA('الإعدادات'!$A$11:$J$11))</definedName>
    <definedName name="TypeList">OFFSET('الإعدادات'!$L$12,0,0,COUNTA('الإعدادات'!$L$12:$L$26),1)</definedName>
    <definedName name="ActionList">'الإعدادات'!$N$12:$N$14</definedName>
    <definedName name="MonthList">'الإعدادات'!$P$12:$P$23</definedName>
    <definedName name="PeriodList">'الإعدادات'!$R$12:$R$18</definedName>
    <definedName name="PeriodTbl">'الإعدادات'!$R$12:$T$18</definedName>
    <definedName name="L_Date">'سجل الزيارات'!$B$5:$B$1504</definedName>
    <definedName name="L_Area">'سجل الزيارات'!$C$5:$C$1504</definedName>
    <definedName name="L_Site">'سجل الزيارات'!$D$5:$D$1504</definedName>
    <definedName name="L_Arr">'سجل الزيارات'!$E$5:$E$1504</definedName>
    <definedName name="L_Type">'سجل الزيارات'!$G$5:$G$1504</definedName>
    <definedName name="L_Desc">'سجل الزيارات'!$H$5:$H$1504</definedName>
    <definedName name="L_Act">'سجل الزيارات'!$I$5:$I$1504</definedName>
    <definedName name="L_Pics">'سجل الزيارات'!$J$5:$J$1504</definedName>
    <definedName name="L_Month">'سجل الزيارات'!$Q$5:$Q$1504</definedName>
    <definedName name="L_Year">'سجل الزيارات'!$R$5:$R$1504</definedName>
    <definedName name="L_Week">'سجل الزيارات'!$S$5:$S$1504</definedName>
    <definedName name="L_NewVisit">'سجل الزيارات'!$T$5:$T$1504</definedName>
    <definedName name="L_NewArea">'سجل الزيارات'!$U$5:$U$1504</definedName>
    <definedName name="L_Obs">'سجل الزيارات'!$V$5:$V$1504</definedName>
    <definedName name="L_Viol">'سجل الزيارات'!$W$5:$W$1504</definedName>
    <definedName name="L_WIdx">'سجل الزيارات'!$X$5:$X$1504</definedName>
    <definedName name="WkStart">'التقرير الأسبوعي'!$D$5</definedName>
    <definedName name="_xlnm._FilterDatabase" localSheetId="1" hidden="1">'سجل الزيارات'!$A$4:$P$1504</definedName>
    <definedName name="_xlnm.Print_Area" localSheetId="2">'التقرير الأسبوعي'!$B$1:$I$83</definedName>
    <definedName name="_xlnm.Print_Area" localSheetId="3">'التقرير الشهري'!$B$1:$I$66</definedName>
    <definedName name="_xlnm.Print_Area" localSheetId="4">'التقرير الدوري'!$B$1:$I$94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hh:mm"/>
    <numFmt numFmtId="166" formatCode="0.000000"/>
    <numFmt numFmtId="167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222222"/>
      <sz val="11"/>
    </font>
    <font>
      <name val="Arial"/>
      <color rgb="001A3FA8"/>
      <sz val="11"/>
    </font>
    <font>
      <name val="Arial"/>
      <b val="1"/>
      <color rgb="001E5B3C"/>
      <sz val="12"/>
    </font>
    <font>
      <name val="Arial"/>
      <b val="1"/>
      <color rgb="00FFFFFF"/>
      <sz val="11"/>
    </font>
    <font>
      <name val="Arial"/>
      <color rgb="001A3FA8"/>
      <sz val="10"/>
    </font>
    <font>
      <name val="Arial"/>
      <color rgb="00777777"/>
      <sz val="9"/>
    </font>
    <font>
      <name val="Arial"/>
      <color rgb="00222222"/>
      <sz val="10"/>
    </font>
    <font>
      <name val="Arial"/>
      <color rgb="00555555"/>
      <sz val="10"/>
    </font>
    <font>
      <name val="Arial"/>
      <b val="1"/>
      <color rgb="00777777"/>
      <sz val="9"/>
    </font>
    <font>
      <name val="Arial"/>
      <b val="1"/>
      <color rgb="00333333"/>
      <sz val="11"/>
    </font>
    <font>
      <name val="Arial"/>
      <color rgb="00888888"/>
      <sz val="9"/>
    </font>
    <font>
      <name val="Arial"/>
      <color rgb="001565C0"/>
      <sz val="10"/>
    </font>
    <font>
      <name val="Arial"/>
      <b val="1"/>
      <color rgb="00FFFFFF"/>
      <sz val="18"/>
    </font>
    <font>
      <name val="Arial"/>
      <b val="1"/>
      <color rgb="001E5B3C"/>
      <sz val="11"/>
    </font>
    <font>
      <name val="Arial"/>
      <b val="1"/>
      <color rgb="001A3FA8"/>
      <sz val="12"/>
    </font>
    <font>
      <name val="Arial"/>
      <b val="1"/>
      <color rgb="00FFFFFF"/>
      <sz val="10"/>
    </font>
    <font>
      <name val="Arial"/>
      <b val="1"/>
      <color rgb="001E5B3C"/>
      <sz val="22"/>
    </font>
    <font>
      <name val="Arial"/>
      <b val="1"/>
      <color rgb="00C77700"/>
      <sz val="22"/>
    </font>
    <font>
      <name val="Arial"/>
      <b val="1"/>
      <color rgb="00B3261E"/>
      <sz val="22"/>
    </font>
    <font>
      <name val="Arial"/>
      <b val="1"/>
      <color rgb="008A5A00"/>
      <sz val="22"/>
    </font>
    <font>
      <name val="Arial"/>
      <b val="1"/>
      <color rgb="002E6E8E"/>
      <sz val="22"/>
    </font>
    <font>
      <name val="Arial"/>
      <color rgb="00BBBBBB"/>
      <sz val="9"/>
    </font>
    <font>
      <name val="Arial"/>
      <b val="1"/>
      <color rgb="001E5B3C"/>
      <sz val="13"/>
    </font>
    <font>
      <name val="Arial"/>
      <b val="1"/>
      <color rgb="002E7D52"/>
      <sz val="12"/>
    </font>
    <font>
      <name val="Arial"/>
      <color rgb="00222222"/>
      <sz val="11"/>
    </font>
  </fonts>
  <fills count="17">
    <fill>
      <patternFill/>
    </fill>
    <fill>
      <patternFill patternType="gray125"/>
    </fill>
    <fill>
      <patternFill patternType="solid">
        <fgColor rgb="001E5B3C"/>
      </patternFill>
    </fill>
    <fill>
      <patternFill patternType="solid">
        <fgColor rgb="00E9F3EC"/>
      </patternFill>
    </fill>
    <fill>
      <patternFill patternType="solid">
        <fgColor rgb="00FFF9DB"/>
      </patternFill>
    </fill>
    <fill>
      <patternFill patternType="solid">
        <fgColor rgb="002E7D52"/>
      </patternFill>
    </fill>
    <fill>
      <patternFill patternType="solid">
        <fgColor rgb="00FFFFFF"/>
      </patternFill>
    </fill>
    <fill>
      <patternFill patternType="solid">
        <fgColor rgb="00B0BEC5"/>
      </patternFill>
    </fill>
    <fill>
      <patternFill patternType="solid">
        <fgColor rgb="00CFD8DC"/>
      </patternFill>
    </fill>
    <fill>
      <patternFill patternType="solid">
        <fgColor rgb="00ECEFF1"/>
      </patternFill>
    </fill>
    <fill>
      <patternFill patternType="solid">
        <fgColor rgb="00F5F7F8"/>
      </patternFill>
    </fill>
    <fill>
      <patternFill patternType="solid">
        <fgColor rgb="00F7F1E3"/>
      </patternFill>
    </fill>
    <fill>
      <patternFill patternType="solid">
        <fgColor rgb="00C77700"/>
      </patternFill>
    </fill>
    <fill>
      <patternFill patternType="solid">
        <fgColor rgb="00B3261E"/>
      </patternFill>
    </fill>
    <fill>
      <patternFill patternType="solid">
        <fgColor rgb="008A5A00"/>
      </patternFill>
    </fill>
    <fill>
      <patternFill patternType="solid">
        <fgColor rgb="002E6E8E"/>
      </patternFill>
    </fill>
    <fill>
      <patternFill patternType="solid">
        <fgColor rgb="00F6FAF7"/>
      </patternFill>
    </fill>
  </fills>
  <borders count="6">
    <border>
      <left/>
      <right/>
      <top/>
      <bottom/>
      <diagonal/>
    </border>
    <border>
      <left style="thin">
        <color rgb="00C9D3CC"/>
      </left>
      <right style="thin">
        <color rgb="00C9D3CC"/>
      </right>
      <top style="thin">
        <color rgb="00C9D3CC"/>
      </top>
      <bottom style="thin">
        <color rgb="00C9D3CC"/>
      </bottom>
    </border>
    <border>
      <left/>
      <right/>
      <top style="thin">
        <color rgb="00C9D3CC"/>
      </top>
      <bottom/>
      <diagonal/>
    </border>
    <border>
      <left/>
      <right style="thin">
        <color rgb="00C9D3CC"/>
      </right>
      <top style="thin">
        <color rgb="00C9D3CC"/>
      </top>
      <bottom/>
      <diagonal/>
    </border>
    <border>
      <left/>
      <right style="thin">
        <color rgb="00C9D3CC"/>
      </right>
      <top style="thin">
        <color rgb="00C9D3CC"/>
      </top>
      <bottom style="thin">
        <color rgb="00C9D3CC"/>
      </bottom>
      <diagonal/>
    </border>
    <border>
      <left/>
      <right/>
      <top style="thin">
        <color rgb="00C9D3CC"/>
      </top>
      <bottom style="thin">
        <color rgb="00C9D3CC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4" fillId="2" borderId="0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right" vertical="center" wrapText="1"/>
    </xf>
    <xf numFmtId="0" fontId="2" fillId="0" borderId="0" pivotButton="0" quotePrefix="0" xfId="0"/>
    <xf numFmtId="0" fontId="0" fillId="4" borderId="1" pivotButton="0" quotePrefix="0" xfId="0"/>
    <xf numFmtId="0" fontId="8" fillId="0" borderId="0" applyAlignment="1" pivotButton="0" quotePrefix="0" xfId="0">
      <alignment horizontal="right" vertical="center" wrapText="1"/>
    </xf>
    <xf numFmtId="0" fontId="0" fillId="5" borderId="1" pivotButton="0" quotePrefix="0" xfId="0"/>
    <xf numFmtId="0" fontId="0" fillId="7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right" vertical="center" wrapText="1"/>
    </xf>
    <xf numFmtId="165" fontId="8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right" vertical="center" wrapText="1"/>
    </xf>
    <xf numFmtId="0" fontId="8" fillId="10" borderId="1" applyAlignment="1" pivotButton="0" quotePrefix="0" xfId="0">
      <alignment horizontal="right" vertical="center" wrapText="1"/>
    </xf>
    <xf numFmtId="0" fontId="13" fillId="10" borderId="1" applyAlignment="1" pivotButton="0" quotePrefix="0" xfId="0">
      <alignment horizontal="right" vertical="center" wrapText="1"/>
    </xf>
    <xf numFmtId="0" fontId="12" fillId="9" borderId="1" applyAlignment="1" pivotButton="0" quotePrefix="0" xfId="0">
      <alignment horizontal="center" vertical="center" wrapText="1"/>
    </xf>
    <xf numFmtId="164" fontId="12" fillId="9" borderId="1" applyAlignment="1" pivotButton="0" quotePrefix="0" xfId="0">
      <alignment horizontal="center" vertical="center" wrapText="1"/>
    </xf>
    <xf numFmtId="0" fontId="15" fillId="11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 wrapText="1"/>
    </xf>
    <xf numFmtId="164" fontId="1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164" fontId="15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0" fontId="17" fillId="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right" vertical="center" wrapText="1"/>
    </xf>
    <xf numFmtId="0" fontId="1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164" fontId="8" fillId="16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8" fillId="6" borderId="1" applyAlignment="1" pivotButton="0" quotePrefix="0" xfId="0">
      <alignment horizontal="right" vertical="center" wrapText="1"/>
    </xf>
    <xf numFmtId="9" fontId="8" fillId="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right" vertical="center" wrapText="1"/>
    </xf>
    <xf numFmtId="9" fontId="8" fillId="16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165" fontId="8" fillId="16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3" fillId="4" borderId="1" applyAlignment="1" pivotButton="0" quotePrefix="0" xfId="0">
      <alignment horizontal="right" vertical="top" wrapText="1"/>
    </xf>
    <xf numFmtId="0" fontId="16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23" fillId="0" borderId="0" pivotButton="0" quotePrefix="0" xfId="0"/>
    <xf numFmtId="164" fontId="23" fillId="0" borderId="0" pivotButton="0" quotePrefix="0" xfId="0"/>
    <xf numFmtId="0" fontId="2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7" fillId="0" borderId="0" pivotButton="0" quotePrefix="0" xfId="0"/>
    <xf numFmtId="0" fontId="5" fillId="5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5">
    <dxf>
      <font>
        <name val="Arial"/>
        <b val="1"/>
        <color rgb="00B3261E"/>
      </font>
      <fill>
        <patternFill patternType="solid">
          <fgColor rgb="00FDE2E1"/>
        </patternFill>
      </fill>
    </dxf>
    <dxf>
      <font>
        <name val="Arial"/>
        <color rgb="008A5A00"/>
      </font>
      <fill>
        <patternFill patternType="solid">
          <fgColor rgb="00FFF1D6"/>
        </patternFill>
      </fill>
    </dxf>
    <dxf>
      <font>
        <name val="Arial"/>
        <color rgb="001E5B3C"/>
      </font>
      <fill>
        <patternFill patternType="solid">
          <fgColor rgb="00E3F2E8"/>
        </patternFill>
      </fill>
    </dxf>
    <dxf>
      <fill>
        <patternFill patternType="solid">
          <fgColor rgb="00F3E5F5"/>
        </patternFill>
      </fill>
    </dxf>
    <dxf>
      <font>
        <name val="Arial"/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المشاهدات حسب النوع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'التقرير الشهري'!F35</f>
            </strRef>
          </tx>
          <spPr>
            <a:solidFill xmlns:a="http://schemas.openxmlformats.org/drawingml/2006/main">
              <a:srgbClr val="C77700"/>
            </a:solidFill>
            <a:ln xmlns:a="http://schemas.openxmlformats.org/drawingml/2006/main">
              <a:prstDash val="solid"/>
            </a:ln>
          </spPr>
          <cat>
            <numRef>
              <f>'التقرير الشهري'!$B$36:$B$45</f>
            </numRef>
          </cat>
          <val>
            <numRef>
              <f>'التقرير الشهري'!$F$36:$F$45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المشاهدات والمخالفات حسب الشهر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'التقرير الدوري'!E12</f>
            </strRef>
          </tx>
          <spPr>
            <a:solidFill xmlns:a="http://schemas.openxmlformats.org/drawingml/2006/main">
              <a:srgbClr val="C77700"/>
            </a:solidFill>
            <a:ln xmlns:a="http://schemas.openxmlformats.org/drawingml/2006/main">
              <a:prstDash val="solid"/>
            </a:ln>
          </spPr>
          <cat>
            <numRef>
              <f>'التقرير الدوري'!$B$13:$B$24</f>
            </numRef>
          </cat>
          <val>
            <numRef>
              <f>'التقرير الدوري'!$E$13:$E$24</f>
            </numRef>
          </val>
        </ser>
        <ser>
          <idx val="1"/>
          <order val="1"/>
          <tx>
            <strRef>
              <f>'التقرير الدوري'!F12</f>
            </strRef>
          </tx>
          <spPr>
            <a:solidFill xmlns:a="http://schemas.openxmlformats.org/drawingml/2006/main">
              <a:srgbClr val="B3261E"/>
            </a:solidFill>
            <a:ln xmlns:a="http://schemas.openxmlformats.org/drawingml/2006/main">
              <a:prstDash val="solid"/>
            </a:ln>
          </spPr>
          <cat>
            <numRef>
              <f>'التقرير الدوري'!$B$13:$B$24</f>
            </numRef>
          </cat>
          <val>
            <numRef>
              <f>'التقرير الدوري'!$F$13:$F$24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المشاهدات حسب النوع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'التقرير الدوري'!F58</f>
            </strRef>
          </tx>
          <spPr>
            <a:solidFill xmlns:a="http://schemas.openxmlformats.org/drawingml/2006/main">
              <a:srgbClr val="C77700"/>
            </a:solidFill>
            <a:ln xmlns:a="http://schemas.openxmlformats.org/drawingml/2006/main">
              <a:prstDash val="solid"/>
            </a:ln>
          </spPr>
          <cat>
            <numRef>
              <f>'التقرير الدوري'!$B$59:$B$68</f>
            </numRef>
          </cat>
          <val>
            <numRef>
              <f>'التقرير الدوري'!$F$59:$F$68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46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26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69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2"/>
  <sheetViews>
    <sheetView showGridLines="0" rightToLeft="1" tabSelected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95" customWidth="1" min="3" max="3"/>
  </cols>
  <sheetData>
    <row r="1" ht="36" customHeight="1">
      <c r="B1" s="1" t="inlineStr">
        <is>
          <t>سجل التفتيش البيئي — طريقة الاستخدام</t>
        </is>
      </c>
      <c r="C1" s="1" t="n"/>
    </row>
    <row r="3" ht="26" customHeight="1">
      <c r="B3" s="2" t="inlineStr">
        <is>
          <t>فكرة الملف</t>
        </is>
      </c>
      <c r="C3" s="2" t="n"/>
    </row>
    <row r="4" ht="36" customHeight="1">
      <c r="B4" s="3" t="inlineStr">
        <is>
          <t>١</t>
        </is>
      </c>
      <c r="C4" s="4" t="inlineStr">
        <is>
          <t>كل صف في «سجل الزيارات» = مشاهدة واحدة في موقع واحد. لو في الموقع أكثر من مشاهدة، سجّل كل وحدة في صف بنفس التاريخ والموقع، والملف يحسبها زيارة واحدة تلقائيًا.</t>
        </is>
      </c>
    </row>
    <row r="5" ht="36" customHeight="1">
      <c r="B5" s="3" t="inlineStr">
        <is>
          <t>٢</t>
        </is>
      </c>
      <c r="C5" s="4" t="inlineStr">
        <is>
          <t>لو زرت موقع وما لقيت شيء، سجّل صف واحد ونوع المشاهدة «لا توجد مشاهدات» والإجراء «لا يوجد».</t>
        </is>
      </c>
    </row>
    <row r="6" ht="36" customHeight="1">
      <c r="B6" s="3" t="inlineStr">
        <is>
          <t>٣</t>
        </is>
      </c>
      <c r="C6" s="4" t="inlineStr">
        <is>
          <t>التقارير الأسبوعية والشهرية والدورية تُحسب كلها تلقائيًا من السجل — ما تكتب فيها شيء غير الخانات الصفراء (التاريخ أو الشهر أو الفترة).</t>
        </is>
      </c>
    </row>
    <row r="7" ht="26" customHeight="1">
      <c r="B7" s="2" t="inlineStr">
        <is>
          <t>الإدخال</t>
        </is>
      </c>
      <c r="C7" s="2" t="n"/>
    </row>
    <row r="8" ht="36" customHeight="1">
      <c r="B8" s="3" t="inlineStr">
        <is>
          <t>٤</t>
        </is>
      </c>
      <c r="C8" s="4" t="inlineStr">
        <is>
          <t>عبّئ الأعمدة الخضراء: التاريخ، المنطقة، الموقع، الأوقات، نوع المشاهدة، الوصف، الإجراء، عدد الصور، الإحداثيات، الملاحظات.</t>
        </is>
      </c>
    </row>
    <row r="9" ht="36" customHeight="1">
      <c r="B9" s="3" t="inlineStr">
        <is>
          <t>٥</t>
        </is>
      </c>
      <c r="C9" s="4" t="inlineStr">
        <is>
          <t>المنطقة والموقع ونوع المشاهدة والإجراء كلها قوائم تختار منها. قائمة المواقع تتغير حسب المنطقة اللي اخترتها.</t>
        </is>
      </c>
    </row>
    <row r="10" ht="36" customHeight="1">
      <c r="B10" s="3" t="inlineStr">
        <is>
          <t>٦</t>
        </is>
      </c>
      <c r="C10" s="4" t="inlineStr">
        <is>
          <t>من التطبيق: اضغط «تصدير»، افتح ملف الإكسل اللي يطلعه، انسخ الصفوف، والصقها في أول صف فاضي في السجل ابتداءً من عمود «التاريخ» (لصق قيم فقط).</t>
        </is>
      </c>
    </row>
    <row r="11" ht="26" customHeight="1">
      <c r="B11" s="2" t="inlineStr">
        <is>
          <t>الصور</t>
        </is>
      </c>
      <c r="C11" s="2" t="n"/>
    </row>
    <row r="12" ht="36" customHeight="1">
      <c r="B12" s="3" t="inlineStr">
        <is>
          <t>٧</t>
        </is>
      </c>
      <c r="C12" s="4" t="inlineStr">
        <is>
          <t>الصور ما تنحط داخل الإكسل عشان الملف ما يثقل. تكون في فولدر اسمه «الصور» بجانب ملف الإكسل، وداخله فولدر لكل زيارة باسم: التاريخ_الموقع (مثال: 2026-10-26_الثروانية).</t>
        </is>
      </c>
    </row>
    <row r="13" ht="36" customHeight="1">
      <c r="B13" s="3" t="inlineStr">
        <is>
          <t>٨</t>
        </is>
      </c>
      <c r="C13" s="4" t="inlineStr">
        <is>
          <t>عمود «الصور» في السجل فيه رابط يفتح فولدر الزيارة مباشرة، وعمود «الخريطة» يفتح موقع الزيارة على خرائط جوجل.</t>
        </is>
      </c>
    </row>
    <row r="14" ht="26" customHeight="1">
      <c r="B14" s="2" t="inlineStr">
        <is>
          <t>الإعدادات</t>
        </is>
      </c>
      <c r="C14" s="2" t="n"/>
    </row>
    <row r="15" ht="36" customHeight="1">
      <c r="B15" s="3" t="inlineStr">
        <is>
          <t>٩</t>
        </is>
      </c>
      <c r="C15" s="4" t="inlineStr">
        <is>
          <t>في شيت «الإعدادات» تقدر تغيّر اسم المفتش والجهة، وتضيف مواقع أو مناطق أو أنواع مشاهدات جديدة في الخانات الصفراء — وتظهر فورًا في القوائم والتقارير.</t>
        </is>
      </c>
    </row>
    <row r="16" ht="26" customHeight="1">
      <c r="B16" s="2" t="inlineStr">
        <is>
          <t>قبل البدء</t>
        </is>
      </c>
      <c r="C16" s="2" t="n"/>
    </row>
    <row r="17" ht="36" customHeight="1">
      <c r="B17" s="3" t="inlineStr">
        <is>
          <t>١٠</t>
        </is>
      </c>
      <c r="C17" s="4" t="inlineStr">
        <is>
          <t>في السجل ٥ صفوف تجريبية ملوّنة بالبنفسجي عشان تشوف شكل التقارير. احذف محتواها (من عمود التاريخ إلى الملاحظات) قبل ما تبدأ التسجيل الفعلي.</t>
        </is>
      </c>
    </row>
    <row r="19">
      <c r="B19" s="5" t="inlineStr">
        <is>
          <t>مفتاح الألوان:</t>
        </is>
      </c>
    </row>
    <row r="20">
      <c r="B20" s="6" t="n"/>
      <c r="C20" s="7" t="inlineStr">
        <is>
          <t>خانة تكتب فيها أنت</t>
        </is>
      </c>
    </row>
    <row r="21">
      <c r="B21" s="8" t="n"/>
      <c r="C21" s="7" t="inlineStr">
        <is>
          <t>عمود إدخال في السجل</t>
        </is>
      </c>
    </row>
    <row r="22">
      <c r="B22" s="9" t="n"/>
      <c r="C22" s="7" t="inlineStr">
        <is>
          <t>عمود يُحسب تلقائيًا</t>
        </is>
      </c>
    </row>
  </sheetData>
  <mergeCells count="7">
    <mergeCell ref="B16:C16"/>
    <mergeCell ref="B7:C7"/>
    <mergeCell ref="B11:C11"/>
    <mergeCell ref="B3:C3"/>
    <mergeCell ref="B19:C19"/>
    <mergeCell ref="B14:C14"/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04"/>
  <sheetViews>
    <sheetView showGridLines="0" rightToLeft="1" tabSelected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8" customWidth="1" min="4" max="4"/>
    <col width="10" customWidth="1" min="5" max="5"/>
    <col width="10" customWidth="1" min="6" max="6"/>
    <col width="24" customWidth="1" min="7" max="7"/>
    <col width="44" customWidth="1" min="8" max="8"/>
    <col width="16" customWidth="1" min="9" max="9"/>
    <col width="9" customWidth="1" min="10" max="10"/>
    <col width="11" customWidth="1" min="11" max="11"/>
    <col width="11" customWidth="1" min="12" max="12"/>
    <col width="26" customWidth="1" min="13" max="13"/>
    <col width="10" customWidth="1" min="14" max="14"/>
    <col width="12" customWidth="1" min="15" max="15"/>
    <col width="14" customWidth="1" min="16" max="16"/>
    <col hidden="1" width="7" customWidth="1" min="17" max="17"/>
    <col hidden="1" width="7" customWidth="1" min="18" max="18"/>
    <col hidden="1" width="11" customWidth="1" min="19" max="19"/>
    <col hidden="1" width="7" customWidth="1" min="20" max="20"/>
    <col hidden="1" width="7" customWidth="1" min="21" max="21"/>
    <col hidden="1" width="7" customWidth="1" min="22" max="22"/>
    <col hidden="1" width="7" customWidth="1" min="23" max="23"/>
    <col hidden="1" width="7" customWidth="1" min="24" max="24"/>
  </cols>
  <sheetData>
    <row r="1">
      <c r="A1" s="10" t="inlineStr">
        <is>
          <t>سجل الزيارات التفتيشية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</row>
    <row r="2">
      <c r="A2" s="11" t="inlineStr">
        <is>
          <t>الأعمدة الخضراء تُعبّأ (يدويًا أو بلصق ما يصدّره التطبيق ابتداءً من عمود التاريخ). الأعمدة الرمادية تُحسب تلقائيًا ولا تحتاج تعديل.</t>
        </is>
      </c>
    </row>
    <row r="3">
      <c r="Q3" s="12" t="inlineStr">
        <is>
          <t>أعمدة مساعدة — لا تعدّلها</t>
        </is>
      </c>
    </row>
    <row r="4" ht="32" customHeight="1">
      <c r="A4" s="13" t="inlineStr">
        <is>
          <t>م</t>
        </is>
      </c>
      <c r="B4" s="14" t="inlineStr">
        <is>
          <t>التاريخ</t>
        </is>
      </c>
      <c r="C4" s="14" t="inlineStr">
        <is>
          <t>المنطقة</t>
        </is>
      </c>
      <c r="D4" s="14" t="inlineStr">
        <is>
          <t>الموقع / المحضر</t>
        </is>
      </c>
      <c r="E4" s="14" t="inlineStr">
        <is>
          <t>وقت الوصول</t>
        </is>
      </c>
      <c r="F4" s="14" t="inlineStr">
        <is>
          <t>وقت المغادرة</t>
        </is>
      </c>
      <c r="G4" s="14" t="inlineStr">
        <is>
          <t>نوع المشاهدة</t>
        </is>
      </c>
      <c r="H4" s="14" t="inlineStr">
        <is>
          <t>وصف المشاهدة</t>
        </is>
      </c>
      <c r="I4" s="14" t="inlineStr">
        <is>
          <t>الإجراء</t>
        </is>
      </c>
      <c r="J4" s="14" t="inlineStr">
        <is>
          <t>عدد الصور</t>
        </is>
      </c>
      <c r="K4" s="14" t="inlineStr">
        <is>
          <t>خط العرض</t>
        </is>
      </c>
      <c r="L4" s="14" t="inlineStr">
        <is>
          <t>خط الطول</t>
        </is>
      </c>
      <c r="M4" s="14" t="inlineStr">
        <is>
          <t>ملاحظات</t>
        </is>
      </c>
      <c r="N4" s="13" t="inlineStr">
        <is>
          <t>اليوم</t>
        </is>
      </c>
      <c r="O4" s="13" t="inlineStr">
        <is>
          <t>الخريطة</t>
        </is>
      </c>
      <c r="P4" s="13" t="inlineStr">
        <is>
          <t>الصور</t>
        </is>
      </c>
      <c r="Q4" s="15" t="inlineStr">
        <is>
          <t>الشهر</t>
        </is>
      </c>
      <c r="R4" s="15" t="inlineStr">
        <is>
          <t>السنة</t>
        </is>
      </c>
      <c r="S4" s="15" t="inlineStr">
        <is>
          <t>بداية الأسبوع</t>
        </is>
      </c>
      <c r="T4" s="15" t="inlineStr">
        <is>
          <t>زيارة جديدة</t>
        </is>
      </c>
      <c r="U4" s="15" t="inlineStr">
        <is>
          <t>منطقة جديدة باليوم</t>
        </is>
      </c>
      <c r="V4" s="15" t="inlineStr">
        <is>
          <t>مشاهدة</t>
        </is>
      </c>
      <c r="W4" s="15" t="inlineStr">
        <is>
          <t>مخالفة</t>
        </is>
      </c>
      <c r="X4" s="15" t="inlineStr">
        <is>
          <t>ترتيب الأسبوع</t>
        </is>
      </c>
    </row>
    <row r="5">
      <c r="A5" s="16">
        <f>IF($B5="","",ROW()-4)</f>
        <v/>
      </c>
      <c r="B5" s="17" t="n"/>
      <c r="C5" s="18" t="n"/>
      <c r="D5" s="18" t="n"/>
      <c r="E5" s="19" t="n"/>
      <c r="F5" s="19" t="n"/>
      <c r="G5" s="18" t="n"/>
      <c r="H5" s="18" t="n"/>
      <c r="I5" s="18" t="n"/>
      <c r="J5" s="20" t="n"/>
      <c r="K5" s="21" t="n"/>
      <c r="L5" s="21" t="n"/>
      <c r="M5" s="18" t="n"/>
      <c r="N5" s="22">
        <f>IF($B5="","",CHOOSE(WEEKDAY($B5),"الأحد","الاثنين","الثلاثاء","الأربعاء","الخميس","الجمعة","السبت"))</f>
        <v/>
      </c>
      <c r="O5" s="23">
        <f>IF(OR($K5="",$L5=""),"",HYPERLINK("https://maps.google.com/?q="&amp;$K5&amp;","&amp;$L5,"عرض الموقع"))</f>
        <v/>
      </c>
      <c r="P5" s="23">
        <f>IF(OR($B5="",N($J5)=0),"",HYPERLINK(PhotoDir&amp;"/"&amp;YEAR($B5)&amp;"-"&amp;TEXT(MONTH($B5),"00")&amp;"-"&amp;TEXT(DAY($B5),"00")&amp;"_"&amp;$D5,"فتح الصور ("&amp;$J5&amp;")"))</f>
        <v/>
      </c>
      <c r="Q5" s="24">
        <f>IF($B5="","",MONTH($B5))</f>
        <v/>
      </c>
      <c r="R5" s="24">
        <f>IF($B5="","",YEAR($B5))</f>
        <v/>
      </c>
      <c r="S5" s="25">
        <f>IF($B5="","",$B5-WEEKDAY($B5,3))</f>
        <v/>
      </c>
      <c r="T5" s="24">
        <f>IF($B5="",0,IF(COUNTIFS($B$5:$B5,$B5,$D$5:$D5,$D5)=1,1,0))</f>
        <v/>
      </c>
      <c r="U5" s="24">
        <f>IF($B5="",0,IF(COUNTIFS($B$5:$B5,$B5,$C$5:$C5,$C5)=1,1,0))</f>
        <v/>
      </c>
      <c r="V5" s="24">
        <f>IF(OR($B5="",$G5="",$G5="لا توجد مشاهدات"),0,1)</f>
        <v/>
      </c>
      <c r="W5" s="24">
        <f>IF(AND($B5&lt;&gt;"",$I5="تم تحرير مخالفة"),1,0)</f>
        <v/>
      </c>
      <c r="X5" s="24">
        <f>IF($B5="","",IF($S5=WkStart,COUNTIF($S$5:$S5,WkStart),""))</f>
        <v/>
      </c>
    </row>
    <row r="6">
      <c r="A6" s="16">
        <f>IF($B6="","",ROW()-4)</f>
        <v/>
      </c>
      <c r="B6" s="17" t="n"/>
      <c r="C6" s="18" t="n"/>
      <c r="D6" s="18" t="n"/>
      <c r="E6" s="19" t="n"/>
      <c r="F6" s="19" t="n"/>
      <c r="G6" s="18" t="n"/>
      <c r="H6" s="18" t="n"/>
      <c r="I6" s="18" t="n"/>
      <c r="J6" s="20" t="n"/>
      <c r="K6" s="21" t="n"/>
      <c r="L6" s="21" t="n"/>
      <c r="M6" s="18" t="n"/>
      <c r="N6" s="22">
        <f>IF($B6="","",CHOOSE(WEEKDAY($B6),"الأحد","الاثنين","الثلاثاء","الأربعاء","الخميس","الجمعة","السبت"))</f>
        <v/>
      </c>
      <c r="O6" s="23">
        <f>IF(OR($K6="",$L6=""),"",HYPERLINK("https://maps.google.com/?q="&amp;$K6&amp;","&amp;$L6,"عرض الموقع"))</f>
        <v/>
      </c>
      <c r="P6" s="23">
        <f>IF(OR($B6="",N($J6)=0),"",HYPERLINK(PhotoDir&amp;"/"&amp;YEAR($B6)&amp;"-"&amp;TEXT(MONTH($B6),"00")&amp;"-"&amp;TEXT(DAY($B6),"00")&amp;"_"&amp;$D6,"فتح الصور ("&amp;$J6&amp;")"))</f>
        <v/>
      </c>
      <c r="Q6" s="24">
        <f>IF($B6="","",MONTH($B6))</f>
        <v/>
      </c>
      <c r="R6" s="24">
        <f>IF($B6="","",YEAR($B6))</f>
        <v/>
      </c>
      <c r="S6" s="25">
        <f>IF($B6="","",$B6-WEEKDAY($B6,3))</f>
        <v/>
      </c>
      <c r="T6" s="24">
        <f>IF($B6="",0,IF(COUNTIFS($B$5:$B6,$B6,$D$5:$D6,$D6)=1,1,0))</f>
        <v/>
      </c>
      <c r="U6" s="24">
        <f>IF($B6="",0,IF(COUNTIFS($B$5:$B6,$B6,$C$5:$C6,$C6)=1,1,0))</f>
        <v/>
      </c>
      <c r="V6" s="24">
        <f>IF(OR($B6="",$G6="",$G6="لا توجد مشاهدات"),0,1)</f>
        <v/>
      </c>
      <c r="W6" s="24">
        <f>IF(AND($B6&lt;&gt;"",$I6="تم تحرير مخالفة"),1,0)</f>
        <v/>
      </c>
      <c r="X6" s="24">
        <f>IF($B6="","",IF($S6=WkStart,COUNTIF($S$5:$S6,WkStart),""))</f>
        <v/>
      </c>
    </row>
    <row r="7">
      <c r="A7" s="16">
        <f>IF($B7="","",ROW()-4)</f>
        <v/>
      </c>
      <c r="B7" s="17" t="n"/>
      <c r="C7" s="18" t="n"/>
      <c r="D7" s="18" t="n"/>
      <c r="E7" s="19" t="n"/>
      <c r="F7" s="19" t="n"/>
      <c r="G7" s="18" t="n"/>
      <c r="H7" s="18" t="n"/>
      <c r="I7" s="18" t="n"/>
      <c r="J7" s="20" t="n"/>
      <c r="K7" s="21" t="n"/>
      <c r="L7" s="21" t="n"/>
      <c r="M7" s="18" t="n"/>
      <c r="N7" s="22">
        <f>IF($B7="","",CHOOSE(WEEKDAY($B7),"الأحد","الاثنين","الثلاثاء","الأربعاء","الخميس","الجمعة","السبت"))</f>
        <v/>
      </c>
      <c r="O7" s="23">
        <f>IF(OR($K7="",$L7=""),"",HYPERLINK("https://maps.google.com/?q="&amp;$K7&amp;","&amp;$L7,"عرض الموقع"))</f>
        <v/>
      </c>
      <c r="P7" s="23">
        <f>IF(OR($B7="",N($J7)=0),"",HYPERLINK(PhotoDir&amp;"/"&amp;YEAR($B7)&amp;"-"&amp;TEXT(MONTH($B7),"00")&amp;"-"&amp;TEXT(DAY($B7),"00")&amp;"_"&amp;$D7,"فتح الصور ("&amp;$J7&amp;")"))</f>
        <v/>
      </c>
      <c r="Q7" s="24">
        <f>IF($B7="","",MONTH($B7))</f>
        <v/>
      </c>
      <c r="R7" s="24">
        <f>IF($B7="","",YEAR($B7))</f>
        <v/>
      </c>
      <c r="S7" s="25">
        <f>IF($B7="","",$B7-WEEKDAY($B7,3))</f>
        <v/>
      </c>
      <c r="T7" s="24">
        <f>IF($B7="",0,IF(COUNTIFS($B$5:$B7,$B7,$D$5:$D7,$D7)=1,1,0))</f>
        <v/>
      </c>
      <c r="U7" s="24">
        <f>IF($B7="",0,IF(COUNTIFS($B$5:$B7,$B7,$C$5:$C7,$C7)=1,1,0))</f>
        <v/>
      </c>
      <c r="V7" s="24">
        <f>IF(OR($B7="",$G7="",$G7="لا توجد مشاهدات"),0,1)</f>
        <v/>
      </c>
      <c r="W7" s="24">
        <f>IF(AND($B7&lt;&gt;"",$I7="تم تحرير مخالفة"),1,0)</f>
        <v/>
      </c>
      <c r="X7" s="24">
        <f>IF($B7="","",IF($S7=WkStart,COUNTIF($S$5:$S7,WkStart),""))</f>
        <v/>
      </c>
    </row>
    <row r="8">
      <c r="A8" s="16">
        <f>IF($B8="","",ROW()-4)</f>
        <v/>
      </c>
      <c r="B8" s="17" t="n"/>
      <c r="C8" s="18" t="n"/>
      <c r="D8" s="18" t="n"/>
      <c r="E8" s="19" t="n"/>
      <c r="F8" s="19" t="n"/>
      <c r="G8" s="18" t="n"/>
      <c r="H8" s="18" t="n"/>
      <c r="I8" s="18" t="n"/>
      <c r="J8" s="20" t="n"/>
      <c r="K8" s="21" t="n"/>
      <c r="L8" s="21" t="n"/>
      <c r="M8" s="18" t="n"/>
      <c r="N8" s="22">
        <f>IF($B8="","",CHOOSE(WEEKDAY($B8),"الأحد","الاثنين","الثلاثاء","الأربعاء","الخميس","الجمعة","السبت"))</f>
        <v/>
      </c>
      <c r="O8" s="23">
        <f>IF(OR($K8="",$L8=""),"",HYPERLINK("https://maps.google.com/?q="&amp;$K8&amp;","&amp;$L8,"عرض الموقع"))</f>
        <v/>
      </c>
      <c r="P8" s="23">
        <f>IF(OR($B8="",N($J8)=0),"",HYPERLINK(PhotoDir&amp;"/"&amp;YEAR($B8)&amp;"-"&amp;TEXT(MONTH($B8),"00")&amp;"-"&amp;TEXT(DAY($B8),"00")&amp;"_"&amp;$D8,"فتح الصور ("&amp;$J8&amp;")"))</f>
        <v/>
      </c>
      <c r="Q8" s="24">
        <f>IF($B8="","",MONTH($B8))</f>
        <v/>
      </c>
      <c r="R8" s="24">
        <f>IF($B8="","",YEAR($B8))</f>
        <v/>
      </c>
      <c r="S8" s="25">
        <f>IF($B8="","",$B8-WEEKDAY($B8,3))</f>
        <v/>
      </c>
      <c r="T8" s="24">
        <f>IF($B8="",0,IF(COUNTIFS($B$5:$B8,$B8,$D$5:$D8,$D8)=1,1,0))</f>
        <v/>
      </c>
      <c r="U8" s="24">
        <f>IF($B8="",0,IF(COUNTIFS($B$5:$B8,$B8,$C$5:$C8,$C8)=1,1,0))</f>
        <v/>
      </c>
      <c r="V8" s="24">
        <f>IF(OR($B8="",$G8="",$G8="لا توجد مشاهدات"),0,1)</f>
        <v/>
      </c>
      <c r="W8" s="24">
        <f>IF(AND($B8&lt;&gt;"",$I8="تم تحرير مخالفة"),1,0)</f>
        <v/>
      </c>
      <c r="X8" s="24">
        <f>IF($B8="","",IF($S8=WkStart,COUNTIF($S$5:$S8,WkStart),""))</f>
        <v/>
      </c>
    </row>
    <row r="9">
      <c r="A9" s="16">
        <f>IF($B9="","",ROW()-4)</f>
        <v/>
      </c>
      <c r="B9" s="17" t="n"/>
      <c r="C9" s="18" t="n"/>
      <c r="D9" s="18" t="n"/>
      <c r="E9" s="19" t="n"/>
      <c r="F9" s="19" t="n"/>
      <c r="G9" s="18" t="n"/>
      <c r="H9" s="18" t="n"/>
      <c r="I9" s="18" t="n"/>
      <c r="J9" s="20" t="n"/>
      <c r="K9" s="21" t="n"/>
      <c r="L9" s="21" t="n"/>
      <c r="M9" s="18" t="n"/>
      <c r="N9" s="22">
        <f>IF($B9="","",CHOOSE(WEEKDAY($B9),"الأحد","الاثنين","الثلاثاء","الأربعاء","الخميس","الجمعة","السبت"))</f>
        <v/>
      </c>
      <c r="O9" s="23">
        <f>IF(OR($K9="",$L9=""),"",HYPERLINK("https://maps.google.com/?q="&amp;$K9&amp;","&amp;$L9,"عرض الموقع"))</f>
        <v/>
      </c>
      <c r="P9" s="23">
        <f>IF(OR($B9="",N($J9)=0),"",HYPERLINK(PhotoDir&amp;"/"&amp;YEAR($B9)&amp;"-"&amp;TEXT(MONTH($B9),"00")&amp;"-"&amp;TEXT(DAY($B9),"00")&amp;"_"&amp;$D9,"فتح الصور ("&amp;$J9&amp;")"))</f>
        <v/>
      </c>
      <c r="Q9" s="24">
        <f>IF($B9="","",MONTH($B9))</f>
        <v/>
      </c>
      <c r="R9" s="24">
        <f>IF($B9="","",YEAR($B9))</f>
        <v/>
      </c>
      <c r="S9" s="25">
        <f>IF($B9="","",$B9-WEEKDAY($B9,3))</f>
        <v/>
      </c>
      <c r="T9" s="24">
        <f>IF($B9="",0,IF(COUNTIFS($B$5:$B9,$B9,$D$5:$D9,$D9)=1,1,0))</f>
        <v/>
      </c>
      <c r="U9" s="24">
        <f>IF($B9="",0,IF(COUNTIFS($B$5:$B9,$B9,$C$5:$C9,$C9)=1,1,0))</f>
        <v/>
      </c>
      <c r="V9" s="24">
        <f>IF(OR($B9="",$G9="",$G9="لا توجد مشاهدات"),0,1)</f>
        <v/>
      </c>
      <c r="W9" s="24">
        <f>IF(AND($B9&lt;&gt;"",$I9="تم تحرير مخالفة"),1,0)</f>
        <v/>
      </c>
      <c r="X9" s="24">
        <f>IF($B9="","",IF($S9=WkStart,COUNTIF($S$5:$S9,WkStart),""))</f>
        <v/>
      </c>
    </row>
    <row r="10">
      <c r="A10" s="16">
        <f>IF($B10="","",ROW()-4)</f>
        <v/>
      </c>
      <c r="B10" s="17" t="n"/>
      <c r="C10" s="18" t="n"/>
      <c r="D10" s="18" t="n"/>
      <c r="E10" s="19" t="n"/>
      <c r="F10" s="19" t="n"/>
      <c r="G10" s="18" t="n"/>
      <c r="H10" s="18" t="n"/>
      <c r="I10" s="18" t="n"/>
      <c r="J10" s="20" t="n"/>
      <c r="K10" s="21" t="n"/>
      <c r="L10" s="21" t="n"/>
      <c r="M10" s="18" t="n"/>
      <c r="N10" s="22">
        <f>IF($B10="","",CHOOSE(WEEKDAY($B10),"الأحد","الاثنين","الثلاثاء","الأربعاء","الخميس","الجمعة","السبت"))</f>
        <v/>
      </c>
      <c r="O10" s="23">
        <f>IF(OR($K10="",$L10=""),"",HYPERLINK("https://maps.google.com/?q="&amp;$K10&amp;","&amp;$L10,"عرض الموقع"))</f>
        <v/>
      </c>
      <c r="P10" s="23">
        <f>IF(OR($B10="",N($J10)=0),"",HYPERLINK(PhotoDir&amp;"/"&amp;YEAR($B10)&amp;"-"&amp;TEXT(MONTH($B10),"00")&amp;"-"&amp;TEXT(DAY($B10),"00")&amp;"_"&amp;$D10,"فتح الصور ("&amp;$J10&amp;")"))</f>
        <v/>
      </c>
      <c r="Q10" s="24">
        <f>IF($B10="","",MONTH($B10))</f>
        <v/>
      </c>
      <c r="R10" s="24">
        <f>IF($B10="","",YEAR($B10))</f>
        <v/>
      </c>
      <c r="S10" s="25">
        <f>IF($B10="","",$B10-WEEKDAY($B10,3))</f>
        <v/>
      </c>
      <c r="T10" s="24">
        <f>IF($B10="",0,IF(COUNTIFS($B$5:$B10,$B10,$D$5:$D10,$D10)=1,1,0))</f>
        <v/>
      </c>
      <c r="U10" s="24">
        <f>IF($B10="",0,IF(COUNTIFS($B$5:$B10,$B10,$C$5:$C10,$C10)=1,1,0))</f>
        <v/>
      </c>
      <c r="V10" s="24">
        <f>IF(OR($B10="",$G10="",$G10="لا توجد مشاهدات"),0,1)</f>
        <v/>
      </c>
      <c r="W10" s="24">
        <f>IF(AND($B10&lt;&gt;"",$I10="تم تحرير مخالفة"),1,0)</f>
        <v/>
      </c>
      <c r="X10" s="24">
        <f>IF($B10="","",IF($S10=WkStart,COUNTIF($S$5:$S10,WkStart),""))</f>
        <v/>
      </c>
    </row>
    <row r="11">
      <c r="A11" s="16">
        <f>IF($B11="","",ROW()-4)</f>
        <v/>
      </c>
      <c r="B11" s="17" t="n"/>
      <c r="C11" s="18" t="n"/>
      <c r="D11" s="18" t="n"/>
      <c r="E11" s="19" t="n"/>
      <c r="F11" s="19" t="n"/>
      <c r="G11" s="18" t="n"/>
      <c r="H11" s="18" t="n"/>
      <c r="I11" s="18" t="n"/>
      <c r="J11" s="20" t="n"/>
      <c r="K11" s="21" t="n"/>
      <c r="L11" s="21" t="n"/>
      <c r="M11" s="18" t="n"/>
      <c r="N11" s="22">
        <f>IF($B11="","",CHOOSE(WEEKDAY($B11),"الأحد","الاثنين","الثلاثاء","الأربعاء","الخميس","الجمعة","السبت"))</f>
        <v/>
      </c>
      <c r="O11" s="23">
        <f>IF(OR($K11="",$L11=""),"",HYPERLINK("https://maps.google.com/?q="&amp;$K11&amp;","&amp;$L11,"عرض الموقع"))</f>
        <v/>
      </c>
      <c r="P11" s="23">
        <f>IF(OR($B11="",N($J11)=0),"",HYPERLINK(PhotoDir&amp;"/"&amp;YEAR($B11)&amp;"-"&amp;TEXT(MONTH($B11),"00")&amp;"-"&amp;TEXT(DAY($B11),"00")&amp;"_"&amp;$D11,"فتح الصور ("&amp;$J11&amp;")"))</f>
        <v/>
      </c>
      <c r="Q11" s="24">
        <f>IF($B11="","",MONTH($B11))</f>
        <v/>
      </c>
      <c r="R11" s="24">
        <f>IF($B11="","",YEAR($B11))</f>
        <v/>
      </c>
      <c r="S11" s="25">
        <f>IF($B11="","",$B11-WEEKDAY($B11,3))</f>
        <v/>
      </c>
      <c r="T11" s="24">
        <f>IF($B11="",0,IF(COUNTIFS($B$5:$B11,$B11,$D$5:$D11,$D11)=1,1,0))</f>
        <v/>
      </c>
      <c r="U11" s="24">
        <f>IF($B11="",0,IF(COUNTIFS($B$5:$B11,$B11,$C$5:$C11,$C11)=1,1,0))</f>
        <v/>
      </c>
      <c r="V11" s="24">
        <f>IF(OR($B11="",$G11="",$G11="لا توجد مشاهدات"),0,1)</f>
        <v/>
      </c>
      <c r="W11" s="24">
        <f>IF(AND($B11&lt;&gt;"",$I11="تم تحرير مخالفة"),1,0)</f>
        <v/>
      </c>
      <c r="X11" s="24">
        <f>IF($B11="","",IF($S11=WkStart,COUNTIF($S$5:$S11,WkStart),""))</f>
        <v/>
      </c>
    </row>
    <row r="12">
      <c r="A12" s="16">
        <f>IF($B12="","",ROW()-4)</f>
        <v/>
      </c>
      <c r="B12" s="17" t="n"/>
      <c r="C12" s="18" t="n"/>
      <c r="D12" s="18" t="n"/>
      <c r="E12" s="19" t="n"/>
      <c r="F12" s="19" t="n"/>
      <c r="G12" s="18" t="n"/>
      <c r="H12" s="18" t="n"/>
      <c r="I12" s="18" t="n"/>
      <c r="J12" s="20" t="n"/>
      <c r="K12" s="21" t="n"/>
      <c r="L12" s="21" t="n"/>
      <c r="M12" s="18" t="n"/>
      <c r="N12" s="22">
        <f>IF($B12="","",CHOOSE(WEEKDAY($B12),"الأحد","الاثنين","الثلاثاء","الأربعاء","الخميس","الجمعة","السبت"))</f>
        <v/>
      </c>
      <c r="O12" s="23">
        <f>IF(OR($K12="",$L12=""),"",HYPERLINK("https://maps.google.com/?q="&amp;$K12&amp;","&amp;$L12,"عرض الموقع"))</f>
        <v/>
      </c>
      <c r="P12" s="23">
        <f>IF(OR($B12="",N($J12)=0),"",HYPERLINK(PhotoDir&amp;"/"&amp;YEAR($B12)&amp;"-"&amp;TEXT(MONTH($B12),"00")&amp;"-"&amp;TEXT(DAY($B12),"00")&amp;"_"&amp;$D12,"فتح الصور ("&amp;$J12&amp;")"))</f>
        <v/>
      </c>
      <c r="Q12" s="24">
        <f>IF($B12="","",MONTH($B12))</f>
        <v/>
      </c>
      <c r="R12" s="24">
        <f>IF($B12="","",YEAR($B12))</f>
        <v/>
      </c>
      <c r="S12" s="25">
        <f>IF($B12="","",$B12-WEEKDAY($B12,3))</f>
        <v/>
      </c>
      <c r="T12" s="24">
        <f>IF($B12="",0,IF(COUNTIFS($B$5:$B12,$B12,$D$5:$D12,$D12)=1,1,0))</f>
        <v/>
      </c>
      <c r="U12" s="24">
        <f>IF($B12="",0,IF(COUNTIFS($B$5:$B12,$B12,$C$5:$C12,$C12)=1,1,0))</f>
        <v/>
      </c>
      <c r="V12" s="24">
        <f>IF(OR($B12="",$G12="",$G12="لا توجد مشاهدات"),0,1)</f>
        <v/>
      </c>
      <c r="W12" s="24">
        <f>IF(AND($B12&lt;&gt;"",$I12="تم تحرير مخالفة"),1,0)</f>
        <v/>
      </c>
      <c r="X12" s="24">
        <f>IF($B12="","",IF($S12=WkStart,COUNTIF($S$5:$S12,WkStart),""))</f>
        <v/>
      </c>
    </row>
    <row r="13">
      <c r="A13" s="16">
        <f>IF($B13="","",ROW()-4)</f>
        <v/>
      </c>
      <c r="B13" s="17" t="n"/>
      <c r="C13" s="18" t="n"/>
      <c r="D13" s="18" t="n"/>
      <c r="E13" s="19" t="n"/>
      <c r="F13" s="19" t="n"/>
      <c r="G13" s="18" t="n"/>
      <c r="H13" s="18" t="n"/>
      <c r="I13" s="18" t="n"/>
      <c r="J13" s="20" t="n"/>
      <c r="K13" s="21" t="n"/>
      <c r="L13" s="21" t="n"/>
      <c r="M13" s="18" t="n"/>
      <c r="N13" s="22">
        <f>IF($B13="","",CHOOSE(WEEKDAY($B13),"الأحد","الاثنين","الثلاثاء","الأربعاء","الخميس","الجمعة","السبت"))</f>
        <v/>
      </c>
      <c r="O13" s="23">
        <f>IF(OR($K13="",$L13=""),"",HYPERLINK("https://maps.google.com/?q="&amp;$K13&amp;","&amp;$L13,"عرض الموقع"))</f>
        <v/>
      </c>
      <c r="P13" s="23">
        <f>IF(OR($B13="",N($J13)=0),"",HYPERLINK(PhotoDir&amp;"/"&amp;YEAR($B13)&amp;"-"&amp;TEXT(MONTH($B13),"00")&amp;"-"&amp;TEXT(DAY($B13),"00")&amp;"_"&amp;$D13,"فتح الصور ("&amp;$J13&amp;")"))</f>
        <v/>
      </c>
      <c r="Q13" s="24">
        <f>IF($B13="","",MONTH($B13))</f>
        <v/>
      </c>
      <c r="R13" s="24">
        <f>IF($B13="","",YEAR($B13))</f>
        <v/>
      </c>
      <c r="S13" s="25">
        <f>IF($B13="","",$B13-WEEKDAY($B13,3))</f>
        <v/>
      </c>
      <c r="T13" s="24">
        <f>IF($B13="",0,IF(COUNTIFS($B$5:$B13,$B13,$D$5:$D13,$D13)=1,1,0))</f>
        <v/>
      </c>
      <c r="U13" s="24">
        <f>IF($B13="",0,IF(COUNTIFS($B$5:$B13,$B13,$C$5:$C13,$C13)=1,1,0))</f>
        <v/>
      </c>
      <c r="V13" s="24">
        <f>IF(OR($B13="",$G13="",$G13="لا توجد مشاهدات"),0,1)</f>
        <v/>
      </c>
      <c r="W13" s="24">
        <f>IF(AND($B13&lt;&gt;"",$I13="تم تحرير مخالفة"),1,0)</f>
        <v/>
      </c>
      <c r="X13" s="24">
        <f>IF($B13="","",IF($S13=WkStart,COUNTIF($S$5:$S13,WkStart),""))</f>
        <v/>
      </c>
    </row>
    <row r="14">
      <c r="A14" s="16">
        <f>IF($B14="","",ROW()-4)</f>
        <v/>
      </c>
      <c r="B14" s="17" t="n"/>
      <c r="C14" s="18" t="n"/>
      <c r="D14" s="18" t="n"/>
      <c r="E14" s="19" t="n"/>
      <c r="F14" s="19" t="n"/>
      <c r="G14" s="18" t="n"/>
      <c r="H14" s="18" t="n"/>
      <c r="I14" s="18" t="n"/>
      <c r="J14" s="20" t="n"/>
      <c r="K14" s="21" t="n"/>
      <c r="L14" s="21" t="n"/>
      <c r="M14" s="18" t="n"/>
      <c r="N14" s="22">
        <f>IF($B14="","",CHOOSE(WEEKDAY($B14),"الأحد","الاثنين","الثلاثاء","الأربعاء","الخميس","الجمعة","السبت"))</f>
        <v/>
      </c>
      <c r="O14" s="23">
        <f>IF(OR($K14="",$L14=""),"",HYPERLINK("https://maps.google.com/?q="&amp;$K14&amp;","&amp;$L14,"عرض الموقع"))</f>
        <v/>
      </c>
      <c r="P14" s="23">
        <f>IF(OR($B14="",N($J14)=0),"",HYPERLINK(PhotoDir&amp;"/"&amp;YEAR($B14)&amp;"-"&amp;TEXT(MONTH($B14),"00")&amp;"-"&amp;TEXT(DAY($B14),"00")&amp;"_"&amp;$D14,"فتح الصور ("&amp;$J14&amp;")"))</f>
        <v/>
      </c>
      <c r="Q14" s="24">
        <f>IF($B14="","",MONTH($B14))</f>
        <v/>
      </c>
      <c r="R14" s="24">
        <f>IF($B14="","",YEAR($B14))</f>
        <v/>
      </c>
      <c r="S14" s="25">
        <f>IF($B14="","",$B14-WEEKDAY($B14,3))</f>
        <v/>
      </c>
      <c r="T14" s="24">
        <f>IF($B14="",0,IF(COUNTIFS($B$5:$B14,$B14,$D$5:$D14,$D14)=1,1,0))</f>
        <v/>
      </c>
      <c r="U14" s="24">
        <f>IF($B14="",0,IF(COUNTIFS($B$5:$B14,$B14,$C$5:$C14,$C14)=1,1,0))</f>
        <v/>
      </c>
      <c r="V14" s="24">
        <f>IF(OR($B14="",$G14="",$G14="لا توجد مشاهدات"),0,1)</f>
        <v/>
      </c>
      <c r="W14" s="24">
        <f>IF(AND($B14&lt;&gt;"",$I14="تم تحرير مخالفة"),1,0)</f>
        <v/>
      </c>
      <c r="X14" s="24">
        <f>IF($B14="","",IF($S14=WkStart,COUNTIF($S$5:$S14,WkStart),""))</f>
        <v/>
      </c>
    </row>
    <row r="15">
      <c r="A15" s="16">
        <f>IF($B15="","",ROW()-4)</f>
        <v/>
      </c>
      <c r="B15" s="17" t="n"/>
      <c r="C15" s="18" t="n"/>
      <c r="D15" s="18" t="n"/>
      <c r="E15" s="19" t="n"/>
      <c r="F15" s="19" t="n"/>
      <c r="G15" s="18" t="n"/>
      <c r="H15" s="18" t="n"/>
      <c r="I15" s="18" t="n"/>
      <c r="J15" s="20" t="n"/>
      <c r="K15" s="21" t="n"/>
      <c r="L15" s="21" t="n"/>
      <c r="M15" s="18" t="n"/>
      <c r="N15" s="22">
        <f>IF($B15="","",CHOOSE(WEEKDAY($B15),"الأحد","الاثنين","الثلاثاء","الأربعاء","الخميس","الجمعة","السبت"))</f>
        <v/>
      </c>
      <c r="O15" s="23">
        <f>IF(OR($K15="",$L15=""),"",HYPERLINK("https://maps.google.com/?q="&amp;$K15&amp;","&amp;$L15,"عرض الموقع"))</f>
        <v/>
      </c>
      <c r="P15" s="23">
        <f>IF(OR($B15="",N($J15)=0),"",HYPERLINK(PhotoDir&amp;"/"&amp;YEAR($B15)&amp;"-"&amp;TEXT(MONTH($B15),"00")&amp;"-"&amp;TEXT(DAY($B15),"00")&amp;"_"&amp;$D15,"فتح الصور ("&amp;$J15&amp;")"))</f>
        <v/>
      </c>
      <c r="Q15" s="24">
        <f>IF($B15="","",MONTH($B15))</f>
        <v/>
      </c>
      <c r="R15" s="24">
        <f>IF($B15="","",YEAR($B15))</f>
        <v/>
      </c>
      <c r="S15" s="25">
        <f>IF($B15="","",$B15-WEEKDAY($B15,3))</f>
        <v/>
      </c>
      <c r="T15" s="24">
        <f>IF($B15="",0,IF(COUNTIFS($B$5:$B15,$B15,$D$5:$D15,$D15)=1,1,0))</f>
        <v/>
      </c>
      <c r="U15" s="24">
        <f>IF($B15="",0,IF(COUNTIFS($B$5:$B15,$B15,$C$5:$C15,$C15)=1,1,0))</f>
        <v/>
      </c>
      <c r="V15" s="24">
        <f>IF(OR($B15="",$G15="",$G15="لا توجد مشاهدات"),0,1)</f>
        <v/>
      </c>
      <c r="W15" s="24">
        <f>IF(AND($B15&lt;&gt;"",$I15="تم تحرير مخالفة"),1,0)</f>
        <v/>
      </c>
      <c r="X15" s="24">
        <f>IF($B15="","",IF($S15=WkStart,COUNTIF($S$5:$S15,WkStart),""))</f>
        <v/>
      </c>
    </row>
    <row r="16">
      <c r="A16" s="16">
        <f>IF($B16="","",ROW()-4)</f>
        <v/>
      </c>
      <c r="B16" s="17" t="n"/>
      <c r="C16" s="18" t="n"/>
      <c r="D16" s="18" t="n"/>
      <c r="E16" s="19" t="n"/>
      <c r="F16" s="19" t="n"/>
      <c r="G16" s="18" t="n"/>
      <c r="H16" s="18" t="n"/>
      <c r="I16" s="18" t="n"/>
      <c r="J16" s="20" t="n"/>
      <c r="K16" s="21" t="n"/>
      <c r="L16" s="21" t="n"/>
      <c r="M16" s="18" t="n"/>
      <c r="N16" s="22">
        <f>IF($B16="","",CHOOSE(WEEKDAY($B16),"الأحد","الاثنين","الثلاثاء","الأربعاء","الخميس","الجمعة","السبت"))</f>
        <v/>
      </c>
      <c r="O16" s="23">
        <f>IF(OR($K16="",$L16=""),"",HYPERLINK("https://maps.google.com/?q="&amp;$K16&amp;","&amp;$L16,"عرض الموقع"))</f>
        <v/>
      </c>
      <c r="P16" s="23">
        <f>IF(OR($B16="",N($J16)=0),"",HYPERLINK(PhotoDir&amp;"/"&amp;YEAR($B16)&amp;"-"&amp;TEXT(MONTH($B16),"00")&amp;"-"&amp;TEXT(DAY($B16),"00")&amp;"_"&amp;$D16,"فتح الصور ("&amp;$J16&amp;")"))</f>
        <v/>
      </c>
      <c r="Q16" s="24">
        <f>IF($B16="","",MONTH($B16))</f>
        <v/>
      </c>
      <c r="R16" s="24">
        <f>IF($B16="","",YEAR($B16))</f>
        <v/>
      </c>
      <c r="S16" s="25">
        <f>IF($B16="","",$B16-WEEKDAY($B16,3))</f>
        <v/>
      </c>
      <c r="T16" s="24">
        <f>IF($B16="",0,IF(COUNTIFS($B$5:$B16,$B16,$D$5:$D16,$D16)=1,1,0))</f>
        <v/>
      </c>
      <c r="U16" s="24">
        <f>IF($B16="",0,IF(COUNTIFS($B$5:$B16,$B16,$C$5:$C16,$C16)=1,1,0))</f>
        <v/>
      </c>
      <c r="V16" s="24">
        <f>IF(OR($B16="",$G16="",$G16="لا توجد مشاهدات"),0,1)</f>
        <v/>
      </c>
      <c r="W16" s="24">
        <f>IF(AND($B16&lt;&gt;"",$I16="تم تحرير مخالفة"),1,0)</f>
        <v/>
      </c>
      <c r="X16" s="24">
        <f>IF($B16="","",IF($S16=WkStart,COUNTIF($S$5:$S16,WkStart),""))</f>
        <v/>
      </c>
    </row>
    <row r="17">
      <c r="A17" s="16">
        <f>IF($B17="","",ROW()-4)</f>
        <v/>
      </c>
      <c r="B17" s="17" t="n"/>
      <c r="C17" s="18" t="n"/>
      <c r="D17" s="18" t="n"/>
      <c r="E17" s="19" t="n"/>
      <c r="F17" s="19" t="n"/>
      <c r="G17" s="18" t="n"/>
      <c r="H17" s="18" t="n"/>
      <c r="I17" s="18" t="n"/>
      <c r="J17" s="20" t="n"/>
      <c r="K17" s="21" t="n"/>
      <c r="L17" s="21" t="n"/>
      <c r="M17" s="18" t="n"/>
      <c r="N17" s="22">
        <f>IF($B17="","",CHOOSE(WEEKDAY($B17),"الأحد","الاثنين","الثلاثاء","الأربعاء","الخميس","الجمعة","السبت"))</f>
        <v/>
      </c>
      <c r="O17" s="23">
        <f>IF(OR($K17="",$L17=""),"",HYPERLINK("https://maps.google.com/?q="&amp;$K17&amp;","&amp;$L17,"عرض الموقع"))</f>
        <v/>
      </c>
      <c r="P17" s="23">
        <f>IF(OR($B17="",N($J17)=0),"",HYPERLINK(PhotoDir&amp;"/"&amp;YEAR($B17)&amp;"-"&amp;TEXT(MONTH($B17),"00")&amp;"-"&amp;TEXT(DAY($B17),"00")&amp;"_"&amp;$D17,"فتح الصور ("&amp;$J17&amp;")"))</f>
        <v/>
      </c>
      <c r="Q17" s="24">
        <f>IF($B17="","",MONTH($B17))</f>
        <v/>
      </c>
      <c r="R17" s="24">
        <f>IF($B17="","",YEAR($B17))</f>
        <v/>
      </c>
      <c r="S17" s="25">
        <f>IF($B17="","",$B17-WEEKDAY($B17,3))</f>
        <v/>
      </c>
      <c r="T17" s="24">
        <f>IF($B17="",0,IF(COUNTIFS($B$5:$B17,$B17,$D$5:$D17,$D17)=1,1,0))</f>
        <v/>
      </c>
      <c r="U17" s="24">
        <f>IF($B17="",0,IF(COUNTIFS($B$5:$B17,$B17,$C$5:$C17,$C17)=1,1,0))</f>
        <v/>
      </c>
      <c r="V17" s="24">
        <f>IF(OR($B17="",$G17="",$G17="لا توجد مشاهدات"),0,1)</f>
        <v/>
      </c>
      <c r="W17" s="24">
        <f>IF(AND($B17&lt;&gt;"",$I17="تم تحرير مخالفة"),1,0)</f>
        <v/>
      </c>
      <c r="X17" s="24">
        <f>IF($B17="","",IF($S17=WkStart,COUNTIF($S$5:$S17,WkStart),""))</f>
        <v/>
      </c>
    </row>
    <row r="18">
      <c r="A18" s="16">
        <f>IF($B18="","",ROW()-4)</f>
        <v/>
      </c>
      <c r="B18" s="17" t="n"/>
      <c r="C18" s="18" t="n"/>
      <c r="D18" s="18" t="n"/>
      <c r="E18" s="19" t="n"/>
      <c r="F18" s="19" t="n"/>
      <c r="G18" s="18" t="n"/>
      <c r="H18" s="18" t="n"/>
      <c r="I18" s="18" t="n"/>
      <c r="J18" s="20" t="n"/>
      <c r="K18" s="21" t="n"/>
      <c r="L18" s="21" t="n"/>
      <c r="M18" s="18" t="n"/>
      <c r="N18" s="22">
        <f>IF($B18="","",CHOOSE(WEEKDAY($B18),"الأحد","الاثنين","الثلاثاء","الأربعاء","الخميس","الجمعة","السبت"))</f>
        <v/>
      </c>
      <c r="O18" s="23">
        <f>IF(OR($K18="",$L18=""),"",HYPERLINK("https://maps.google.com/?q="&amp;$K18&amp;","&amp;$L18,"عرض الموقع"))</f>
        <v/>
      </c>
      <c r="P18" s="23">
        <f>IF(OR($B18="",N($J18)=0),"",HYPERLINK(PhotoDir&amp;"/"&amp;YEAR($B18)&amp;"-"&amp;TEXT(MONTH($B18),"00")&amp;"-"&amp;TEXT(DAY($B18),"00")&amp;"_"&amp;$D18,"فتح الصور ("&amp;$J18&amp;")"))</f>
        <v/>
      </c>
      <c r="Q18" s="24">
        <f>IF($B18="","",MONTH($B18))</f>
        <v/>
      </c>
      <c r="R18" s="24">
        <f>IF($B18="","",YEAR($B18))</f>
        <v/>
      </c>
      <c r="S18" s="25">
        <f>IF($B18="","",$B18-WEEKDAY($B18,3))</f>
        <v/>
      </c>
      <c r="T18" s="24">
        <f>IF($B18="",0,IF(COUNTIFS($B$5:$B18,$B18,$D$5:$D18,$D18)=1,1,0))</f>
        <v/>
      </c>
      <c r="U18" s="24">
        <f>IF($B18="",0,IF(COUNTIFS($B$5:$B18,$B18,$C$5:$C18,$C18)=1,1,0))</f>
        <v/>
      </c>
      <c r="V18" s="24">
        <f>IF(OR($B18="",$G18="",$G18="لا توجد مشاهدات"),0,1)</f>
        <v/>
      </c>
      <c r="W18" s="24">
        <f>IF(AND($B18&lt;&gt;"",$I18="تم تحرير مخالفة"),1,0)</f>
        <v/>
      </c>
      <c r="X18" s="24">
        <f>IF($B18="","",IF($S18=WkStart,COUNTIF($S$5:$S18,WkStart),""))</f>
        <v/>
      </c>
    </row>
    <row r="19">
      <c r="A19" s="16">
        <f>IF($B19="","",ROW()-4)</f>
        <v/>
      </c>
      <c r="B19" s="17" t="n"/>
      <c r="C19" s="18" t="n"/>
      <c r="D19" s="18" t="n"/>
      <c r="E19" s="19" t="n"/>
      <c r="F19" s="19" t="n"/>
      <c r="G19" s="18" t="n"/>
      <c r="H19" s="18" t="n"/>
      <c r="I19" s="18" t="n"/>
      <c r="J19" s="20" t="n"/>
      <c r="K19" s="21" t="n"/>
      <c r="L19" s="21" t="n"/>
      <c r="M19" s="18" t="n"/>
      <c r="N19" s="22">
        <f>IF($B19="","",CHOOSE(WEEKDAY($B19),"الأحد","الاثنين","الثلاثاء","الأربعاء","الخميس","الجمعة","السبت"))</f>
        <v/>
      </c>
      <c r="O19" s="23">
        <f>IF(OR($K19="",$L19=""),"",HYPERLINK("https://maps.google.com/?q="&amp;$K19&amp;","&amp;$L19,"عرض الموقع"))</f>
        <v/>
      </c>
      <c r="P19" s="23">
        <f>IF(OR($B19="",N($J19)=0),"",HYPERLINK(PhotoDir&amp;"/"&amp;YEAR($B19)&amp;"-"&amp;TEXT(MONTH($B19),"00")&amp;"-"&amp;TEXT(DAY($B19),"00")&amp;"_"&amp;$D19,"فتح الصور ("&amp;$J19&amp;")"))</f>
        <v/>
      </c>
      <c r="Q19" s="24">
        <f>IF($B19="","",MONTH($B19))</f>
        <v/>
      </c>
      <c r="R19" s="24">
        <f>IF($B19="","",YEAR($B19))</f>
        <v/>
      </c>
      <c r="S19" s="25">
        <f>IF($B19="","",$B19-WEEKDAY($B19,3))</f>
        <v/>
      </c>
      <c r="T19" s="24">
        <f>IF($B19="",0,IF(COUNTIFS($B$5:$B19,$B19,$D$5:$D19,$D19)=1,1,0))</f>
        <v/>
      </c>
      <c r="U19" s="24">
        <f>IF($B19="",0,IF(COUNTIFS($B$5:$B19,$B19,$C$5:$C19,$C19)=1,1,0))</f>
        <v/>
      </c>
      <c r="V19" s="24">
        <f>IF(OR($B19="",$G19="",$G19="لا توجد مشاهدات"),0,1)</f>
        <v/>
      </c>
      <c r="W19" s="24">
        <f>IF(AND($B19&lt;&gt;"",$I19="تم تحرير مخالفة"),1,0)</f>
        <v/>
      </c>
      <c r="X19" s="24">
        <f>IF($B19="","",IF($S19=WkStart,COUNTIF($S$5:$S19,WkStart),""))</f>
        <v/>
      </c>
    </row>
    <row r="20">
      <c r="A20" s="16">
        <f>IF($B20="","",ROW()-4)</f>
        <v/>
      </c>
      <c r="B20" s="17" t="n"/>
      <c r="C20" s="18" t="n"/>
      <c r="D20" s="18" t="n"/>
      <c r="E20" s="19" t="n"/>
      <c r="F20" s="19" t="n"/>
      <c r="G20" s="18" t="n"/>
      <c r="H20" s="18" t="n"/>
      <c r="I20" s="18" t="n"/>
      <c r="J20" s="20" t="n"/>
      <c r="K20" s="21" t="n"/>
      <c r="L20" s="21" t="n"/>
      <c r="M20" s="18" t="n"/>
      <c r="N20" s="22">
        <f>IF($B20="","",CHOOSE(WEEKDAY($B20),"الأحد","الاثنين","الثلاثاء","الأربعاء","الخميس","الجمعة","السبت"))</f>
        <v/>
      </c>
      <c r="O20" s="23">
        <f>IF(OR($K20="",$L20=""),"",HYPERLINK("https://maps.google.com/?q="&amp;$K20&amp;","&amp;$L20,"عرض الموقع"))</f>
        <v/>
      </c>
      <c r="P20" s="23">
        <f>IF(OR($B20="",N($J20)=0),"",HYPERLINK(PhotoDir&amp;"/"&amp;YEAR($B20)&amp;"-"&amp;TEXT(MONTH($B20),"00")&amp;"-"&amp;TEXT(DAY($B20),"00")&amp;"_"&amp;$D20,"فتح الصور ("&amp;$J20&amp;")"))</f>
        <v/>
      </c>
      <c r="Q20" s="24">
        <f>IF($B20="","",MONTH($B20))</f>
        <v/>
      </c>
      <c r="R20" s="24">
        <f>IF($B20="","",YEAR($B20))</f>
        <v/>
      </c>
      <c r="S20" s="25">
        <f>IF($B20="","",$B20-WEEKDAY($B20,3))</f>
        <v/>
      </c>
      <c r="T20" s="24">
        <f>IF($B20="",0,IF(COUNTIFS($B$5:$B20,$B20,$D$5:$D20,$D20)=1,1,0))</f>
        <v/>
      </c>
      <c r="U20" s="24">
        <f>IF($B20="",0,IF(COUNTIFS($B$5:$B20,$B20,$C$5:$C20,$C20)=1,1,0))</f>
        <v/>
      </c>
      <c r="V20" s="24">
        <f>IF(OR($B20="",$G20="",$G20="لا توجد مشاهدات"),0,1)</f>
        <v/>
      </c>
      <c r="W20" s="24">
        <f>IF(AND($B20&lt;&gt;"",$I20="تم تحرير مخالفة"),1,0)</f>
        <v/>
      </c>
      <c r="X20" s="24">
        <f>IF($B20="","",IF($S20=WkStart,COUNTIF($S$5:$S20,WkStart),""))</f>
        <v/>
      </c>
    </row>
    <row r="21">
      <c r="A21" s="16">
        <f>IF($B21="","",ROW()-4)</f>
        <v/>
      </c>
      <c r="B21" s="17" t="n"/>
      <c r="C21" s="18" t="n"/>
      <c r="D21" s="18" t="n"/>
      <c r="E21" s="19" t="n"/>
      <c r="F21" s="19" t="n"/>
      <c r="G21" s="18" t="n"/>
      <c r="H21" s="18" t="n"/>
      <c r="I21" s="18" t="n"/>
      <c r="J21" s="20" t="n"/>
      <c r="K21" s="21" t="n"/>
      <c r="L21" s="21" t="n"/>
      <c r="M21" s="18" t="n"/>
      <c r="N21" s="22">
        <f>IF($B21="","",CHOOSE(WEEKDAY($B21),"الأحد","الاثنين","الثلاثاء","الأربعاء","الخميس","الجمعة","السبت"))</f>
        <v/>
      </c>
      <c r="O21" s="23">
        <f>IF(OR($K21="",$L21=""),"",HYPERLINK("https://maps.google.com/?q="&amp;$K21&amp;","&amp;$L21,"عرض الموقع"))</f>
        <v/>
      </c>
      <c r="P21" s="23">
        <f>IF(OR($B21="",N($J21)=0),"",HYPERLINK(PhotoDir&amp;"/"&amp;YEAR($B21)&amp;"-"&amp;TEXT(MONTH($B21),"00")&amp;"-"&amp;TEXT(DAY($B21),"00")&amp;"_"&amp;$D21,"فتح الصور ("&amp;$J21&amp;")"))</f>
        <v/>
      </c>
      <c r="Q21" s="24">
        <f>IF($B21="","",MONTH($B21))</f>
        <v/>
      </c>
      <c r="R21" s="24">
        <f>IF($B21="","",YEAR($B21))</f>
        <v/>
      </c>
      <c r="S21" s="25">
        <f>IF($B21="","",$B21-WEEKDAY($B21,3))</f>
        <v/>
      </c>
      <c r="T21" s="24">
        <f>IF($B21="",0,IF(COUNTIFS($B$5:$B21,$B21,$D$5:$D21,$D21)=1,1,0))</f>
        <v/>
      </c>
      <c r="U21" s="24">
        <f>IF($B21="",0,IF(COUNTIFS($B$5:$B21,$B21,$C$5:$C21,$C21)=1,1,0))</f>
        <v/>
      </c>
      <c r="V21" s="24">
        <f>IF(OR($B21="",$G21="",$G21="لا توجد مشاهدات"),0,1)</f>
        <v/>
      </c>
      <c r="W21" s="24">
        <f>IF(AND($B21&lt;&gt;"",$I21="تم تحرير مخالفة"),1,0)</f>
        <v/>
      </c>
      <c r="X21" s="24">
        <f>IF($B21="","",IF($S21=WkStart,COUNTIF($S$5:$S21,WkStart),""))</f>
        <v/>
      </c>
    </row>
    <row r="22">
      <c r="A22" s="16">
        <f>IF($B22="","",ROW()-4)</f>
        <v/>
      </c>
      <c r="B22" s="17" t="n"/>
      <c r="C22" s="18" t="n"/>
      <c r="D22" s="18" t="n"/>
      <c r="E22" s="19" t="n"/>
      <c r="F22" s="19" t="n"/>
      <c r="G22" s="18" t="n"/>
      <c r="H22" s="18" t="n"/>
      <c r="I22" s="18" t="n"/>
      <c r="J22" s="20" t="n"/>
      <c r="K22" s="21" t="n"/>
      <c r="L22" s="21" t="n"/>
      <c r="M22" s="18" t="n"/>
      <c r="N22" s="22">
        <f>IF($B22="","",CHOOSE(WEEKDAY($B22),"الأحد","الاثنين","الثلاثاء","الأربعاء","الخميس","الجمعة","السبت"))</f>
        <v/>
      </c>
      <c r="O22" s="23">
        <f>IF(OR($K22="",$L22=""),"",HYPERLINK("https://maps.google.com/?q="&amp;$K22&amp;","&amp;$L22,"عرض الموقع"))</f>
        <v/>
      </c>
      <c r="P22" s="23">
        <f>IF(OR($B22="",N($J22)=0),"",HYPERLINK(PhotoDir&amp;"/"&amp;YEAR($B22)&amp;"-"&amp;TEXT(MONTH($B22),"00")&amp;"-"&amp;TEXT(DAY($B22),"00")&amp;"_"&amp;$D22,"فتح الصور ("&amp;$J22&amp;")"))</f>
        <v/>
      </c>
      <c r="Q22" s="24">
        <f>IF($B22="","",MONTH($B22))</f>
        <v/>
      </c>
      <c r="R22" s="24">
        <f>IF($B22="","",YEAR($B22))</f>
        <v/>
      </c>
      <c r="S22" s="25">
        <f>IF($B22="","",$B22-WEEKDAY($B22,3))</f>
        <v/>
      </c>
      <c r="T22" s="24">
        <f>IF($B22="",0,IF(COUNTIFS($B$5:$B22,$B22,$D$5:$D22,$D22)=1,1,0))</f>
        <v/>
      </c>
      <c r="U22" s="24">
        <f>IF($B22="",0,IF(COUNTIFS($B$5:$B22,$B22,$C$5:$C22,$C22)=1,1,0))</f>
        <v/>
      </c>
      <c r="V22" s="24">
        <f>IF(OR($B22="",$G22="",$G22="لا توجد مشاهدات"),0,1)</f>
        <v/>
      </c>
      <c r="W22" s="24">
        <f>IF(AND($B22&lt;&gt;"",$I22="تم تحرير مخالفة"),1,0)</f>
        <v/>
      </c>
      <c r="X22" s="24">
        <f>IF($B22="","",IF($S22=WkStart,COUNTIF($S$5:$S22,WkStart),""))</f>
        <v/>
      </c>
    </row>
    <row r="23">
      <c r="A23" s="16">
        <f>IF($B23="","",ROW()-4)</f>
        <v/>
      </c>
      <c r="B23" s="17" t="n"/>
      <c r="C23" s="18" t="n"/>
      <c r="D23" s="18" t="n"/>
      <c r="E23" s="19" t="n"/>
      <c r="F23" s="19" t="n"/>
      <c r="G23" s="18" t="n"/>
      <c r="H23" s="18" t="n"/>
      <c r="I23" s="18" t="n"/>
      <c r="J23" s="20" t="n"/>
      <c r="K23" s="21" t="n"/>
      <c r="L23" s="21" t="n"/>
      <c r="M23" s="18" t="n"/>
      <c r="N23" s="22">
        <f>IF($B23="","",CHOOSE(WEEKDAY($B23),"الأحد","الاثنين","الثلاثاء","الأربعاء","الخميس","الجمعة","السبت"))</f>
        <v/>
      </c>
      <c r="O23" s="23">
        <f>IF(OR($K23="",$L23=""),"",HYPERLINK("https://maps.google.com/?q="&amp;$K23&amp;","&amp;$L23,"عرض الموقع"))</f>
        <v/>
      </c>
      <c r="P23" s="23">
        <f>IF(OR($B23="",N($J23)=0),"",HYPERLINK(PhotoDir&amp;"/"&amp;YEAR($B23)&amp;"-"&amp;TEXT(MONTH($B23),"00")&amp;"-"&amp;TEXT(DAY($B23),"00")&amp;"_"&amp;$D23,"فتح الصور ("&amp;$J23&amp;")"))</f>
        <v/>
      </c>
      <c r="Q23" s="24">
        <f>IF($B23="","",MONTH($B23))</f>
        <v/>
      </c>
      <c r="R23" s="24">
        <f>IF($B23="","",YEAR($B23))</f>
        <v/>
      </c>
      <c r="S23" s="25">
        <f>IF($B23="","",$B23-WEEKDAY($B23,3))</f>
        <v/>
      </c>
      <c r="T23" s="24">
        <f>IF($B23="",0,IF(COUNTIFS($B$5:$B23,$B23,$D$5:$D23,$D23)=1,1,0))</f>
        <v/>
      </c>
      <c r="U23" s="24">
        <f>IF($B23="",0,IF(COUNTIFS($B$5:$B23,$B23,$C$5:$C23,$C23)=1,1,0))</f>
        <v/>
      </c>
      <c r="V23" s="24">
        <f>IF(OR($B23="",$G23="",$G23="لا توجد مشاهدات"),0,1)</f>
        <v/>
      </c>
      <c r="W23" s="24">
        <f>IF(AND($B23&lt;&gt;"",$I23="تم تحرير مخالفة"),1,0)</f>
        <v/>
      </c>
      <c r="X23" s="24">
        <f>IF($B23="","",IF($S23=WkStart,COUNTIF($S$5:$S23,WkStart),""))</f>
        <v/>
      </c>
    </row>
    <row r="24">
      <c r="A24" s="16">
        <f>IF($B24="","",ROW()-4)</f>
        <v/>
      </c>
      <c r="B24" s="17" t="n"/>
      <c r="C24" s="18" t="n"/>
      <c r="D24" s="18" t="n"/>
      <c r="E24" s="19" t="n"/>
      <c r="F24" s="19" t="n"/>
      <c r="G24" s="18" t="n"/>
      <c r="H24" s="18" t="n"/>
      <c r="I24" s="18" t="n"/>
      <c r="J24" s="20" t="n"/>
      <c r="K24" s="21" t="n"/>
      <c r="L24" s="21" t="n"/>
      <c r="M24" s="18" t="n"/>
      <c r="N24" s="22">
        <f>IF($B24="","",CHOOSE(WEEKDAY($B24),"الأحد","الاثنين","الثلاثاء","الأربعاء","الخميس","الجمعة","السبت"))</f>
        <v/>
      </c>
      <c r="O24" s="23">
        <f>IF(OR($K24="",$L24=""),"",HYPERLINK("https://maps.google.com/?q="&amp;$K24&amp;","&amp;$L24,"عرض الموقع"))</f>
        <v/>
      </c>
      <c r="P24" s="23">
        <f>IF(OR($B24="",N($J24)=0),"",HYPERLINK(PhotoDir&amp;"/"&amp;YEAR($B24)&amp;"-"&amp;TEXT(MONTH($B24),"00")&amp;"-"&amp;TEXT(DAY($B24),"00")&amp;"_"&amp;$D24,"فتح الصور ("&amp;$J24&amp;")"))</f>
        <v/>
      </c>
      <c r="Q24" s="24">
        <f>IF($B24="","",MONTH($B24))</f>
        <v/>
      </c>
      <c r="R24" s="24">
        <f>IF($B24="","",YEAR($B24))</f>
        <v/>
      </c>
      <c r="S24" s="25">
        <f>IF($B24="","",$B24-WEEKDAY($B24,3))</f>
        <v/>
      </c>
      <c r="T24" s="24">
        <f>IF($B24="",0,IF(COUNTIFS($B$5:$B24,$B24,$D$5:$D24,$D24)=1,1,0))</f>
        <v/>
      </c>
      <c r="U24" s="24">
        <f>IF($B24="",0,IF(COUNTIFS($B$5:$B24,$B24,$C$5:$C24,$C24)=1,1,0))</f>
        <v/>
      </c>
      <c r="V24" s="24">
        <f>IF(OR($B24="",$G24="",$G24="لا توجد مشاهدات"),0,1)</f>
        <v/>
      </c>
      <c r="W24" s="24">
        <f>IF(AND($B24&lt;&gt;"",$I24="تم تحرير مخالفة"),1,0)</f>
        <v/>
      </c>
      <c r="X24" s="24">
        <f>IF($B24="","",IF($S24=WkStart,COUNTIF($S$5:$S24,WkStart),""))</f>
        <v/>
      </c>
    </row>
    <row r="25">
      <c r="A25" s="16">
        <f>IF($B25="","",ROW()-4)</f>
        <v/>
      </c>
      <c r="B25" s="17" t="n"/>
      <c r="C25" s="18" t="n"/>
      <c r="D25" s="18" t="n"/>
      <c r="E25" s="19" t="n"/>
      <c r="F25" s="19" t="n"/>
      <c r="G25" s="18" t="n"/>
      <c r="H25" s="18" t="n"/>
      <c r="I25" s="18" t="n"/>
      <c r="J25" s="20" t="n"/>
      <c r="K25" s="21" t="n"/>
      <c r="L25" s="21" t="n"/>
      <c r="M25" s="18" t="n"/>
      <c r="N25" s="22">
        <f>IF($B25="","",CHOOSE(WEEKDAY($B25),"الأحد","الاثنين","الثلاثاء","الأربعاء","الخميس","الجمعة","السبت"))</f>
        <v/>
      </c>
      <c r="O25" s="23">
        <f>IF(OR($K25="",$L25=""),"",HYPERLINK("https://maps.google.com/?q="&amp;$K25&amp;","&amp;$L25,"عرض الموقع"))</f>
        <v/>
      </c>
      <c r="P25" s="23">
        <f>IF(OR($B25="",N($J25)=0),"",HYPERLINK(PhotoDir&amp;"/"&amp;YEAR($B25)&amp;"-"&amp;TEXT(MONTH($B25),"00")&amp;"-"&amp;TEXT(DAY($B25),"00")&amp;"_"&amp;$D25,"فتح الصور ("&amp;$J25&amp;")"))</f>
        <v/>
      </c>
      <c r="Q25" s="24">
        <f>IF($B25="","",MONTH($B25))</f>
        <v/>
      </c>
      <c r="R25" s="24">
        <f>IF($B25="","",YEAR($B25))</f>
        <v/>
      </c>
      <c r="S25" s="25">
        <f>IF($B25="","",$B25-WEEKDAY($B25,3))</f>
        <v/>
      </c>
      <c r="T25" s="24">
        <f>IF($B25="",0,IF(COUNTIFS($B$5:$B25,$B25,$D$5:$D25,$D25)=1,1,0))</f>
        <v/>
      </c>
      <c r="U25" s="24">
        <f>IF($B25="",0,IF(COUNTIFS($B$5:$B25,$B25,$C$5:$C25,$C25)=1,1,0))</f>
        <v/>
      </c>
      <c r="V25" s="24">
        <f>IF(OR($B25="",$G25="",$G25="لا توجد مشاهدات"),0,1)</f>
        <v/>
      </c>
      <c r="W25" s="24">
        <f>IF(AND($B25&lt;&gt;"",$I25="تم تحرير مخالفة"),1,0)</f>
        <v/>
      </c>
      <c r="X25" s="24">
        <f>IF($B25="","",IF($S25=WkStart,COUNTIF($S$5:$S25,WkStart),""))</f>
        <v/>
      </c>
    </row>
    <row r="26">
      <c r="A26" s="16">
        <f>IF($B26="","",ROW()-4)</f>
        <v/>
      </c>
      <c r="B26" s="17" t="n"/>
      <c r="C26" s="18" t="n"/>
      <c r="D26" s="18" t="n"/>
      <c r="E26" s="19" t="n"/>
      <c r="F26" s="19" t="n"/>
      <c r="G26" s="18" t="n"/>
      <c r="H26" s="18" t="n"/>
      <c r="I26" s="18" t="n"/>
      <c r="J26" s="20" t="n"/>
      <c r="K26" s="21" t="n"/>
      <c r="L26" s="21" t="n"/>
      <c r="M26" s="18" t="n"/>
      <c r="N26" s="22">
        <f>IF($B26="","",CHOOSE(WEEKDAY($B26),"الأحد","الاثنين","الثلاثاء","الأربعاء","الخميس","الجمعة","السبت"))</f>
        <v/>
      </c>
      <c r="O26" s="23">
        <f>IF(OR($K26="",$L26=""),"",HYPERLINK("https://maps.google.com/?q="&amp;$K26&amp;","&amp;$L26,"عرض الموقع"))</f>
        <v/>
      </c>
      <c r="P26" s="23">
        <f>IF(OR($B26="",N($J26)=0),"",HYPERLINK(PhotoDir&amp;"/"&amp;YEAR($B26)&amp;"-"&amp;TEXT(MONTH($B26),"00")&amp;"-"&amp;TEXT(DAY($B26),"00")&amp;"_"&amp;$D26,"فتح الصور ("&amp;$J26&amp;")"))</f>
        <v/>
      </c>
      <c r="Q26" s="24">
        <f>IF($B26="","",MONTH($B26))</f>
        <v/>
      </c>
      <c r="R26" s="24">
        <f>IF($B26="","",YEAR($B26))</f>
        <v/>
      </c>
      <c r="S26" s="25">
        <f>IF($B26="","",$B26-WEEKDAY($B26,3))</f>
        <v/>
      </c>
      <c r="T26" s="24">
        <f>IF($B26="",0,IF(COUNTIFS($B$5:$B26,$B26,$D$5:$D26,$D26)=1,1,0))</f>
        <v/>
      </c>
      <c r="U26" s="24">
        <f>IF($B26="",0,IF(COUNTIFS($B$5:$B26,$B26,$C$5:$C26,$C26)=1,1,0))</f>
        <v/>
      </c>
      <c r="V26" s="24">
        <f>IF(OR($B26="",$G26="",$G26="لا توجد مشاهدات"),0,1)</f>
        <v/>
      </c>
      <c r="W26" s="24">
        <f>IF(AND($B26&lt;&gt;"",$I26="تم تحرير مخالفة"),1,0)</f>
        <v/>
      </c>
      <c r="X26" s="24">
        <f>IF($B26="","",IF($S26=WkStart,COUNTIF($S$5:$S26,WkStart),""))</f>
        <v/>
      </c>
    </row>
    <row r="27">
      <c r="A27" s="16">
        <f>IF($B27="","",ROW()-4)</f>
        <v/>
      </c>
      <c r="B27" s="17" t="n"/>
      <c r="C27" s="18" t="n"/>
      <c r="D27" s="18" t="n"/>
      <c r="E27" s="19" t="n"/>
      <c r="F27" s="19" t="n"/>
      <c r="G27" s="18" t="n"/>
      <c r="H27" s="18" t="n"/>
      <c r="I27" s="18" t="n"/>
      <c r="J27" s="20" t="n"/>
      <c r="K27" s="21" t="n"/>
      <c r="L27" s="21" t="n"/>
      <c r="M27" s="18" t="n"/>
      <c r="N27" s="22">
        <f>IF($B27="","",CHOOSE(WEEKDAY($B27),"الأحد","الاثنين","الثلاثاء","الأربعاء","الخميس","الجمعة","السبت"))</f>
        <v/>
      </c>
      <c r="O27" s="23">
        <f>IF(OR($K27="",$L27=""),"",HYPERLINK("https://maps.google.com/?q="&amp;$K27&amp;","&amp;$L27,"عرض الموقع"))</f>
        <v/>
      </c>
      <c r="P27" s="23">
        <f>IF(OR($B27="",N($J27)=0),"",HYPERLINK(PhotoDir&amp;"/"&amp;YEAR($B27)&amp;"-"&amp;TEXT(MONTH($B27),"00")&amp;"-"&amp;TEXT(DAY($B27),"00")&amp;"_"&amp;$D27,"فتح الصور ("&amp;$J27&amp;")"))</f>
        <v/>
      </c>
      <c r="Q27" s="24">
        <f>IF($B27="","",MONTH($B27))</f>
        <v/>
      </c>
      <c r="R27" s="24">
        <f>IF($B27="","",YEAR($B27))</f>
        <v/>
      </c>
      <c r="S27" s="25">
        <f>IF($B27="","",$B27-WEEKDAY($B27,3))</f>
        <v/>
      </c>
      <c r="T27" s="24">
        <f>IF($B27="",0,IF(COUNTIFS($B$5:$B27,$B27,$D$5:$D27,$D27)=1,1,0))</f>
        <v/>
      </c>
      <c r="U27" s="24">
        <f>IF($B27="",0,IF(COUNTIFS($B$5:$B27,$B27,$C$5:$C27,$C27)=1,1,0))</f>
        <v/>
      </c>
      <c r="V27" s="24">
        <f>IF(OR($B27="",$G27="",$G27="لا توجد مشاهدات"),0,1)</f>
        <v/>
      </c>
      <c r="W27" s="24">
        <f>IF(AND($B27&lt;&gt;"",$I27="تم تحرير مخالفة"),1,0)</f>
        <v/>
      </c>
      <c r="X27" s="24">
        <f>IF($B27="","",IF($S27=WkStart,COUNTIF($S$5:$S27,WkStart),""))</f>
        <v/>
      </c>
    </row>
    <row r="28">
      <c r="A28" s="16">
        <f>IF($B28="","",ROW()-4)</f>
        <v/>
      </c>
      <c r="B28" s="17" t="n"/>
      <c r="C28" s="18" t="n"/>
      <c r="D28" s="18" t="n"/>
      <c r="E28" s="19" t="n"/>
      <c r="F28" s="19" t="n"/>
      <c r="G28" s="18" t="n"/>
      <c r="H28" s="18" t="n"/>
      <c r="I28" s="18" t="n"/>
      <c r="J28" s="20" t="n"/>
      <c r="K28" s="21" t="n"/>
      <c r="L28" s="21" t="n"/>
      <c r="M28" s="18" t="n"/>
      <c r="N28" s="22">
        <f>IF($B28="","",CHOOSE(WEEKDAY($B28),"الأحد","الاثنين","الثلاثاء","الأربعاء","الخميس","الجمعة","السبت"))</f>
        <v/>
      </c>
      <c r="O28" s="23">
        <f>IF(OR($K28="",$L28=""),"",HYPERLINK("https://maps.google.com/?q="&amp;$K28&amp;","&amp;$L28,"عرض الموقع"))</f>
        <v/>
      </c>
      <c r="P28" s="23">
        <f>IF(OR($B28="",N($J28)=0),"",HYPERLINK(PhotoDir&amp;"/"&amp;YEAR($B28)&amp;"-"&amp;TEXT(MONTH($B28),"00")&amp;"-"&amp;TEXT(DAY($B28),"00")&amp;"_"&amp;$D28,"فتح الصور ("&amp;$J28&amp;")"))</f>
        <v/>
      </c>
      <c r="Q28" s="24">
        <f>IF($B28="","",MONTH($B28))</f>
        <v/>
      </c>
      <c r="R28" s="24">
        <f>IF($B28="","",YEAR($B28))</f>
        <v/>
      </c>
      <c r="S28" s="25">
        <f>IF($B28="","",$B28-WEEKDAY($B28,3))</f>
        <v/>
      </c>
      <c r="T28" s="24">
        <f>IF($B28="",0,IF(COUNTIFS($B$5:$B28,$B28,$D$5:$D28,$D28)=1,1,0))</f>
        <v/>
      </c>
      <c r="U28" s="24">
        <f>IF($B28="",0,IF(COUNTIFS($B$5:$B28,$B28,$C$5:$C28,$C28)=1,1,0))</f>
        <v/>
      </c>
      <c r="V28" s="24">
        <f>IF(OR($B28="",$G28="",$G28="لا توجد مشاهدات"),0,1)</f>
        <v/>
      </c>
      <c r="W28" s="24">
        <f>IF(AND($B28&lt;&gt;"",$I28="تم تحرير مخالفة"),1,0)</f>
        <v/>
      </c>
      <c r="X28" s="24">
        <f>IF($B28="","",IF($S28=WkStart,COUNTIF($S$5:$S28,WkStart),""))</f>
        <v/>
      </c>
    </row>
    <row r="29">
      <c r="A29" s="16">
        <f>IF($B29="","",ROW()-4)</f>
        <v/>
      </c>
      <c r="B29" s="17" t="n"/>
      <c r="C29" s="18" t="n"/>
      <c r="D29" s="18" t="n"/>
      <c r="E29" s="19" t="n"/>
      <c r="F29" s="19" t="n"/>
      <c r="G29" s="18" t="n"/>
      <c r="H29" s="18" t="n"/>
      <c r="I29" s="18" t="n"/>
      <c r="J29" s="20" t="n"/>
      <c r="K29" s="21" t="n"/>
      <c r="L29" s="21" t="n"/>
      <c r="M29" s="18" t="n"/>
      <c r="N29" s="22">
        <f>IF($B29="","",CHOOSE(WEEKDAY($B29),"الأحد","الاثنين","الثلاثاء","الأربعاء","الخميس","الجمعة","السبت"))</f>
        <v/>
      </c>
      <c r="O29" s="23">
        <f>IF(OR($K29="",$L29=""),"",HYPERLINK("https://maps.google.com/?q="&amp;$K29&amp;","&amp;$L29,"عرض الموقع"))</f>
        <v/>
      </c>
      <c r="P29" s="23">
        <f>IF(OR($B29="",N($J29)=0),"",HYPERLINK(PhotoDir&amp;"/"&amp;YEAR($B29)&amp;"-"&amp;TEXT(MONTH($B29),"00")&amp;"-"&amp;TEXT(DAY($B29),"00")&amp;"_"&amp;$D29,"فتح الصور ("&amp;$J29&amp;")"))</f>
        <v/>
      </c>
      <c r="Q29" s="24">
        <f>IF($B29="","",MONTH($B29))</f>
        <v/>
      </c>
      <c r="R29" s="24">
        <f>IF($B29="","",YEAR($B29))</f>
        <v/>
      </c>
      <c r="S29" s="25">
        <f>IF($B29="","",$B29-WEEKDAY($B29,3))</f>
        <v/>
      </c>
      <c r="T29" s="24">
        <f>IF($B29="",0,IF(COUNTIFS($B$5:$B29,$B29,$D$5:$D29,$D29)=1,1,0))</f>
        <v/>
      </c>
      <c r="U29" s="24">
        <f>IF($B29="",0,IF(COUNTIFS($B$5:$B29,$B29,$C$5:$C29,$C29)=1,1,0))</f>
        <v/>
      </c>
      <c r="V29" s="24">
        <f>IF(OR($B29="",$G29="",$G29="لا توجد مشاهدات"),0,1)</f>
        <v/>
      </c>
      <c r="W29" s="24">
        <f>IF(AND($B29&lt;&gt;"",$I29="تم تحرير مخالفة"),1,0)</f>
        <v/>
      </c>
      <c r="X29" s="24">
        <f>IF($B29="","",IF($S29=WkStart,COUNTIF($S$5:$S29,WkStart),""))</f>
        <v/>
      </c>
    </row>
    <row r="30">
      <c r="A30" s="16">
        <f>IF($B30="","",ROW()-4)</f>
        <v/>
      </c>
      <c r="B30" s="17" t="n"/>
      <c r="C30" s="18" t="n"/>
      <c r="D30" s="18" t="n"/>
      <c r="E30" s="19" t="n"/>
      <c r="F30" s="19" t="n"/>
      <c r="G30" s="18" t="n"/>
      <c r="H30" s="18" t="n"/>
      <c r="I30" s="18" t="n"/>
      <c r="J30" s="20" t="n"/>
      <c r="K30" s="21" t="n"/>
      <c r="L30" s="21" t="n"/>
      <c r="M30" s="18" t="n"/>
      <c r="N30" s="22">
        <f>IF($B30="","",CHOOSE(WEEKDAY($B30),"الأحد","الاثنين","الثلاثاء","الأربعاء","الخميس","الجمعة","السبت"))</f>
        <v/>
      </c>
      <c r="O30" s="23">
        <f>IF(OR($K30="",$L30=""),"",HYPERLINK("https://maps.google.com/?q="&amp;$K30&amp;","&amp;$L30,"عرض الموقع"))</f>
        <v/>
      </c>
      <c r="P30" s="23">
        <f>IF(OR($B30="",N($J30)=0),"",HYPERLINK(PhotoDir&amp;"/"&amp;YEAR($B30)&amp;"-"&amp;TEXT(MONTH($B30),"00")&amp;"-"&amp;TEXT(DAY($B30),"00")&amp;"_"&amp;$D30,"فتح الصور ("&amp;$J30&amp;")"))</f>
        <v/>
      </c>
      <c r="Q30" s="24">
        <f>IF($B30="","",MONTH($B30))</f>
        <v/>
      </c>
      <c r="R30" s="24">
        <f>IF($B30="","",YEAR($B30))</f>
        <v/>
      </c>
      <c r="S30" s="25">
        <f>IF($B30="","",$B30-WEEKDAY($B30,3))</f>
        <v/>
      </c>
      <c r="T30" s="24">
        <f>IF($B30="",0,IF(COUNTIFS($B$5:$B30,$B30,$D$5:$D30,$D30)=1,1,0))</f>
        <v/>
      </c>
      <c r="U30" s="24">
        <f>IF($B30="",0,IF(COUNTIFS($B$5:$B30,$B30,$C$5:$C30,$C30)=1,1,0))</f>
        <v/>
      </c>
      <c r="V30" s="24">
        <f>IF(OR($B30="",$G30="",$G30="لا توجد مشاهدات"),0,1)</f>
        <v/>
      </c>
      <c r="W30" s="24">
        <f>IF(AND($B30&lt;&gt;"",$I30="تم تحرير مخالفة"),1,0)</f>
        <v/>
      </c>
      <c r="X30" s="24">
        <f>IF($B30="","",IF($S30=WkStart,COUNTIF($S$5:$S30,WkStart),""))</f>
        <v/>
      </c>
    </row>
    <row r="31">
      <c r="A31" s="16">
        <f>IF($B31="","",ROW()-4)</f>
        <v/>
      </c>
      <c r="B31" s="17" t="n"/>
      <c r="C31" s="18" t="n"/>
      <c r="D31" s="18" t="n"/>
      <c r="E31" s="19" t="n"/>
      <c r="F31" s="19" t="n"/>
      <c r="G31" s="18" t="n"/>
      <c r="H31" s="18" t="n"/>
      <c r="I31" s="18" t="n"/>
      <c r="J31" s="20" t="n"/>
      <c r="K31" s="21" t="n"/>
      <c r="L31" s="21" t="n"/>
      <c r="M31" s="18" t="n"/>
      <c r="N31" s="22">
        <f>IF($B31="","",CHOOSE(WEEKDAY($B31),"الأحد","الاثنين","الثلاثاء","الأربعاء","الخميس","الجمعة","السبت"))</f>
        <v/>
      </c>
      <c r="O31" s="23">
        <f>IF(OR($K31="",$L31=""),"",HYPERLINK("https://maps.google.com/?q="&amp;$K31&amp;","&amp;$L31,"عرض الموقع"))</f>
        <v/>
      </c>
      <c r="P31" s="23">
        <f>IF(OR($B31="",N($J31)=0),"",HYPERLINK(PhotoDir&amp;"/"&amp;YEAR($B31)&amp;"-"&amp;TEXT(MONTH($B31),"00")&amp;"-"&amp;TEXT(DAY($B31),"00")&amp;"_"&amp;$D31,"فتح الصور ("&amp;$J31&amp;")"))</f>
        <v/>
      </c>
      <c r="Q31" s="24">
        <f>IF($B31="","",MONTH($B31))</f>
        <v/>
      </c>
      <c r="R31" s="24">
        <f>IF($B31="","",YEAR($B31))</f>
        <v/>
      </c>
      <c r="S31" s="25">
        <f>IF($B31="","",$B31-WEEKDAY($B31,3))</f>
        <v/>
      </c>
      <c r="T31" s="24">
        <f>IF($B31="",0,IF(COUNTIFS($B$5:$B31,$B31,$D$5:$D31,$D31)=1,1,0))</f>
        <v/>
      </c>
      <c r="U31" s="24">
        <f>IF($B31="",0,IF(COUNTIFS($B$5:$B31,$B31,$C$5:$C31,$C31)=1,1,0))</f>
        <v/>
      </c>
      <c r="V31" s="24">
        <f>IF(OR($B31="",$G31="",$G31="لا توجد مشاهدات"),0,1)</f>
        <v/>
      </c>
      <c r="W31" s="24">
        <f>IF(AND($B31&lt;&gt;"",$I31="تم تحرير مخالفة"),1,0)</f>
        <v/>
      </c>
      <c r="X31" s="24">
        <f>IF($B31="","",IF($S31=WkStart,COUNTIF($S$5:$S31,WkStart),""))</f>
        <v/>
      </c>
    </row>
    <row r="32">
      <c r="A32" s="16">
        <f>IF($B32="","",ROW()-4)</f>
        <v/>
      </c>
      <c r="B32" s="17" t="n"/>
      <c r="C32" s="18" t="n"/>
      <c r="D32" s="18" t="n"/>
      <c r="E32" s="19" t="n"/>
      <c r="F32" s="19" t="n"/>
      <c r="G32" s="18" t="n"/>
      <c r="H32" s="18" t="n"/>
      <c r="I32" s="18" t="n"/>
      <c r="J32" s="20" t="n"/>
      <c r="K32" s="21" t="n"/>
      <c r="L32" s="21" t="n"/>
      <c r="M32" s="18" t="n"/>
      <c r="N32" s="22">
        <f>IF($B32="","",CHOOSE(WEEKDAY($B32),"الأحد","الاثنين","الثلاثاء","الأربعاء","الخميس","الجمعة","السبت"))</f>
        <v/>
      </c>
      <c r="O32" s="23">
        <f>IF(OR($K32="",$L32=""),"",HYPERLINK("https://maps.google.com/?q="&amp;$K32&amp;","&amp;$L32,"عرض الموقع"))</f>
        <v/>
      </c>
      <c r="P32" s="23">
        <f>IF(OR($B32="",N($J32)=0),"",HYPERLINK(PhotoDir&amp;"/"&amp;YEAR($B32)&amp;"-"&amp;TEXT(MONTH($B32),"00")&amp;"-"&amp;TEXT(DAY($B32),"00")&amp;"_"&amp;$D32,"فتح الصور ("&amp;$J32&amp;")"))</f>
        <v/>
      </c>
      <c r="Q32" s="24">
        <f>IF($B32="","",MONTH($B32))</f>
        <v/>
      </c>
      <c r="R32" s="24">
        <f>IF($B32="","",YEAR($B32))</f>
        <v/>
      </c>
      <c r="S32" s="25">
        <f>IF($B32="","",$B32-WEEKDAY($B32,3))</f>
        <v/>
      </c>
      <c r="T32" s="24">
        <f>IF($B32="",0,IF(COUNTIFS($B$5:$B32,$B32,$D$5:$D32,$D32)=1,1,0))</f>
        <v/>
      </c>
      <c r="U32" s="24">
        <f>IF($B32="",0,IF(COUNTIFS($B$5:$B32,$B32,$C$5:$C32,$C32)=1,1,0))</f>
        <v/>
      </c>
      <c r="V32" s="24">
        <f>IF(OR($B32="",$G32="",$G32="لا توجد مشاهدات"),0,1)</f>
        <v/>
      </c>
      <c r="W32" s="24">
        <f>IF(AND($B32&lt;&gt;"",$I32="تم تحرير مخالفة"),1,0)</f>
        <v/>
      </c>
      <c r="X32" s="24">
        <f>IF($B32="","",IF($S32=WkStart,COUNTIF($S$5:$S32,WkStart),""))</f>
        <v/>
      </c>
    </row>
    <row r="33">
      <c r="A33" s="16">
        <f>IF($B33="","",ROW()-4)</f>
        <v/>
      </c>
      <c r="B33" s="17" t="n"/>
      <c r="C33" s="18" t="n"/>
      <c r="D33" s="18" t="n"/>
      <c r="E33" s="19" t="n"/>
      <c r="F33" s="19" t="n"/>
      <c r="G33" s="18" t="n"/>
      <c r="H33" s="18" t="n"/>
      <c r="I33" s="18" t="n"/>
      <c r="J33" s="20" t="n"/>
      <c r="K33" s="21" t="n"/>
      <c r="L33" s="21" t="n"/>
      <c r="M33" s="18" t="n"/>
      <c r="N33" s="22">
        <f>IF($B33="","",CHOOSE(WEEKDAY($B33),"الأحد","الاثنين","الثلاثاء","الأربعاء","الخميس","الجمعة","السبت"))</f>
        <v/>
      </c>
      <c r="O33" s="23">
        <f>IF(OR($K33="",$L33=""),"",HYPERLINK("https://maps.google.com/?q="&amp;$K33&amp;","&amp;$L33,"عرض الموقع"))</f>
        <v/>
      </c>
      <c r="P33" s="23">
        <f>IF(OR($B33="",N($J33)=0),"",HYPERLINK(PhotoDir&amp;"/"&amp;YEAR($B33)&amp;"-"&amp;TEXT(MONTH($B33),"00")&amp;"-"&amp;TEXT(DAY($B33),"00")&amp;"_"&amp;$D33,"فتح الصور ("&amp;$J33&amp;")"))</f>
        <v/>
      </c>
      <c r="Q33" s="24">
        <f>IF($B33="","",MONTH($B33))</f>
        <v/>
      </c>
      <c r="R33" s="24">
        <f>IF($B33="","",YEAR($B33))</f>
        <v/>
      </c>
      <c r="S33" s="25">
        <f>IF($B33="","",$B33-WEEKDAY($B33,3))</f>
        <v/>
      </c>
      <c r="T33" s="24">
        <f>IF($B33="",0,IF(COUNTIFS($B$5:$B33,$B33,$D$5:$D33,$D33)=1,1,0))</f>
        <v/>
      </c>
      <c r="U33" s="24">
        <f>IF($B33="",0,IF(COUNTIFS($B$5:$B33,$B33,$C$5:$C33,$C33)=1,1,0))</f>
        <v/>
      </c>
      <c r="V33" s="24">
        <f>IF(OR($B33="",$G33="",$G33="لا توجد مشاهدات"),0,1)</f>
        <v/>
      </c>
      <c r="W33" s="24">
        <f>IF(AND($B33&lt;&gt;"",$I33="تم تحرير مخالفة"),1,0)</f>
        <v/>
      </c>
      <c r="X33" s="24">
        <f>IF($B33="","",IF($S33=WkStart,COUNTIF($S$5:$S33,WkStart),""))</f>
        <v/>
      </c>
    </row>
    <row r="34">
      <c r="A34" s="16">
        <f>IF($B34="","",ROW()-4)</f>
        <v/>
      </c>
      <c r="B34" s="17" t="n"/>
      <c r="C34" s="18" t="n"/>
      <c r="D34" s="18" t="n"/>
      <c r="E34" s="19" t="n"/>
      <c r="F34" s="19" t="n"/>
      <c r="G34" s="18" t="n"/>
      <c r="H34" s="18" t="n"/>
      <c r="I34" s="18" t="n"/>
      <c r="J34" s="20" t="n"/>
      <c r="K34" s="21" t="n"/>
      <c r="L34" s="21" t="n"/>
      <c r="M34" s="18" t="n"/>
      <c r="N34" s="22">
        <f>IF($B34="","",CHOOSE(WEEKDAY($B34),"الأحد","الاثنين","الثلاثاء","الأربعاء","الخميس","الجمعة","السبت"))</f>
        <v/>
      </c>
      <c r="O34" s="23">
        <f>IF(OR($K34="",$L34=""),"",HYPERLINK("https://maps.google.com/?q="&amp;$K34&amp;","&amp;$L34,"عرض الموقع"))</f>
        <v/>
      </c>
      <c r="P34" s="23">
        <f>IF(OR($B34="",N($J34)=0),"",HYPERLINK(PhotoDir&amp;"/"&amp;YEAR($B34)&amp;"-"&amp;TEXT(MONTH($B34),"00")&amp;"-"&amp;TEXT(DAY($B34),"00")&amp;"_"&amp;$D34,"فتح الصور ("&amp;$J34&amp;")"))</f>
        <v/>
      </c>
      <c r="Q34" s="24">
        <f>IF($B34="","",MONTH($B34))</f>
        <v/>
      </c>
      <c r="R34" s="24">
        <f>IF($B34="","",YEAR($B34))</f>
        <v/>
      </c>
      <c r="S34" s="25">
        <f>IF($B34="","",$B34-WEEKDAY($B34,3))</f>
        <v/>
      </c>
      <c r="T34" s="24">
        <f>IF($B34="",0,IF(COUNTIFS($B$5:$B34,$B34,$D$5:$D34,$D34)=1,1,0))</f>
        <v/>
      </c>
      <c r="U34" s="24">
        <f>IF($B34="",0,IF(COUNTIFS($B$5:$B34,$B34,$C$5:$C34,$C34)=1,1,0))</f>
        <v/>
      </c>
      <c r="V34" s="24">
        <f>IF(OR($B34="",$G34="",$G34="لا توجد مشاهدات"),0,1)</f>
        <v/>
      </c>
      <c r="W34" s="24">
        <f>IF(AND($B34&lt;&gt;"",$I34="تم تحرير مخالفة"),1,0)</f>
        <v/>
      </c>
      <c r="X34" s="24">
        <f>IF($B34="","",IF($S34=WkStart,COUNTIF($S$5:$S34,WkStart),""))</f>
        <v/>
      </c>
    </row>
    <row r="35">
      <c r="A35" s="16">
        <f>IF($B35="","",ROW()-4)</f>
        <v/>
      </c>
      <c r="B35" s="17" t="n"/>
      <c r="C35" s="18" t="n"/>
      <c r="D35" s="18" t="n"/>
      <c r="E35" s="19" t="n"/>
      <c r="F35" s="19" t="n"/>
      <c r="G35" s="18" t="n"/>
      <c r="H35" s="18" t="n"/>
      <c r="I35" s="18" t="n"/>
      <c r="J35" s="20" t="n"/>
      <c r="K35" s="21" t="n"/>
      <c r="L35" s="21" t="n"/>
      <c r="M35" s="18" t="n"/>
      <c r="N35" s="22">
        <f>IF($B35="","",CHOOSE(WEEKDAY($B35),"الأحد","الاثنين","الثلاثاء","الأربعاء","الخميس","الجمعة","السبت"))</f>
        <v/>
      </c>
      <c r="O35" s="23">
        <f>IF(OR($K35="",$L35=""),"",HYPERLINK("https://maps.google.com/?q="&amp;$K35&amp;","&amp;$L35,"عرض الموقع"))</f>
        <v/>
      </c>
      <c r="P35" s="23">
        <f>IF(OR($B35="",N($J35)=0),"",HYPERLINK(PhotoDir&amp;"/"&amp;YEAR($B35)&amp;"-"&amp;TEXT(MONTH($B35),"00")&amp;"-"&amp;TEXT(DAY($B35),"00")&amp;"_"&amp;$D35,"فتح الصور ("&amp;$J35&amp;")"))</f>
        <v/>
      </c>
      <c r="Q35" s="24">
        <f>IF($B35="","",MONTH($B35))</f>
        <v/>
      </c>
      <c r="R35" s="24">
        <f>IF($B35="","",YEAR($B35))</f>
        <v/>
      </c>
      <c r="S35" s="25">
        <f>IF($B35="","",$B35-WEEKDAY($B35,3))</f>
        <v/>
      </c>
      <c r="T35" s="24">
        <f>IF($B35="",0,IF(COUNTIFS($B$5:$B35,$B35,$D$5:$D35,$D35)=1,1,0))</f>
        <v/>
      </c>
      <c r="U35" s="24">
        <f>IF($B35="",0,IF(COUNTIFS($B$5:$B35,$B35,$C$5:$C35,$C35)=1,1,0))</f>
        <v/>
      </c>
      <c r="V35" s="24">
        <f>IF(OR($B35="",$G35="",$G35="لا توجد مشاهدات"),0,1)</f>
        <v/>
      </c>
      <c r="W35" s="24">
        <f>IF(AND($B35&lt;&gt;"",$I35="تم تحرير مخالفة"),1,0)</f>
        <v/>
      </c>
      <c r="X35" s="24">
        <f>IF($B35="","",IF($S35=WkStart,COUNTIF($S$5:$S35,WkStart),""))</f>
        <v/>
      </c>
    </row>
    <row r="36">
      <c r="A36" s="16">
        <f>IF($B36="","",ROW()-4)</f>
        <v/>
      </c>
      <c r="B36" s="17" t="n"/>
      <c r="C36" s="18" t="n"/>
      <c r="D36" s="18" t="n"/>
      <c r="E36" s="19" t="n"/>
      <c r="F36" s="19" t="n"/>
      <c r="G36" s="18" t="n"/>
      <c r="H36" s="18" t="n"/>
      <c r="I36" s="18" t="n"/>
      <c r="J36" s="20" t="n"/>
      <c r="K36" s="21" t="n"/>
      <c r="L36" s="21" t="n"/>
      <c r="M36" s="18" t="n"/>
      <c r="N36" s="22">
        <f>IF($B36="","",CHOOSE(WEEKDAY($B36),"الأحد","الاثنين","الثلاثاء","الأربعاء","الخميس","الجمعة","السبت"))</f>
        <v/>
      </c>
      <c r="O36" s="23">
        <f>IF(OR($K36="",$L36=""),"",HYPERLINK("https://maps.google.com/?q="&amp;$K36&amp;","&amp;$L36,"عرض الموقع"))</f>
        <v/>
      </c>
      <c r="P36" s="23">
        <f>IF(OR($B36="",N($J36)=0),"",HYPERLINK(PhotoDir&amp;"/"&amp;YEAR($B36)&amp;"-"&amp;TEXT(MONTH($B36),"00")&amp;"-"&amp;TEXT(DAY($B36),"00")&amp;"_"&amp;$D36,"فتح الصور ("&amp;$J36&amp;")"))</f>
        <v/>
      </c>
      <c r="Q36" s="24">
        <f>IF($B36="","",MONTH($B36))</f>
        <v/>
      </c>
      <c r="R36" s="24">
        <f>IF($B36="","",YEAR($B36))</f>
        <v/>
      </c>
      <c r="S36" s="25">
        <f>IF($B36="","",$B36-WEEKDAY($B36,3))</f>
        <v/>
      </c>
      <c r="T36" s="24">
        <f>IF($B36="",0,IF(COUNTIFS($B$5:$B36,$B36,$D$5:$D36,$D36)=1,1,0))</f>
        <v/>
      </c>
      <c r="U36" s="24">
        <f>IF($B36="",0,IF(COUNTIFS($B$5:$B36,$B36,$C$5:$C36,$C36)=1,1,0))</f>
        <v/>
      </c>
      <c r="V36" s="24">
        <f>IF(OR($B36="",$G36="",$G36="لا توجد مشاهدات"),0,1)</f>
        <v/>
      </c>
      <c r="W36" s="24">
        <f>IF(AND($B36&lt;&gt;"",$I36="تم تحرير مخالفة"),1,0)</f>
        <v/>
      </c>
      <c r="X36" s="24">
        <f>IF($B36="","",IF($S36=WkStart,COUNTIF($S$5:$S36,WkStart),""))</f>
        <v/>
      </c>
    </row>
    <row r="37">
      <c r="A37" s="16">
        <f>IF($B37="","",ROW()-4)</f>
        <v/>
      </c>
      <c r="B37" s="17" t="n"/>
      <c r="C37" s="18" t="n"/>
      <c r="D37" s="18" t="n"/>
      <c r="E37" s="19" t="n"/>
      <c r="F37" s="19" t="n"/>
      <c r="G37" s="18" t="n"/>
      <c r="H37" s="18" t="n"/>
      <c r="I37" s="18" t="n"/>
      <c r="J37" s="20" t="n"/>
      <c r="K37" s="21" t="n"/>
      <c r="L37" s="21" t="n"/>
      <c r="M37" s="18" t="n"/>
      <c r="N37" s="22">
        <f>IF($B37="","",CHOOSE(WEEKDAY($B37),"الأحد","الاثنين","الثلاثاء","الأربعاء","الخميس","الجمعة","السبت"))</f>
        <v/>
      </c>
      <c r="O37" s="23">
        <f>IF(OR($K37="",$L37=""),"",HYPERLINK("https://maps.google.com/?q="&amp;$K37&amp;","&amp;$L37,"عرض الموقع"))</f>
        <v/>
      </c>
      <c r="P37" s="23">
        <f>IF(OR($B37="",N($J37)=0),"",HYPERLINK(PhotoDir&amp;"/"&amp;YEAR($B37)&amp;"-"&amp;TEXT(MONTH($B37),"00")&amp;"-"&amp;TEXT(DAY($B37),"00")&amp;"_"&amp;$D37,"فتح الصور ("&amp;$J37&amp;")"))</f>
        <v/>
      </c>
      <c r="Q37" s="24">
        <f>IF($B37="","",MONTH($B37))</f>
        <v/>
      </c>
      <c r="R37" s="24">
        <f>IF($B37="","",YEAR($B37))</f>
        <v/>
      </c>
      <c r="S37" s="25">
        <f>IF($B37="","",$B37-WEEKDAY($B37,3))</f>
        <v/>
      </c>
      <c r="T37" s="24">
        <f>IF($B37="",0,IF(COUNTIFS($B$5:$B37,$B37,$D$5:$D37,$D37)=1,1,0))</f>
        <v/>
      </c>
      <c r="U37" s="24">
        <f>IF($B37="",0,IF(COUNTIFS($B$5:$B37,$B37,$C$5:$C37,$C37)=1,1,0))</f>
        <v/>
      </c>
      <c r="V37" s="24">
        <f>IF(OR($B37="",$G37="",$G37="لا توجد مشاهدات"),0,1)</f>
        <v/>
      </c>
      <c r="W37" s="24">
        <f>IF(AND($B37&lt;&gt;"",$I37="تم تحرير مخالفة"),1,0)</f>
        <v/>
      </c>
      <c r="X37" s="24">
        <f>IF($B37="","",IF($S37=WkStart,COUNTIF($S$5:$S37,WkStart),""))</f>
        <v/>
      </c>
    </row>
    <row r="38">
      <c r="A38" s="16">
        <f>IF($B38="","",ROW()-4)</f>
        <v/>
      </c>
      <c r="B38" s="17" t="n"/>
      <c r="C38" s="18" t="n"/>
      <c r="D38" s="18" t="n"/>
      <c r="E38" s="19" t="n"/>
      <c r="F38" s="19" t="n"/>
      <c r="G38" s="18" t="n"/>
      <c r="H38" s="18" t="n"/>
      <c r="I38" s="18" t="n"/>
      <c r="J38" s="20" t="n"/>
      <c r="K38" s="21" t="n"/>
      <c r="L38" s="21" t="n"/>
      <c r="M38" s="18" t="n"/>
      <c r="N38" s="22">
        <f>IF($B38="","",CHOOSE(WEEKDAY($B38),"الأحد","الاثنين","الثلاثاء","الأربعاء","الخميس","الجمعة","السبت"))</f>
        <v/>
      </c>
      <c r="O38" s="23">
        <f>IF(OR($K38="",$L38=""),"",HYPERLINK("https://maps.google.com/?q="&amp;$K38&amp;","&amp;$L38,"عرض الموقع"))</f>
        <v/>
      </c>
      <c r="P38" s="23">
        <f>IF(OR($B38="",N($J38)=0),"",HYPERLINK(PhotoDir&amp;"/"&amp;YEAR($B38)&amp;"-"&amp;TEXT(MONTH($B38),"00")&amp;"-"&amp;TEXT(DAY($B38),"00")&amp;"_"&amp;$D38,"فتح الصور ("&amp;$J38&amp;")"))</f>
        <v/>
      </c>
      <c r="Q38" s="24">
        <f>IF($B38="","",MONTH($B38))</f>
        <v/>
      </c>
      <c r="R38" s="24">
        <f>IF($B38="","",YEAR($B38))</f>
        <v/>
      </c>
      <c r="S38" s="25">
        <f>IF($B38="","",$B38-WEEKDAY($B38,3))</f>
        <v/>
      </c>
      <c r="T38" s="24">
        <f>IF($B38="",0,IF(COUNTIFS($B$5:$B38,$B38,$D$5:$D38,$D38)=1,1,0))</f>
        <v/>
      </c>
      <c r="U38" s="24">
        <f>IF($B38="",0,IF(COUNTIFS($B$5:$B38,$B38,$C$5:$C38,$C38)=1,1,0))</f>
        <v/>
      </c>
      <c r="V38" s="24">
        <f>IF(OR($B38="",$G38="",$G38="لا توجد مشاهدات"),0,1)</f>
        <v/>
      </c>
      <c r="W38" s="24">
        <f>IF(AND($B38&lt;&gt;"",$I38="تم تحرير مخالفة"),1,0)</f>
        <v/>
      </c>
      <c r="X38" s="24">
        <f>IF($B38="","",IF($S38=WkStart,COUNTIF($S$5:$S38,WkStart),""))</f>
        <v/>
      </c>
    </row>
    <row r="39">
      <c r="A39" s="16">
        <f>IF($B39="","",ROW()-4)</f>
        <v/>
      </c>
      <c r="B39" s="17" t="n"/>
      <c r="C39" s="18" t="n"/>
      <c r="D39" s="18" t="n"/>
      <c r="E39" s="19" t="n"/>
      <c r="F39" s="19" t="n"/>
      <c r="G39" s="18" t="n"/>
      <c r="H39" s="18" t="n"/>
      <c r="I39" s="18" t="n"/>
      <c r="J39" s="20" t="n"/>
      <c r="K39" s="21" t="n"/>
      <c r="L39" s="21" t="n"/>
      <c r="M39" s="18" t="n"/>
      <c r="N39" s="22">
        <f>IF($B39="","",CHOOSE(WEEKDAY($B39),"الأحد","الاثنين","الثلاثاء","الأربعاء","الخميس","الجمعة","السبت"))</f>
        <v/>
      </c>
      <c r="O39" s="23">
        <f>IF(OR($K39="",$L39=""),"",HYPERLINK("https://maps.google.com/?q="&amp;$K39&amp;","&amp;$L39,"عرض الموقع"))</f>
        <v/>
      </c>
      <c r="P39" s="23">
        <f>IF(OR($B39="",N($J39)=0),"",HYPERLINK(PhotoDir&amp;"/"&amp;YEAR($B39)&amp;"-"&amp;TEXT(MONTH($B39),"00")&amp;"-"&amp;TEXT(DAY($B39),"00")&amp;"_"&amp;$D39,"فتح الصور ("&amp;$J39&amp;")"))</f>
        <v/>
      </c>
      <c r="Q39" s="24">
        <f>IF($B39="","",MONTH($B39))</f>
        <v/>
      </c>
      <c r="R39" s="24">
        <f>IF($B39="","",YEAR($B39))</f>
        <v/>
      </c>
      <c r="S39" s="25">
        <f>IF($B39="","",$B39-WEEKDAY($B39,3))</f>
        <v/>
      </c>
      <c r="T39" s="24">
        <f>IF($B39="",0,IF(COUNTIFS($B$5:$B39,$B39,$D$5:$D39,$D39)=1,1,0))</f>
        <v/>
      </c>
      <c r="U39" s="24">
        <f>IF($B39="",0,IF(COUNTIFS($B$5:$B39,$B39,$C$5:$C39,$C39)=1,1,0))</f>
        <v/>
      </c>
      <c r="V39" s="24">
        <f>IF(OR($B39="",$G39="",$G39="لا توجد مشاهدات"),0,1)</f>
        <v/>
      </c>
      <c r="W39" s="24">
        <f>IF(AND($B39&lt;&gt;"",$I39="تم تحرير مخالفة"),1,0)</f>
        <v/>
      </c>
      <c r="X39" s="24">
        <f>IF($B39="","",IF($S39=WkStart,COUNTIF($S$5:$S39,WkStart),""))</f>
        <v/>
      </c>
    </row>
    <row r="40">
      <c r="A40" s="16">
        <f>IF($B40="","",ROW()-4)</f>
        <v/>
      </c>
      <c r="B40" s="17" t="n"/>
      <c r="C40" s="18" t="n"/>
      <c r="D40" s="18" t="n"/>
      <c r="E40" s="19" t="n"/>
      <c r="F40" s="19" t="n"/>
      <c r="G40" s="18" t="n"/>
      <c r="H40" s="18" t="n"/>
      <c r="I40" s="18" t="n"/>
      <c r="J40" s="20" t="n"/>
      <c r="K40" s="21" t="n"/>
      <c r="L40" s="21" t="n"/>
      <c r="M40" s="18" t="n"/>
      <c r="N40" s="22">
        <f>IF($B40="","",CHOOSE(WEEKDAY($B40),"الأحد","الاثنين","الثلاثاء","الأربعاء","الخميس","الجمعة","السبت"))</f>
        <v/>
      </c>
      <c r="O40" s="23">
        <f>IF(OR($K40="",$L40=""),"",HYPERLINK("https://maps.google.com/?q="&amp;$K40&amp;","&amp;$L40,"عرض الموقع"))</f>
        <v/>
      </c>
      <c r="P40" s="23">
        <f>IF(OR($B40="",N($J40)=0),"",HYPERLINK(PhotoDir&amp;"/"&amp;YEAR($B40)&amp;"-"&amp;TEXT(MONTH($B40),"00")&amp;"-"&amp;TEXT(DAY($B40),"00")&amp;"_"&amp;$D40,"فتح الصور ("&amp;$J40&amp;")"))</f>
        <v/>
      </c>
      <c r="Q40" s="24">
        <f>IF($B40="","",MONTH($B40))</f>
        <v/>
      </c>
      <c r="R40" s="24">
        <f>IF($B40="","",YEAR($B40))</f>
        <v/>
      </c>
      <c r="S40" s="25">
        <f>IF($B40="","",$B40-WEEKDAY($B40,3))</f>
        <v/>
      </c>
      <c r="T40" s="24">
        <f>IF($B40="",0,IF(COUNTIFS($B$5:$B40,$B40,$D$5:$D40,$D40)=1,1,0))</f>
        <v/>
      </c>
      <c r="U40" s="24">
        <f>IF($B40="",0,IF(COUNTIFS($B$5:$B40,$B40,$C$5:$C40,$C40)=1,1,0))</f>
        <v/>
      </c>
      <c r="V40" s="24">
        <f>IF(OR($B40="",$G40="",$G40="لا توجد مشاهدات"),0,1)</f>
        <v/>
      </c>
      <c r="W40" s="24">
        <f>IF(AND($B40&lt;&gt;"",$I40="تم تحرير مخالفة"),1,0)</f>
        <v/>
      </c>
      <c r="X40" s="24">
        <f>IF($B40="","",IF($S40=WkStart,COUNTIF($S$5:$S40,WkStart),""))</f>
        <v/>
      </c>
    </row>
    <row r="41">
      <c r="A41" s="16">
        <f>IF($B41="","",ROW()-4)</f>
        <v/>
      </c>
      <c r="B41" s="17" t="n"/>
      <c r="C41" s="18" t="n"/>
      <c r="D41" s="18" t="n"/>
      <c r="E41" s="19" t="n"/>
      <c r="F41" s="19" t="n"/>
      <c r="G41" s="18" t="n"/>
      <c r="H41" s="18" t="n"/>
      <c r="I41" s="18" t="n"/>
      <c r="J41" s="20" t="n"/>
      <c r="K41" s="21" t="n"/>
      <c r="L41" s="21" t="n"/>
      <c r="M41" s="18" t="n"/>
      <c r="N41" s="22">
        <f>IF($B41="","",CHOOSE(WEEKDAY($B41),"الأحد","الاثنين","الثلاثاء","الأربعاء","الخميس","الجمعة","السبت"))</f>
        <v/>
      </c>
      <c r="O41" s="23">
        <f>IF(OR($K41="",$L41=""),"",HYPERLINK("https://maps.google.com/?q="&amp;$K41&amp;","&amp;$L41,"عرض الموقع"))</f>
        <v/>
      </c>
      <c r="P41" s="23">
        <f>IF(OR($B41="",N($J41)=0),"",HYPERLINK(PhotoDir&amp;"/"&amp;YEAR($B41)&amp;"-"&amp;TEXT(MONTH($B41),"00")&amp;"-"&amp;TEXT(DAY($B41),"00")&amp;"_"&amp;$D41,"فتح الصور ("&amp;$J41&amp;")"))</f>
        <v/>
      </c>
      <c r="Q41" s="24">
        <f>IF($B41="","",MONTH($B41))</f>
        <v/>
      </c>
      <c r="R41" s="24">
        <f>IF($B41="","",YEAR($B41))</f>
        <v/>
      </c>
      <c r="S41" s="25">
        <f>IF($B41="","",$B41-WEEKDAY($B41,3))</f>
        <v/>
      </c>
      <c r="T41" s="24">
        <f>IF($B41="",0,IF(COUNTIFS($B$5:$B41,$B41,$D$5:$D41,$D41)=1,1,0))</f>
        <v/>
      </c>
      <c r="U41" s="24">
        <f>IF($B41="",0,IF(COUNTIFS($B$5:$B41,$B41,$C$5:$C41,$C41)=1,1,0))</f>
        <v/>
      </c>
      <c r="V41" s="24">
        <f>IF(OR($B41="",$G41="",$G41="لا توجد مشاهدات"),0,1)</f>
        <v/>
      </c>
      <c r="W41" s="24">
        <f>IF(AND($B41&lt;&gt;"",$I41="تم تحرير مخالفة"),1,0)</f>
        <v/>
      </c>
      <c r="X41" s="24">
        <f>IF($B41="","",IF($S41=WkStart,COUNTIF($S$5:$S41,WkStart),""))</f>
        <v/>
      </c>
    </row>
    <row r="42">
      <c r="A42" s="16">
        <f>IF($B42="","",ROW()-4)</f>
        <v/>
      </c>
      <c r="B42" s="17" t="n"/>
      <c r="C42" s="18" t="n"/>
      <c r="D42" s="18" t="n"/>
      <c r="E42" s="19" t="n"/>
      <c r="F42" s="19" t="n"/>
      <c r="G42" s="18" t="n"/>
      <c r="H42" s="18" t="n"/>
      <c r="I42" s="18" t="n"/>
      <c r="J42" s="20" t="n"/>
      <c r="K42" s="21" t="n"/>
      <c r="L42" s="21" t="n"/>
      <c r="M42" s="18" t="n"/>
      <c r="N42" s="22">
        <f>IF($B42="","",CHOOSE(WEEKDAY($B42),"الأحد","الاثنين","الثلاثاء","الأربعاء","الخميس","الجمعة","السبت"))</f>
        <v/>
      </c>
      <c r="O42" s="23">
        <f>IF(OR($K42="",$L42=""),"",HYPERLINK("https://maps.google.com/?q="&amp;$K42&amp;","&amp;$L42,"عرض الموقع"))</f>
        <v/>
      </c>
      <c r="P42" s="23">
        <f>IF(OR($B42="",N($J42)=0),"",HYPERLINK(PhotoDir&amp;"/"&amp;YEAR($B42)&amp;"-"&amp;TEXT(MONTH($B42),"00")&amp;"-"&amp;TEXT(DAY($B42),"00")&amp;"_"&amp;$D42,"فتح الصور ("&amp;$J42&amp;")"))</f>
        <v/>
      </c>
      <c r="Q42" s="24">
        <f>IF($B42="","",MONTH($B42))</f>
        <v/>
      </c>
      <c r="R42" s="24">
        <f>IF($B42="","",YEAR($B42))</f>
        <v/>
      </c>
      <c r="S42" s="25">
        <f>IF($B42="","",$B42-WEEKDAY($B42,3))</f>
        <v/>
      </c>
      <c r="T42" s="24">
        <f>IF($B42="",0,IF(COUNTIFS($B$5:$B42,$B42,$D$5:$D42,$D42)=1,1,0))</f>
        <v/>
      </c>
      <c r="U42" s="24">
        <f>IF($B42="",0,IF(COUNTIFS($B$5:$B42,$B42,$C$5:$C42,$C42)=1,1,0))</f>
        <v/>
      </c>
      <c r="V42" s="24">
        <f>IF(OR($B42="",$G42="",$G42="لا توجد مشاهدات"),0,1)</f>
        <v/>
      </c>
      <c r="W42" s="24">
        <f>IF(AND($B42&lt;&gt;"",$I42="تم تحرير مخالفة"),1,0)</f>
        <v/>
      </c>
      <c r="X42" s="24">
        <f>IF($B42="","",IF($S42=WkStart,COUNTIF($S$5:$S42,WkStart),""))</f>
        <v/>
      </c>
    </row>
    <row r="43">
      <c r="A43" s="16">
        <f>IF($B43="","",ROW()-4)</f>
        <v/>
      </c>
      <c r="B43" s="17" t="n"/>
      <c r="C43" s="18" t="n"/>
      <c r="D43" s="18" t="n"/>
      <c r="E43" s="19" t="n"/>
      <c r="F43" s="19" t="n"/>
      <c r="G43" s="18" t="n"/>
      <c r="H43" s="18" t="n"/>
      <c r="I43" s="18" t="n"/>
      <c r="J43" s="20" t="n"/>
      <c r="K43" s="21" t="n"/>
      <c r="L43" s="21" t="n"/>
      <c r="M43" s="18" t="n"/>
      <c r="N43" s="22">
        <f>IF($B43="","",CHOOSE(WEEKDAY($B43),"الأحد","الاثنين","الثلاثاء","الأربعاء","الخميس","الجمعة","السبت"))</f>
        <v/>
      </c>
      <c r="O43" s="23">
        <f>IF(OR($K43="",$L43=""),"",HYPERLINK("https://maps.google.com/?q="&amp;$K43&amp;","&amp;$L43,"عرض الموقع"))</f>
        <v/>
      </c>
      <c r="P43" s="23">
        <f>IF(OR($B43="",N($J43)=0),"",HYPERLINK(PhotoDir&amp;"/"&amp;YEAR($B43)&amp;"-"&amp;TEXT(MONTH($B43),"00")&amp;"-"&amp;TEXT(DAY($B43),"00")&amp;"_"&amp;$D43,"فتح الصور ("&amp;$J43&amp;")"))</f>
        <v/>
      </c>
      <c r="Q43" s="24">
        <f>IF($B43="","",MONTH($B43))</f>
        <v/>
      </c>
      <c r="R43" s="24">
        <f>IF($B43="","",YEAR($B43))</f>
        <v/>
      </c>
      <c r="S43" s="25">
        <f>IF($B43="","",$B43-WEEKDAY($B43,3))</f>
        <v/>
      </c>
      <c r="T43" s="24">
        <f>IF($B43="",0,IF(COUNTIFS($B$5:$B43,$B43,$D$5:$D43,$D43)=1,1,0))</f>
        <v/>
      </c>
      <c r="U43" s="24">
        <f>IF($B43="",0,IF(COUNTIFS($B$5:$B43,$B43,$C$5:$C43,$C43)=1,1,0))</f>
        <v/>
      </c>
      <c r="V43" s="24">
        <f>IF(OR($B43="",$G43="",$G43="لا توجد مشاهدات"),0,1)</f>
        <v/>
      </c>
      <c r="W43" s="24">
        <f>IF(AND($B43&lt;&gt;"",$I43="تم تحرير مخالفة"),1,0)</f>
        <v/>
      </c>
      <c r="X43" s="24">
        <f>IF($B43="","",IF($S43=WkStart,COUNTIF($S$5:$S43,WkStart),""))</f>
        <v/>
      </c>
    </row>
    <row r="44">
      <c r="A44" s="16">
        <f>IF($B44="","",ROW()-4)</f>
        <v/>
      </c>
      <c r="B44" s="17" t="n"/>
      <c r="C44" s="18" t="n"/>
      <c r="D44" s="18" t="n"/>
      <c r="E44" s="19" t="n"/>
      <c r="F44" s="19" t="n"/>
      <c r="G44" s="18" t="n"/>
      <c r="H44" s="18" t="n"/>
      <c r="I44" s="18" t="n"/>
      <c r="J44" s="20" t="n"/>
      <c r="K44" s="21" t="n"/>
      <c r="L44" s="21" t="n"/>
      <c r="M44" s="18" t="n"/>
      <c r="N44" s="22">
        <f>IF($B44="","",CHOOSE(WEEKDAY($B44),"الأحد","الاثنين","الثلاثاء","الأربعاء","الخميس","الجمعة","السبت"))</f>
        <v/>
      </c>
      <c r="O44" s="23">
        <f>IF(OR($K44="",$L44=""),"",HYPERLINK("https://maps.google.com/?q="&amp;$K44&amp;","&amp;$L44,"عرض الموقع"))</f>
        <v/>
      </c>
      <c r="P44" s="23">
        <f>IF(OR($B44="",N($J44)=0),"",HYPERLINK(PhotoDir&amp;"/"&amp;YEAR($B44)&amp;"-"&amp;TEXT(MONTH($B44),"00")&amp;"-"&amp;TEXT(DAY($B44),"00")&amp;"_"&amp;$D44,"فتح الصور ("&amp;$J44&amp;")"))</f>
        <v/>
      </c>
      <c r="Q44" s="24">
        <f>IF($B44="","",MONTH($B44))</f>
        <v/>
      </c>
      <c r="R44" s="24">
        <f>IF($B44="","",YEAR($B44))</f>
        <v/>
      </c>
      <c r="S44" s="25">
        <f>IF($B44="","",$B44-WEEKDAY($B44,3))</f>
        <v/>
      </c>
      <c r="T44" s="24">
        <f>IF($B44="",0,IF(COUNTIFS($B$5:$B44,$B44,$D$5:$D44,$D44)=1,1,0))</f>
        <v/>
      </c>
      <c r="U44" s="24">
        <f>IF($B44="",0,IF(COUNTIFS($B$5:$B44,$B44,$C$5:$C44,$C44)=1,1,0))</f>
        <v/>
      </c>
      <c r="V44" s="24">
        <f>IF(OR($B44="",$G44="",$G44="لا توجد مشاهدات"),0,1)</f>
        <v/>
      </c>
      <c r="W44" s="24">
        <f>IF(AND($B44&lt;&gt;"",$I44="تم تحرير مخالفة"),1,0)</f>
        <v/>
      </c>
      <c r="X44" s="24">
        <f>IF($B44="","",IF($S44=WkStart,COUNTIF($S$5:$S44,WkStart),""))</f>
        <v/>
      </c>
    </row>
    <row r="45">
      <c r="A45" s="16">
        <f>IF($B45="","",ROW()-4)</f>
        <v/>
      </c>
      <c r="B45" s="17" t="n"/>
      <c r="C45" s="18" t="n"/>
      <c r="D45" s="18" t="n"/>
      <c r="E45" s="19" t="n"/>
      <c r="F45" s="19" t="n"/>
      <c r="G45" s="18" t="n"/>
      <c r="H45" s="18" t="n"/>
      <c r="I45" s="18" t="n"/>
      <c r="J45" s="20" t="n"/>
      <c r="K45" s="21" t="n"/>
      <c r="L45" s="21" t="n"/>
      <c r="M45" s="18" t="n"/>
      <c r="N45" s="22">
        <f>IF($B45="","",CHOOSE(WEEKDAY($B45),"الأحد","الاثنين","الثلاثاء","الأربعاء","الخميس","الجمعة","السبت"))</f>
        <v/>
      </c>
      <c r="O45" s="23">
        <f>IF(OR($K45="",$L45=""),"",HYPERLINK("https://maps.google.com/?q="&amp;$K45&amp;","&amp;$L45,"عرض الموقع"))</f>
        <v/>
      </c>
      <c r="P45" s="23">
        <f>IF(OR($B45="",N($J45)=0),"",HYPERLINK(PhotoDir&amp;"/"&amp;YEAR($B45)&amp;"-"&amp;TEXT(MONTH($B45),"00")&amp;"-"&amp;TEXT(DAY($B45),"00")&amp;"_"&amp;$D45,"فتح الصور ("&amp;$J45&amp;")"))</f>
        <v/>
      </c>
      <c r="Q45" s="24">
        <f>IF($B45="","",MONTH($B45))</f>
        <v/>
      </c>
      <c r="R45" s="24">
        <f>IF($B45="","",YEAR($B45))</f>
        <v/>
      </c>
      <c r="S45" s="25">
        <f>IF($B45="","",$B45-WEEKDAY($B45,3))</f>
        <v/>
      </c>
      <c r="T45" s="24">
        <f>IF($B45="",0,IF(COUNTIFS($B$5:$B45,$B45,$D$5:$D45,$D45)=1,1,0))</f>
        <v/>
      </c>
      <c r="U45" s="24">
        <f>IF($B45="",0,IF(COUNTIFS($B$5:$B45,$B45,$C$5:$C45,$C45)=1,1,0))</f>
        <v/>
      </c>
      <c r="V45" s="24">
        <f>IF(OR($B45="",$G45="",$G45="لا توجد مشاهدات"),0,1)</f>
        <v/>
      </c>
      <c r="W45" s="24">
        <f>IF(AND($B45&lt;&gt;"",$I45="تم تحرير مخالفة"),1,0)</f>
        <v/>
      </c>
      <c r="X45" s="24">
        <f>IF($B45="","",IF($S45=WkStart,COUNTIF($S$5:$S45,WkStart),""))</f>
        <v/>
      </c>
    </row>
    <row r="46">
      <c r="A46" s="16">
        <f>IF($B46="","",ROW()-4)</f>
        <v/>
      </c>
      <c r="B46" s="17" t="n"/>
      <c r="C46" s="18" t="n"/>
      <c r="D46" s="18" t="n"/>
      <c r="E46" s="19" t="n"/>
      <c r="F46" s="19" t="n"/>
      <c r="G46" s="18" t="n"/>
      <c r="H46" s="18" t="n"/>
      <c r="I46" s="18" t="n"/>
      <c r="J46" s="20" t="n"/>
      <c r="K46" s="21" t="n"/>
      <c r="L46" s="21" t="n"/>
      <c r="M46" s="18" t="n"/>
      <c r="N46" s="22">
        <f>IF($B46="","",CHOOSE(WEEKDAY($B46),"الأحد","الاثنين","الثلاثاء","الأربعاء","الخميس","الجمعة","السبت"))</f>
        <v/>
      </c>
      <c r="O46" s="23">
        <f>IF(OR($K46="",$L46=""),"",HYPERLINK("https://maps.google.com/?q="&amp;$K46&amp;","&amp;$L46,"عرض الموقع"))</f>
        <v/>
      </c>
      <c r="P46" s="23">
        <f>IF(OR($B46="",N($J46)=0),"",HYPERLINK(PhotoDir&amp;"/"&amp;YEAR($B46)&amp;"-"&amp;TEXT(MONTH($B46),"00")&amp;"-"&amp;TEXT(DAY($B46),"00")&amp;"_"&amp;$D46,"فتح الصور ("&amp;$J46&amp;")"))</f>
        <v/>
      </c>
      <c r="Q46" s="24">
        <f>IF($B46="","",MONTH($B46))</f>
        <v/>
      </c>
      <c r="R46" s="24">
        <f>IF($B46="","",YEAR($B46))</f>
        <v/>
      </c>
      <c r="S46" s="25">
        <f>IF($B46="","",$B46-WEEKDAY($B46,3))</f>
        <v/>
      </c>
      <c r="T46" s="24">
        <f>IF($B46="",0,IF(COUNTIFS($B$5:$B46,$B46,$D$5:$D46,$D46)=1,1,0))</f>
        <v/>
      </c>
      <c r="U46" s="24">
        <f>IF($B46="",0,IF(COUNTIFS($B$5:$B46,$B46,$C$5:$C46,$C46)=1,1,0))</f>
        <v/>
      </c>
      <c r="V46" s="24">
        <f>IF(OR($B46="",$G46="",$G46="لا توجد مشاهدات"),0,1)</f>
        <v/>
      </c>
      <c r="W46" s="24">
        <f>IF(AND($B46&lt;&gt;"",$I46="تم تحرير مخالفة"),1,0)</f>
        <v/>
      </c>
      <c r="X46" s="24">
        <f>IF($B46="","",IF($S46=WkStart,COUNTIF($S$5:$S46,WkStart),""))</f>
        <v/>
      </c>
    </row>
    <row r="47">
      <c r="A47" s="16">
        <f>IF($B47="","",ROW()-4)</f>
        <v/>
      </c>
      <c r="B47" s="17" t="n"/>
      <c r="C47" s="18" t="n"/>
      <c r="D47" s="18" t="n"/>
      <c r="E47" s="19" t="n"/>
      <c r="F47" s="19" t="n"/>
      <c r="G47" s="18" t="n"/>
      <c r="H47" s="18" t="n"/>
      <c r="I47" s="18" t="n"/>
      <c r="J47" s="20" t="n"/>
      <c r="K47" s="21" t="n"/>
      <c r="L47" s="21" t="n"/>
      <c r="M47" s="18" t="n"/>
      <c r="N47" s="22">
        <f>IF($B47="","",CHOOSE(WEEKDAY($B47),"الأحد","الاثنين","الثلاثاء","الأربعاء","الخميس","الجمعة","السبت"))</f>
        <v/>
      </c>
      <c r="O47" s="23">
        <f>IF(OR($K47="",$L47=""),"",HYPERLINK("https://maps.google.com/?q="&amp;$K47&amp;","&amp;$L47,"عرض الموقع"))</f>
        <v/>
      </c>
      <c r="P47" s="23">
        <f>IF(OR($B47="",N($J47)=0),"",HYPERLINK(PhotoDir&amp;"/"&amp;YEAR($B47)&amp;"-"&amp;TEXT(MONTH($B47),"00")&amp;"-"&amp;TEXT(DAY($B47),"00")&amp;"_"&amp;$D47,"فتح الصور ("&amp;$J47&amp;")"))</f>
        <v/>
      </c>
      <c r="Q47" s="24">
        <f>IF($B47="","",MONTH($B47))</f>
        <v/>
      </c>
      <c r="R47" s="24">
        <f>IF($B47="","",YEAR($B47))</f>
        <v/>
      </c>
      <c r="S47" s="25">
        <f>IF($B47="","",$B47-WEEKDAY($B47,3))</f>
        <v/>
      </c>
      <c r="T47" s="24">
        <f>IF($B47="",0,IF(COUNTIFS($B$5:$B47,$B47,$D$5:$D47,$D47)=1,1,0))</f>
        <v/>
      </c>
      <c r="U47" s="24">
        <f>IF($B47="",0,IF(COUNTIFS($B$5:$B47,$B47,$C$5:$C47,$C47)=1,1,0))</f>
        <v/>
      </c>
      <c r="V47" s="24">
        <f>IF(OR($B47="",$G47="",$G47="لا توجد مشاهدات"),0,1)</f>
        <v/>
      </c>
      <c r="W47" s="24">
        <f>IF(AND($B47&lt;&gt;"",$I47="تم تحرير مخالفة"),1,0)</f>
        <v/>
      </c>
      <c r="X47" s="24">
        <f>IF($B47="","",IF($S47=WkStart,COUNTIF($S$5:$S47,WkStart),""))</f>
        <v/>
      </c>
    </row>
    <row r="48">
      <c r="A48" s="16">
        <f>IF($B48="","",ROW()-4)</f>
        <v/>
      </c>
      <c r="B48" s="17" t="n"/>
      <c r="C48" s="18" t="n"/>
      <c r="D48" s="18" t="n"/>
      <c r="E48" s="19" t="n"/>
      <c r="F48" s="19" t="n"/>
      <c r="G48" s="18" t="n"/>
      <c r="H48" s="18" t="n"/>
      <c r="I48" s="18" t="n"/>
      <c r="J48" s="20" t="n"/>
      <c r="K48" s="21" t="n"/>
      <c r="L48" s="21" t="n"/>
      <c r="M48" s="18" t="n"/>
      <c r="N48" s="22">
        <f>IF($B48="","",CHOOSE(WEEKDAY($B48),"الأحد","الاثنين","الثلاثاء","الأربعاء","الخميس","الجمعة","السبت"))</f>
        <v/>
      </c>
      <c r="O48" s="23">
        <f>IF(OR($K48="",$L48=""),"",HYPERLINK("https://maps.google.com/?q="&amp;$K48&amp;","&amp;$L48,"عرض الموقع"))</f>
        <v/>
      </c>
      <c r="P48" s="23">
        <f>IF(OR($B48="",N($J48)=0),"",HYPERLINK(PhotoDir&amp;"/"&amp;YEAR($B48)&amp;"-"&amp;TEXT(MONTH($B48),"00")&amp;"-"&amp;TEXT(DAY($B48),"00")&amp;"_"&amp;$D48,"فتح الصور ("&amp;$J48&amp;")"))</f>
        <v/>
      </c>
      <c r="Q48" s="24">
        <f>IF($B48="","",MONTH($B48))</f>
        <v/>
      </c>
      <c r="R48" s="24">
        <f>IF($B48="","",YEAR($B48))</f>
        <v/>
      </c>
      <c r="S48" s="25">
        <f>IF($B48="","",$B48-WEEKDAY($B48,3))</f>
        <v/>
      </c>
      <c r="T48" s="24">
        <f>IF($B48="",0,IF(COUNTIFS($B$5:$B48,$B48,$D$5:$D48,$D48)=1,1,0))</f>
        <v/>
      </c>
      <c r="U48" s="24">
        <f>IF($B48="",0,IF(COUNTIFS($B$5:$B48,$B48,$C$5:$C48,$C48)=1,1,0))</f>
        <v/>
      </c>
      <c r="V48" s="24">
        <f>IF(OR($B48="",$G48="",$G48="لا توجد مشاهدات"),0,1)</f>
        <v/>
      </c>
      <c r="W48" s="24">
        <f>IF(AND($B48&lt;&gt;"",$I48="تم تحرير مخالفة"),1,0)</f>
        <v/>
      </c>
      <c r="X48" s="24">
        <f>IF($B48="","",IF($S48=WkStart,COUNTIF($S$5:$S48,WkStart),""))</f>
        <v/>
      </c>
    </row>
    <row r="49">
      <c r="A49" s="16">
        <f>IF($B49="","",ROW()-4)</f>
        <v/>
      </c>
      <c r="B49" s="17" t="n"/>
      <c r="C49" s="18" t="n"/>
      <c r="D49" s="18" t="n"/>
      <c r="E49" s="19" t="n"/>
      <c r="F49" s="19" t="n"/>
      <c r="G49" s="18" t="n"/>
      <c r="H49" s="18" t="n"/>
      <c r="I49" s="18" t="n"/>
      <c r="J49" s="20" t="n"/>
      <c r="K49" s="21" t="n"/>
      <c r="L49" s="21" t="n"/>
      <c r="M49" s="18" t="n"/>
      <c r="N49" s="22">
        <f>IF($B49="","",CHOOSE(WEEKDAY($B49),"الأحد","الاثنين","الثلاثاء","الأربعاء","الخميس","الجمعة","السبت"))</f>
        <v/>
      </c>
      <c r="O49" s="23">
        <f>IF(OR($K49="",$L49=""),"",HYPERLINK("https://maps.google.com/?q="&amp;$K49&amp;","&amp;$L49,"عرض الموقع"))</f>
        <v/>
      </c>
      <c r="P49" s="23">
        <f>IF(OR($B49="",N($J49)=0),"",HYPERLINK(PhotoDir&amp;"/"&amp;YEAR($B49)&amp;"-"&amp;TEXT(MONTH($B49),"00")&amp;"-"&amp;TEXT(DAY($B49),"00")&amp;"_"&amp;$D49,"فتح الصور ("&amp;$J49&amp;")"))</f>
        <v/>
      </c>
      <c r="Q49" s="24">
        <f>IF($B49="","",MONTH($B49))</f>
        <v/>
      </c>
      <c r="R49" s="24">
        <f>IF($B49="","",YEAR($B49))</f>
        <v/>
      </c>
      <c r="S49" s="25">
        <f>IF($B49="","",$B49-WEEKDAY($B49,3))</f>
        <v/>
      </c>
      <c r="T49" s="24">
        <f>IF($B49="",0,IF(COUNTIFS($B$5:$B49,$B49,$D$5:$D49,$D49)=1,1,0))</f>
        <v/>
      </c>
      <c r="U49" s="24">
        <f>IF($B49="",0,IF(COUNTIFS($B$5:$B49,$B49,$C$5:$C49,$C49)=1,1,0))</f>
        <v/>
      </c>
      <c r="V49" s="24">
        <f>IF(OR($B49="",$G49="",$G49="لا توجد مشاهدات"),0,1)</f>
        <v/>
      </c>
      <c r="W49" s="24">
        <f>IF(AND($B49&lt;&gt;"",$I49="تم تحرير مخالفة"),1,0)</f>
        <v/>
      </c>
      <c r="X49" s="24">
        <f>IF($B49="","",IF($S49=WkStart,COUNTIF($S$5:$S49,WkStart),""))</f>
        <v/>
      </c>
    </row>
    <row r="50">
      <c r="A50" s="16">
        <f>IF($B50="","",ROW()-4)</f>
        <v/>
      </c>
      <c r="B50" s="17" t="n"/>
      <c r="C50" s="18" t="n"/>
      <c r="D50" s="18" t="n"/>
      <c r="E50" s="19" t="n"/>
      <c r="F50" s="19" t="n"/>
      <c r="G50" s="18" t="n"/>
      <c r="H50" s="18" t="n"/>
      <c r="I50" s="18" t="n"/>
      <c r="J50" s="20" t="n"/>
      <c r="K50" s="21" t="n"/>
      <c r="L50" s="21" t="n"/>
      <c r="M50" s="18" t="n"/>
      <c r="N50" s="22">
        <f>IF($B50="","",CHOOSE(WEEKDAY($B50),"الأحد","الاثنين","الثلاثاء","الأربعاء","الخميس","الجمعة","السبت"))</f>
        <v/>
      </c>
      <c r="O50" s="23">
        <f>IF(OR($K50="",$L50=""),"",HYPERLINK("https://maps.google.com/?q="&amp;$K50&amp;","&amp;$L50,"عرض الموقع"))</f>
        <v/>
      </c>
      <c r="P50" s="23">
        <f>IF(OR($B50="",N($J50)=0),"",HYPERLINK(PhotoDir&amp;"/"&amp;YEAR($B50)&amp;"-"&amp;TEXT(MONTH($B50),"00")&amp;"-"&amp;TEXT(DAY($B50),"00")&amp;"_"&amp;$D50,"فتح الصور ("&amp;$J50&amp;")"))</f>
        <v/>
      </c>
      <c r="Q50" s="24">
        <f>IF($B50="","",MONTH($B50))</f>
        <v/>
      </c>
      <c r="R50" s="24">
        <f>IF($B50="","",YEAR($B50))</f>
        <v/>
      </c>
      <c r="S50" s="25">
        <f>IF($B50="","",$B50-WEEKDAY($B50,3))</f>
        <v/>
      </c>
      <c r="T50" s="24">
        <f>IF($B50="",0,IF(COUNTIFS($B$5:$B50,$B50,$D$5:$D50,$D50)=1,1,0))</f>
        <v/>
      </c>
      <c r="U50" s="24">
        <f>IF($B50="",0,IF(COUNTIFS($B$5:$B50,$B50,$C$5:$C50,$C50)=1,1,0))</f>
        <v/>
      </c>
      <c r="V50" s="24">
        <f>IF(OR($B50="",$G50="",$G50="لا توجد مشاهدات"),0,1)</f>
        <v/>
      </c>
      <c r="W50" s="24">
        <f>IF(AND($B50&lt;&gt;"",$I50="تم تحرير مخالفة"),1,0)</f>
        <v/>
      </c>
      <c r="X50" s="24">
        <f>IF($B50="","",IF($S50=WkStart,COUNTIF($S$5:$S50,WkStart),""))</f>
        <v/>
      </c>
    </row>
    <row r="51">
      <c r="A51" s="16">
        <f>IF($B51="","",ROW()-4)</f>
        <v/>
      </c>
      <c r="B51" s="17" t="n"/>
      <c r="C51" s="18" t="n"/>
      <c r="D51" s="18" t="n"/>
      <c r="E51" s="19" t="n"/>
      <c r="F51" s="19" t="n"/>
      <c r="G51" s="18" t="n"/>
      <c r="H51" s="18" t="n"/>
      <c r="I51" s="18" t="n"/>
      <c r="J51" s="20" t="n"/>
      <c r="K51" s="21" t="n"/>
      <c r="L51" s="21" t="n"/>
      <c r="M51" s="18" t="n"/>
      <c r="N51" s="22">
        <f>IF($B51="","",CHOOSE(WEEKDAY($B51),"الأحد","الاثنين","الثلاثاء","الأربعاء","الخميس","الجمعة","السبت"))</f>
        <v/>
      </c>
      <c r="O51" s="23">
        <f>IF(OR($K51="",$L51=""),"",HYPERLINK("https://maps.google.com/?q="&amp;$K51&amp;","&amp;$L51,"عرض الموقع"))</f>
        <v/>
      </c>
      <c r="P51" s="23">
        <f>IF(OR($B51="",N($J51)=0),"",HYPERLINK(PhotoDir&amp;"/"&amp;YEAR($B51)&amp;"-"&amp;TEXT(MONTH($B51),"00")&amp;"-"&amp;TEXT(DAY($B51),"00")&amp;"_"&amp;$D51,"فتح الصور ("&amp;$J51&amp;")"))</f>
        <v/>
      </c>
      <c r="Q51" s="24">
        <f>IF($B51="","",MONTH($B51))</f>
        <v/>
      </c>
      <c r="R51" s="24">
        <f>IF($B51="","",YEAR($B51))</f>
        <v/>
      </c>
      <c r="S51" s="25">
        <f>IF($B51="","",$B51-WEEKDAY($B51,3))</f>
        <v/>
      </c>
      <c r="T51" s="24">
        <f>IF($B51="",0,IF(COUNTIFS($B$5:$B51,$B51,$D$5:$D51,$D51)=1,1,0))</f>
        <v/>
      </c>
      <c r="U51" s="24">
        <f>IF($B51="",0,IF(COUNTIFS($B$5:$B51,$B51,$C$5:$C51,$C51)=1,1,0))</f>
        <v/>
      </c>
      <c r="V51" s="24">
        <f>IF(OR($B51="",$G51="",$G51="لا توجد مشاهدات"),0,1)</f>
        <v/>
      </c>
      <c r="W51" s="24">
        <f>IF(AND($B51&lt;&gt;"",$I51="تم تحرير مخالفة"),1,0)</f>
        <v/>
      </c>
      <c r="X51" s="24">
        <f>IF($B51="","",IF($S51=WkStart,COUNTIF($S$5:$S51,WkStart),""))</f>
        <v/>
      </c>
    </row>
    <row r="52">
      <c r="A52" s="16">
        <f>IF($B52="","",ROW()-4)</f>
        <v/>
      </c>
      <c r="B52" s="17" t="n"/>
      <c r="C52" s="18" t="n"/>
      <c r="D52" s="18" t="n"/>
      <c r="E52" s="19" t="n"/>
      <c r="F52" s="19" t="n"/>
      <c r="G52" s="18" t="n"/>
      <c r="H52" s="18" t="n"/>
      <c r="I52" s="18" t="n"/>
      <c r="J52" s="20" t="n"/>
      <c r="K52" s="21" t="n"/>
      <c r="L52" s="21" t="n"/>
      <c r="M52" s="18" t="n"/>
      <c r="N52" s="22">
        <f>IF($B52="","",CHOOSE(WEEKDAY($B52),"الأحد","الاثنين","الثلاثاء","الأربعاء","الخميس","الجمعة","السبت"))</f>
        <v/>
      </c>
      <c r="O52" s="23">
        <f>IF(OR($K52="",$L52=""),"",HYPERLINK("https://maps.google.com/?q="&amp;$K52&amp;","&amp;$L52,"عرض الموقع"))</f>
        <v/>
      </c>
      <c r="P52" s="23">
        <f>IF(OR($B52="",N($J52)=0),"",HYPERLINK(PhotoDir&amp;"/"&amp;YEAR($B52)&amp;"-"&amp;TEXT(MONTH($B52),"00")&amp;"-"&amp;TEXT(DAY($B52),"00")&amp;"_"&amp;$D52,"فتح الصور ("&amp;$J52&amp;")"))</f>
        <v/>
      </c>
      <c r="Q52" s="24">
        <f>IF($B52="","",MONTH($B52))</f>
        <v/>
      </c>
      <c r="R52" s="24">
        <f>IF($B52="","",YEAR($B52))</f>
        <v/>
      </c>
      <c r="S52" s="25">
        <f>IF($B52="","",$B52-WEEKDAY($B52,3))</f>
        <v/>
      </c>
      <c r="T52" s="24">
        <f>IF($B52="",0,IF(COUNTIFS($B$5:$B52,$B52,$D$5:$D52,$D52)=1,1,0))</f>
        <v/>
      </c>
      <c r="U52" s="24">
        <f>IF($B52="",0,IF(COUNTIFS($B$5:$B52,$B52,$C$5:$C52,$C52)=1,1,0))</f>
        <v/>
      </c>
      <c r="V52" s="24">
        <f>IF(OR($B52="",$G52="",$G52="لا توجد مشاهدات"),0,1)</f>
        <v/>
      </c>
      <c r="W52" s="24">
        <f>IF(AND($B52&lt;&gt;"",$I52="تم تحرير مخالفة"),1,0)</f>
        <v/>
      </c>
      <c r="X52" s="24">
        <f>IF($B52="","",IF($S52=WkStart,COUNTIF($S$5:$S52,WkStart),""))</f>
        <v/>
      </c>
    </row>
    <row r="53">
      <c r="A53" s="16">
        <f>IF($B53="","",ROW()-4)</f>
        <v/>
      </c>
      <c r="B53" s="17" t="n"/>
      <c r="C53" s="18" t="n"/>
      <c r="D53" s="18" t="n"/>
      <c r="E53" s="19" t="n"/>
      <c r="F53" s="19" t="n"/>
      <c r="G53" s="18" t="n"/>
      <c r="H53" s="18" t="n"/>
      <c r="I53" s="18" t="n"/>
      <c r="J53" s="20" t="n"/>
      <c r="K53" s="21" t="n"/>
      <c r="L53" s="21" t="n"/>
      <c r="M53" s="18" t="n"/>
      <c r="N53" s="22">
        <f>IF($B53="","",CHOOSE(WEEKDAY($B53),"الأحد","الاثنين","الثلاثاء","الأربعاء","الخميس","الجمعة","السبت"))</f>
        <v/>
      </c>
      <c r="O53" s="23">
        <f>IF(OR($K53="",$L53=""),"",HYPERLINK("https://maps.google.com/?q="&amp;$K53&amp;","&amp;$L53,"عرض الموقع"))</f>
        <v/>
      </c>
      <c r="P53" s="23">
        <f>IF(OR($B53="",N($J53)=0),"",HYPERLINK(PhotoDir&amp;"/"&amp;YEAR($B53)&amp;"-"&amp;TEXT(MONTH($B53),"00")&amp;"-"&amp;TEXT(DAY($B53),"00")&amp;"_"&amp;$D53,"فتح الصور ("&amp;$J53&amp;")"))</f>
        <v/>
      </c>
      <c r="Q53" s="24">
        <f>IF($B53="","",MONTH($B53))</f>
        <v/>
      </c>
      <c r="R53" s="24">
        <f>IF($B53="","",YEAR($B53))</f>
        <v/>
      </c>
      <c r="S53" s="25">
        <f>IF($B53="","",$B53-WEEKDAY($B53,3))</f>
        <v/>
      </c>
      <c r="T53" s="24">
        <f>IF($B53="",0,IF(COUNTIFS($B$5:$B53,$B53,$D$5:$D53,$D53)=1,1,0))</f>
        <v/>
      </c>
      <c r="U53" s="24">
        <f>IF($B53="",0,IF(COUNTIFS($B$5:$B53,$B53,$C$5:$C53,$C53)=1,1,0))</f>
        <v/>
      </c>
      <c r="V53" s="24">
        <f>IF(OR($B53="",$G53="",$G53="لا توجد مشاهدات"),0,1)</f>
        <v/>
      </c>
      <c r="W53" s="24">
        <f>IF(AND($B53&lt;&gt;"",$I53="تم تحرير مخالفة"),1,0)</f>
        <v/>
      </c>
      <c r="X53" s="24">
        <f>IF($B53="","",IF($S53=WkStart,COUNTIF($S$5:$S53,WkStart),""))</f>
        <v/>
      </c>
    </row>
    <row r="54">
      <c r="A54" s="16">
        <f>IF($B54="","",ROW()-4)</f>
        <v/>
      </c>
      <c r="B54" s="17" t="n"/>
      <c r="C54" s="18" t="n"/>
      <c r="D54" s="18" t="n"/>
      <c r="E54" s="19" t="n"/>
      <c r="F54" s="19" t="n"/>
      <c r="G54" s="18" t="n"/>
      <c r="H54" s="18" t="n"/>
      <c r="I54" s="18" t="n"/>
      <c r="J54" s="20" t="n"/>
      <c r="K54" s="21" t="n"/>
      <c r="L54" s="21" t="n"/>
      <c r="M54" s="18" t="n"/>
      <c r="N54" s="22">
        <f>IF($B54="","",CHOOSE(WEEKDAY($B54),"الأحد","الاثنين","الثلاثاء","الأربعاء","الخميس","الجمعة","السبت"))</f>
        <v/>
      </c>
      <c r="O54" s="23">
        <f>IF(OR($K54="",$L54=""),"",HYPERLINK("https://maps.google.com/?q="&amp;$K54&amp;","&amp;$L54,"عرض الموقع"))</f>
        <v/>
      </c>
      <c r="P54" s="23">
        <f>IF(OR($B54="",N($J54)=0),"",HYPERLINK(PhotoDir&amp;"/"&amp;YEAR($B54)&amp;"-"&amp;TEXT(MONTH($B54),"00")&amp;"-"&amp;TEXT(DAY($B54),"00")&amp;"_"&amp;$D54,"فتح الصور ("&amp;$J54&amp;")"))</f>
        <v/>
      </c>
      <c r="Q54" s="24">
        <f>IF($B54="","",MONTH($B54))</f>
        <v/>
      </c>
      <c r="R54" s="24">
        <f>IF($B54="","",YEAR($B54))</f>
        <v/>
      </c>
      <c r="S54" s="25">
        <f>IF($B54="","",$B54-WEEKDAY($B54,3))</f>
        <v/>
      </c>
      <c r="T54" s="24">
        <f>IF($B54="",0,IF(COUNTIFS($B$5:$B54,$B54,$D$5:$D54,$D54)=1,1,0))</f>
        <v/>
      </c>
      <c r="U54" s="24">
        <f>IF($B54="",0,IF(COUNTIFS($B$5:$B54,$B54,$C$5:$C54,$C54)=1,1,0))</f>
        <v/>
      </c>
      <c r="V54" s="24">
        <f>IF(OR($B54="",$G54="",$G54="لا توجد مشاهدات"),0,1)</f>
        <v/>
      </c>
      <c r="W54" s="24">
        <f>IF(AND($B54&lt;&gt;"",$I54="تم تحرير مخالفة"),1,0)</f>
        <v/>
      </c>
      <c r="X54" s="24">
        <f>IF($B54="","",IF($S54=WkStart,COUNTIF($S$5:$S54,WkStart),""))</f>
        <v/>
      </c>
    </row>
    <row r="55">
      <c r="A55" s="16">
        <f>IF($B55="","",ROW()-4)</f>
        <v/>
      </c>
      <c r="B55" s="17" t="n"/>
      <c r="C55" s="18" t="n"/>
      <c r="D55" s="18" t="n"/>
      <c r="E55" s="19" t="n"/>
      <c r="F55" s="19" t="n"/>
      <c r="G55" s="18" t="n"/>
      <c r="H55" s="18" t="n"/>
      <c r="I55" s="18" t="n"/>
      <c r="J55" s="20" t="n"/>
      <c r="K55" s="21" t="n"/>
      <c r="L55" s="21" t="n"/>
      <c r="M55" s="18" t="n"/>
      <c r="N55" s="22">
        <f>IF($B55="","",CHOOSE(WEEKDAY($B55),"الأحد","الاثنين","الثلاثاء","الأربعاء","الخميس","الجمعة","السبت"))</f>
        <v/>
      </c>
      <c r="O55" s="23">
        <f>IF(OR($K55="",$L55=""),"",HYPERLINK("https://maps.google.com/?q="&amp;$K55&amp;","&amp;$L55,"عرض الموقع"))</f>
        <v/>
      </c>
      <c r="P55" s="23">
        <f>IF(OR($B55="",N($J55)=0),"",HYPERLINK(PhotoDir&amp;"/"&amp;YEAR($B55)&amp;"-"&amp;TEXT(MONTH($B55),"00")&amp;"-"&amp;TEXT(DAY($B55),"00")&amp;"_"&amp;$D55,"فتح الصور ("&amp;$J55&amp;")"))</f>
        <v/>
      </c>
      <c r="Q55" s="24">
        <f>IF($B55="","",MONTH($B55))</f>
        <v/>
      </c>
      <c r="R55" s="24">
        <f>IF($B55="","",YEAR($B55))</f>
        <v/>
      </c>
      <c r="S55" s="25">
        <f>IF($B55="","",$B55-WEEKDAY($B55,3))</f>
        <v/>
      </c>
      <c r="T55" s="24">
        <f>IF($B55="",0,IF(COUNTIFS($B$5:$B55,$B55,$D$5:$D55,$D55)=1,1,0))</f>
        <v/>
      </c>
      <c r="U55" s="24">
        <f>IF($B55="",0,IF(COUNTIFS($B$5:$B55,$B55,$C$5:$C55,$C55)=1,1,0))</f>
        <v/>
      </c>
      <c r="V55" s="24">
        <f>IF(OR($B55="",$G55="",$G55="لا توجد مشاهدات"),0,1)</f>
        <v/>
      </c>
      <c r="W55" s="24">
        <f>IF(AND($B55&lt;&gt;"",$I55="تم تحرير مخالفة"),1,0)</f>
        <v/>
      </c>
      <c r="X55" s="24">
        <f>IF($B55="","",IF($S55=WkStart,COUNTIF($S$5:$S55,WkStart),""))</f>
        <v/>
      </c>
    </row>
    <row r="56">
      <c r="A56" s="16">
        <f>IF($B56="","",ROW()-4)</f>
        <v/>
      </c>
      <c r="B56" s="17" t="n"/>
      <c r="C56" s="18" t="n"/>
      <c r="D56" s="18" t="n"/>
      <c r="E56" s="19" t="n"/>
      <c r="F56" s="19" t="n"/>
      <c r="G56" s="18" t="n"/>
      <c r="H56" s="18" t="n"/>
      <c r="I56" s="18" t="n"/>
      <c r="J56" s="20" t="n"/>
      <c r="K56" s="21" t="n"/>
      <c r="L56" s="21" t="n"/>
      <c r="M56" s="18" t="n"/>
      <c r="N56" s="22">
        <f>IF($B56="","",CHOOSE(WEEKDAY($B56),"الأحد","الاثنين","الثلاثاء","الأربعاء","الخميس","الجمعة","السبت"))</f>
        <v/>
      </c>
      <c r="O56" s="23">
        <f>IF(OR($K56="",$L56=""),"",HYPERLINK("https://maps.google.com/?q="&amp;$K56&amp;","&amp;$L56,"عرض الموقع"))</f>
        <v/>
      </c>
      <c r="P56" s="23">
        <f>IF(OR($B56="",N($J56)=0),"",HYPERLINK(PhotoDir&amp;"/"&amp;YEAR($B56)&amp;"-"&amp;TEXT(MONTH($B56),"00")&amp;"-"&amp;TEXT(DAY($B56),"00")&amp;"_"&amp;$D56,"فتح الصور ("&amp;$J56&amp;")"))</f>
        <v/>
      </c>
      <c r="Q56" s="24">
        <f>IF($B56="","",MONTH($B56))</f>
        <v/>
      </c>
      <c r="R56" s="24">
        <f>IF($B56="","",YEAR($B56))</f>
        <v/>
      </c>
      <c r="S56" s="25">
        <f>IF($B56="","",$B56-WEEKDAY($B56,3))</f>
        <v/>
      </c>
      <c r="T56" s="24">
        <f>IF($B56="",0,IF(COUNTIFS($B$5:$B56,$B56,$D$5:$D56,$D56)=1,1,0))</f>
        <v/>
      </c>
      <c r="U56" s="24">
        <f>IF($B56="",0,IF(COUNTIFS($B$5:$B56,$B56,$C$5:$C56,$C56)=1,1,0))</f>
        <v/>
      </c>
      <c r="V56" s="24">
        <f>IF(OR($B56="",$G56="",$G56="لا توجد مشاهدات"),0,1)</f>
        <v/>
      </c>
      <c r="W56" s="24">
        <f>IF(AND($B56&lt;&gt;"",$I56="تم تحرير مخالفة"),1,0)</f>
        <v/>
      </c>
      <c r="X56" s="24">
        <f>IF($B56="","",IF($S56=WkStart,COUNTIF($S$5:$S56,WkStart),""))</f>
        <v/>
      </c>
    </row>
    <row r="57">
      <c r="A57" s="16">
        <f>IF($B57="","",ROW()-4)</f>
        <v/>
      </c>
      <c r="B57" s="17" t="n"/>
      <c r="C57" s="18" t="n"/>
      <c r="D57" s="18" t="n"/>
      <c r="E57" s="19" t="n"/>
      <c r="F57" s="19" t="n"/>
      <c r="G57" s="18" t="n"/>
      <c r="H57" s="18" t="n"/>
      <c r="I57" s="18" t="n"/>
      <c r="J57" s="20" t="n"/>
      <c r="K57" s="21" t="n"/>
      <c r="L57" s="21" t="n"/>
      <c r="M57" s="18" t="n"/>
      <c r="N57" s="22">
        <f>IF($B57="","",CHOOSE(WEEKDAY($B57),"الأحد","الاثنين","الثلاثاء","الأربعاء","الخميس","الجمعة","السبت"))</f>
        <v/>
      </c>
      <c r="O57" s="23">
        <f>IF(OR($K57="",$L57=""),"",HYPERLINK("https://maps.google.com/?q="&amp;$K57&amp;","&amp;$L57,"عرض الموقع"))</f>
        <v/>
      </c>
      <c r="P57" s="23">
        <f>IF(OR($B57="",N($J57)=0),"",HYPERLINK(PhotoDir&amp;"/"&amp;YEAR($B57)&amp;"-"&amp;TEXT(MONTH($B57),"00")&amp;"-"&amp;TEXT(DAY($B57),"00")&amp;"_"&amp;$D57,"فتح الصور ("&amp;$J57&amp;")"))</f>
        <v/>
      </c>
      <c r="Q57" s="24">
        <f>IF($B57="","",MONTH($B57))</f>
        <v/>
      </c>
      <c r="R57" s="24">
        <f>IF($B57="","",YEAR($B57))</f>
        <v/>
      </c>
      <c r="S57" s="25">
        <f>IF($B57="","",$B57-WEEKDAY($B57,3))</f>
        <v/>
      </c>
      <c r="T57" s="24">
        <f>IF($B57="",0,IF(COUNTIFS($B$5:$B57,$B57,$D$5:$D57,$D57)=1,1,0))</f>
        <v/>
      </c>
      <c r="U57" s="24">
        <f>IF($B57="",0,IF(COUNTIFS($B$5:$B57,$B57,$C$5:$C57,$C57)=1,1,0))</f>
        <v/>
      </c>
      <c r="V57" s="24">
        <f>IF(OR($B57="",$G57="",$G57="لا توجد مشاهدات"),0,1)</f>
        <v/>
      </c>
      <c r="W57" s="24">
        <f>IF(AND($B57&lt;&gt;"",$I57="تم تحرير مخالفة"),1,0)</f>
        <v/>
      </c>
      <c r="X57" s="24">
        <f>IF($B57="","",IF($S57=WkStart,COUNTIF($S$5:$S57,WkStart),""))</f>
        <v/>
      </c>
    </row>
    <row r="58">
      <c r="A58" s="16">
        <f>IF($B58="","",ROW()-4)</f>
        <v/>
      </c>
      <c r="B58" s="17" t="n"/>
      <c r="C58" s="18" t="n"/>
      <c r="D58" s="18" t="n"/>
      <c r="E58" s="19" t="n"/>
      <c r="F58" s="19" t="n"/>
      <c r="G58" s="18" t="n"/>
      <c r="H58" s="18" t="n"/>
      <c r="I58" s="18" t="n"/>
      <c r="J58" s="20" t="n"/>
      <c r="K58" s="21" t="n"/>
      <c r="L58" s="21" t="n"/>
      <c r="M58" s="18" t="n"/>
      <c r="N58" s="22">
        <f>IF($B58="","",CHOOSE(WEEKDAY($B58),"الأحد","الاثنين","الثلاثاء","الأربعاء","الخميس","الجمعة","السبت"))</f>
        <v/>
      </c>
      <c r="O58" s="23">
        <f>IF(OR($K58="",$L58=""),"",HYPERLINK("https://maps.google.com/?q="&amp;$K58&amp;","&amp;$L58,"عرض الموقع"))</f>
        <v/>
      </c>
      <c r="P58" s="23">
        <f>IF(OR($B58="",N($J58)=0),"",HYPERLINK(PhotoDir&amp;"/"&amp;YEAR($B58)&amp;"-"&amp;TEXT(MONTH($B58),"00")&amp;"-"&amp;TEXT(DAY($B58),"00")&amp;"_"&amp;$D58,"فتح الصور ("&amp;$J58&amp;")"))</f>
        <v/>
      </c>
      <c r="Q58" s="24">
        <f>IF($B58="","",MONTH($B58))</f>
        <v/>
      </c>
      <c r="R58" s="24">
        <f>IF($B58="","",YEAR($B58))</f>
        <v/>
      </c>
      <c r="S58" s="25">
        <f>IF($B58="","",$B58-WEEKDAY($B58,3))</f>
        <v/>
      </c>
      <c r="T58" s="24">
        <f>IF($B58="",0,IF(COUNTIFS($B$5:$B58,$B58,$D$5:$D58,$D58)=1,1,0))</f>
        <v/>
      </c>
      <c r="U58" s="24">
        <f>IF($B58="",0,IF(COUNTIFS($B$5:$B58,$B58,$C$5:$C58,$C58)=1,1,0))</f>
        <v/>
      </c>
      <c r="V58" s="24">
        <f>IF(OR($B58="",$G58="",$G58="لا توجد مشاهدات"),0,1)</f>
        <v/>
      </c>
      <c r="W58" s="24">
        <f>IF(AND($B58&lt;&gt;"",$I58="تم تحرير مخالفة"),1,0)</f>
        <v/>
      </c>
      <c r="X58" s="24">
        <f>IF($B58="","",IF($S58=WkStart,COUNTIF($S$5:$S58,WkStart),""))</f>
        <v/>
      </c>
    </row>
    <row r="59">
      <c r="A59" s="16">
        <f>IF($B59="","",ROW()-4)</f>
        <v/>
      </c>
      <c r="B59" s="17" t="n"/>
      <c r="C59" s="18" t="n"/>
      <c r="D59" s="18" t="n"/>
      <c r="E59" s="19" t="n"/>
      <c r="F59" s="19" t="n"/>
      <c r="G59" s="18" t="n"/>
      <c r="H59" s="18" t="n"/>
      <c r="I59" s="18" t="n"/>
      <c r="J59" s="20" t="n"/>
      <c r="K59" s="21" t="n"/>
      <c r="L59" s="21" t="n"/>
      <c r="M59" s="18" t="n"/>
      <c r="N59" s="22">
        <f>IF($B59="","",CHOOSE(WEEKDAY($B59),"الأحد","الاثنين","الثلاثاء","الأربعاء","الخميس","الجمعة","السبت"))</f>
        <v/>
      </c>
      <c r="O59" s="23">
        <f>IF(OR($K59="",$L59=""),"",HYPERLINK("https://maps.google.com/?q="&amp;$K59&amp;","&amp;$L59,"عرض الموقع"))</f>
        <v/>
      </c>
      <c r="P59" s="23">
        <f>IF(OR($B59="",N($J59)=0),"",HYPERLINK(PhotoDir&amp;"/"&amp;YEAR($B59)&amp;"-"&amp;TEXT(MONTH($B59),"00")&amp;"-"&amp;TEXT(DAY($B59),"00")&amp;"_"&amp;$D59,"فتح الصور ("&amp;$J59&amp;")"))</f>
        <v/>
      </c>
      <c r="Q59" s="24">
        <f>IF($B59="","",MONTH($B59))</f>
        <v/>
      </c>
      <c r="R59" s="24">
        <f>IF($B59="","",YEAR($B59))</f>
        <v/>
      </c>
      <c r="S59" s="25">
        <f>IF($B59="","",$B59-WEEKDAY($B59,3))</f>
        <v/>
      </c>
      <c r="T59" s="24">
        <f>IF($B59="",0,IF(COUNTIFS($B$5:$B59,$B59,$D$5:$D59,$D59)=1,1,0))</f>
        <v/>
      </c>
      <c r="U59" s="24">
        <f>IF($B59="",0,IF(COUNTIFS($B$5:$B59,$B59,$C$5:$C59,$C59)=1,1,0))</f>
        <v/>
      </c>
      <c r="V59" s="24">
        <f>IF(OR($B59="",$G59="",$G59="لا توجد مشاهدات"),0,1)</f>
        <v/>
      </c>
      <c r="W59" s="24">
        <f>IF(AND($B59&lt;&gt;"",$I59="تم تحرير مخالفة"),1,0)</f>
        <v/>
      </c>
      <c r="X59" s="24">
        <f>IF($B59="","",IF($S59=WkStart,COUNTIF($S$5:$S59,WkStart),""))</f>
        <v/>
      </c>
    </row>
    <row r="60">
      <c r="A60" s="16">
        <f>IF($B60="","",ROW()-4)</f>
        <v/>
      </c>
      <c r="B60" s="17" t="n"/>
      <c r="C60" s="18" t="n"/>
      <c r="D60" s="18" t="n"/>
      <c r="E60" s="19" t="n"/>
      <c r="F60" s="19" t="n"/>
      <c r="G60" s="18" t="n"/>
      <c r="H60" s="18" t="n"/>
      <c r="I60" s="18" t="n"/>
      <c r="J60" s="20" t="n"/>
      <c r="K60" s="21" t="n"/>
      <c r="L60" s="21" t="n"/>
      <c r="M60" s="18" t="n"/>
      <c r="N60" s="22">
        <f>IF($B60="","",CHOOSE(WEEKDAY($B60),"الأحد","الاثنين","الثلاثاء","الأربعاء","الخميس","الجمعة","السبت"))</f>
        <v/>
      </c>
      <c r="O60" s="23">
        <f>IF(OR($K60="",$L60=""),"",HYPERLINK("https://maps.google.com/?q="&amp;$K60&amp;","&amp;$L60,"عرض الموقع"))</f>
        <v/>
      </c>
      <c r="P60" s="23">
        <f>IF(OR($B60="",N($J60)=0),"",HYPERLINK(PhotoDir&amp;"/"&amp;YEAR($B60)&amp;"-"&amp;TEXT(MONTH($B60),"00")&amp;"-"&amp;TEXT(DAY($B60),"00")&amp;"_"&amp;$D60,"فتح الصور ("&amp;$J60&amp;")"))</f>
        <v/>
      </c>
      <c r="Q60" s="24">
        <f>IF($B60="","",MONTH($B60))</f>
        <v/>
      </c>
      <c r="R60" s="24">
        <f>IF($B60="","",YEAR($B60))</f>
        <v/>
      </c>
      <c r="S60" s="25">
        <f>IF($B60="","",$B60-WEEKDAY($B60,3))</f>
        <v/>
      </c>
      <c r="T60" s="24">
        <f>IF($B60="",0,IF(COUNTIFS($B$5:$B60,$B60,$D$5:$D60,$D60)=1,1,0))</f>
        <v/>
      </c>
      <c r="U60" s="24">
        <f>IF($B60="",0,IF(COUNTIFS($B$5:$B60,$B60,$C$5:$C60,$C60)=1,1,0))</f>
        <v/>
      </c>
      <c r="V60" s="24">
        <f>IF(OR($B60="",$G60="",$G60="لا توجد مشاهدات"),0,1)</f>
        <v/>
      </c>
      <c r="W60" s="24">
        <f>IF(AND($B60&lt;&gt;"",$I60="تم تحرير مخالفة"),1,0)</f>
        <v/>
      </c>
      <c r="X60" s="24">
        <f>IF($B60="","",IF($S60=WkStart,COUNTIF($S$5:$S60,WkStart),""))</f>
        <v/>
      </c>
    </row>
    <row r="61">
      <c r="A61" s="16">
        <f>IF($B61="","",ROW()-4)</f>
        <v/>
      </c>
      <c r="B61" s="17" t="n"/>
      <c r="C61" s="18" t="n"/>
      <c r="D61" s="18" t="n"/>
      <c r="E61" s="19" t="n"/>
      <c r="F61" s="19" t="n"/>
      <c r="G61" s="18" t="n"/>
      <c r="H61" s="18" t="n"/>
      <c r="I61" s="18" t="n"/>
      <c r="J61" s="20" t="n"/>
      <c r="K61" s="21" t="n"/>
      <c r="L61" s="21" t="n"/>
      <c r="M61" s="18" t="n"/>
      <c r="N61" s="22">
        <f>IF($B61="","",CHOOSE(WEEKDAY($B61),"الأحد","الاثنين","الثلاثاء","الأربعاء","الخميس","الجمعة","السبت"))</f>
        <v/>
      </c>
      <c r="O61" s="23">
        <f>IF(OR($K61="",$L61=""),"",HYPERLINK("https://maps.google.com/?q="&amp;$K61&amp;","&amp;$L61,"عرض الموقع"))</f>
        <v/>
      </c>
      <c r="P61" s="23">
        <f>IF(OR($B61="",N($J61)=0),"",HYPERLINK(PhotoDir&amp;"/"&amp;YEAR($B61)&amp;"-"&amp;TEXT(MONTH($B61),"00")&amp;"-"&amp;TEXT(DAY($B61),"00")&amp;"_"&amp;$D61,"فتح الصور ("&amp;$J61&amp;")"))</f>
        <v/>
      </c>
      <c r="Q61" s="24">
        <f>IF($B61="","",MONTH($B61))</f>
        <v/>
      </c>
      <c r="R61" s="24">
        <f>IF($B61="","",YEAR($B61))</f>
        <v/>
      </c>
      <c r="S61" s="25">
        <f>IF($B61="","",$B61-WEEKDAY($B61,3))</f>
        <v/>
      </c>
      <c r="T61" s="24">
        <f>IF($B61="",0,IF(COUNTIFS($B$5:$B61,$B61,$D$5:$D61,$D61)=1,1,0))</f>
        <v/>
      </c>
      <c r="U61" s="24">
        <f>IF($B61="",0,IF(COUNTIFS($B$5:$B61,$B61,$C$5:$C61,$C61)=1,1,0))</f>
        <v/>
      </c>
      <c r="V61" s="24">
        <f>IF(OR($B61="",$G61="",$G61="لا توجد مشاهدات"),0,1)</f>
        <v/>
      </c>
      <c r="W61" s="24">
        <f>IF(AND($B61&lt;&gt;"",$I61="تم تحرير مخالفة"),1,0)</f>
        <v/>
      </c>
      <c r="X61" s="24">
        <f>IF($B61="","",IF($S61=WkStart,COUNTIF($S$5:$S61,WkStart),""))</f>
        <v/>
      </c>
    </row>
    <row r="62">
      <c r="A62" s="16">
        <f>IF($B62="","",ROW()-4)</f>
        <v/>
      </c>
      <c r="B62" s="17" t="n"/>
      <c r="C62" s="18" t="n"/>
      <c r="D62" s="18" t="n"/>
      <c r="E62" s="19" t="n"/>
      <c r="F62" s="19" t="n"/>
      <c r="G62" s="18" t="n"/>
      <c r="H62" s="18" t="n"/>
      <c r="I62" s="18" t="n"/>
      <c r="J62" s="20" t="n"/>
      <c r="K62" s="21" t="n"/>
      <c r="L62" s="21" t="n"/>
      <c r="M62" s="18" t="n"/>
      <c r="N62" s="22">
        <f>IF($B62="","",CHOOSE(WEEKDAY($B62),"الأحد","الاثنين","الثلاثاء","الأربعاء","الخميس","الجمعة","السبت"))</f>
        <v/>
      </c>
      <c r="O62" s="23">
        <f>IF(OR($K62="",$L62=""),"",HYPERLINK("https://maps.google.com/?q="&amp;$K62&amp;","&amp;$L62,"عرض الموقع"))</f>
        <v/>
      </c>
      <c r="P62" s="23">
        <f>IF(OR($B62="",N($J62)=0),"",HYPERLINK(PhotoDir&amp;"/"&amp;YEAR($B62)&amp;"-"&amp;TEXT(MONTH($B62),"00")&amp;"-"&amp;TEXT(DAY($B62),"00")&amp;"_"&amp;$D62,"فتح الصور ("&amp;$J62&amp;")"))</f>
        <v/>
      </c>
      <c r="Q62" s="24">
        <f>IF($B62="","",MONTH($B62))</f>
        <v/>
      </c>
      <c r="R62" s="24">
        <f>IF($B62="","",YEAR($B62))</f>
        <v/>
      </c>
      <c r="S62" s="25">
        <f>IF($B62="","",$B62-WEEKDAY($B62,3))</f>
        <v/>
      </c>
      <c r="T62" s="24">
        <f>IF($B62="",0,IF(COUNTIFS($B$5:$B62,$B62,$D$5:$D62,$D62)=1,1,0))</f>
        <v/>
      </c>
      <c r="U62" s="24">
        <f>IF($B62="",0,IF(COUNTIFS($B$5:$B62,$B62,$C$5:$C62,$C62)=1,1,0))</f>
        <v/>
      </c>
      <c r="V62" s="24">
        <f>IF(OR($B62="",$G62="",$G62="لا توجد مشاهدات"),0,1)</f>
        <v/>
      </c>
      <c r="W62" s="24">
        <f>IF(AND($B62&lt;&gt;"",$I62="تم تحرير مخالفة"),1,0)</f>
        <v/>
      </c>
      <c r="X62" s="24">
        <f>IF($B62="","",IF($S62=WkStart,COUNTIF($S$5:$S62,WkStart),""))</f>
        <v/>
      </c>
    </row>
    <row r="63">
      <c r="A63" s="16">
        <f>IF($B63="","",ROW()-4)</f>
        <v/>
      </c>
      <c r="B63" s="17" t="n"/>
      <c r="C63" s="18" t="n"/>
      <c r="D63" s="18" t="n"/>
      <c r="E63" s="19" t="n"/>
      <c r="F63" s="19" t="n"/>
      <c r="G63" s="18" t="n"/>
      <c r="H63" s="18" t="n"/>
      <c r="I63" s="18" t="n"/>
      <c r="J63" s="20" t="n"/>
      <c r="K63" s="21" t="n"/>
      <c r="L63" s="21" t="n"/>
      <c r="M63" s="18" t="n"/>
      <c r="N63" s="22">
        <f>IF($B63="","",CHOOSE(WEEKDAY($B63),"الأحد","الاثنين","الثلاثاء","الأربعاء","الخميس","الجمعة","السبت"))</f>
        <v/>
      </c>
      <c r="O63" s="23">
        <f>IF(OR($K63="",$L63=""),"",HYPERLINK("https://maps.google.com/?q="&amp;$K63&amp;","&amp;$L63,"عرض الموقع"))</f>
        <v/>
      </c>
      <c r="P63" s="23">
        <f>IF(OR($B63="",N($J63)=0),"",HYPERLINK(PhotoDir&amp;"/"&amp;YEAR($B63)&amp;"-"&amp;TEXT(MONTH($B63),"00")&amp;"-"&amp;TEXT(DAY($B63),"00")&amp;"_"&amp;$D63,"فتح الصور ("&amp;$J63&amp;")"))</f>
        <v/>
      </c>
      <c r="Q63" s="24">
        <f>IF($B63="","",MONTH($B63))</f>
        <v/>
      </c>
      <c r="R63" s="24">
        <f>IF($B63="","",YEAR($B63))</f>
        <v/>
      </c>
      <c r="S63" s="25">
        <f>IF($B63="","",$B63-WEEKDAY($B63,3))</f>
        <v/>
      </c>
      <c r="T63" s="24">
        <f>IF($B63="",0,IF(COUNTIFS($B$5:$B63,$B63,$D$5:$D63,$D63)=1,1,0))</f>
        <v/>
      </c>
      <c r="U63" s="24">
        <f>IF($B63="",0,IF(COUNTIFS($B$5:$B63,$B63,$C$5:$C63,$C63)=1,1,0))</f>
        <v/>
      </c>
      <c r="V63" s="24">
        <f>IF(OR($B63="",$G63="",$G63="لا توجد مشاهدات"),0,1)</f>
        <v/>
      </c>
      <c r="W63" s="24">
        <f>IF(AND($B63&lt;&gt;"",$I63="تم تحرير مخالفة"),1,0)</f>
        <v/>
      </c>
      <c r="X63" s="24">
        <f>IF($B63="","",IF($S63=WkStart,COUNTIF($S$5:$S63,WkStart),""))</f>
        <v/>
      </c>
    </row>
    <row r="64">
      <c r="A64" s="16">
        <f>IF($B64="","",ROW()-4)</f>
        <v/>
      </c>
      <c r="B64" s="17" t="n"/>
      <c r="C64" s="18" t="n"/>
      <c r="D64" s="18" t="n"/>
      <c r="E64" s="19" t="n"/>
      <c r="F64" s="19" t="n"/>
      <c r="G64" s="18" t="n"/>
      <c r="H64" s="18" t="n"/>
      <c r="I64" s="18" t="n"/>
      <c r="J64" s="20" t="n"/>
      <c r="K64" s="21" t="n"/>
      <c r="L64" s="21" t="n"/>
      <c r="M64" s="18" t="n"/>
      <c r="N64" s="22">
        <f>IF($B64="","",CHOOSE(WEEKDAY($B64),"الأحد","الاثنين","الثلاثاء","الأربعاء","الخميس","الجمعة","السبت"))</f>
        <v/>
      </c>
      <c r="O64" s="23">
        <f>IF(OR($K64="",$L64=""),"",HYPERLINK("https://maps.google.com/?q="&amp;$K64&amp;","&amp;$L64,"عرض الموقع"))</f>
        <v/>
      </c>
      <c r="P64" s="23">
        <f>IF(OR($B64="",N($J64)=0),"",HYPERLINK(PhotoDir&amp;"/"&amp;YEAR($B64)&amp;"-"&amp;TEXT(MONTH($B64),"00")&amp;"-"&amp;TEXT(DAY($B64),"00")&amp;"_"&amp;$D64,"فتح الصور ("&amp;$J64&amp;")"))</f>
        <v/>
      </c>
      <c r="Q64" s="24">
        <f>IF($B64="","",MONTH($B64))</f>
        <v/>
      </c>
      <c r="R64" s="24">
        <f>IF($B64="","",YEAR($B64))</f>
        <v/>
      </c>
      <c r="S64" s="25">
        <f>IF($B64="","",$B64-WEEKDAY($B64,3))</f>
        <v/>
      </c>
      <c r="T64" s="24">
        <f>IF($B64="",0,IF(COUNTIFS($B$5:$B64,$B64,$D$5:$D64,$D64)=1,1,0))</f>
        <v/>
      </c>
      <c r="U64" s="24">
        <f>IF($B64="",0,IF(COUNTIFS($B$5:$B64,$B64,$C$5:$C64,$C64)=1,1,0))</f>
        <v/>
      </c>
      <c r="V64" s="24">
        <f>IF(OR($B64="",$G64="",$G64="لا توجد مشاهدات"),0,1)</f>
        <v/>
      </c>
      <c r="W64" s="24">
        <f>IF(AND($B64&lt;&gt;"",$I64="تم تحرير مخالفة"),1,0)</f>
        <v/>
      </c>
      <c r="X64" s="24">
        <f>IF($B64="","",IF($S64=WkStart,COUNTIF($S$5:$S64,WkStart),""))</f>
        <v/>
      </c>
    </row>
    <row r="65">
      <c r="A65" s="16">
        <f>IF($B65="","",ROW()-4)</f>
        <v/>
      </c>
      <c r="B65" s="17" t="n"/>
      <c r="C65" s="18" t="n"/>
      <c r="D65" s="18" t="n"/>
      <c r="E65" s="19" t="n"/>
      <c r="F65" s="19" t="n"/>
      <c r="G65" s="18" t="n"/>
      <c r="H65" s="18" t="n"/>
      <c r="I65" s="18" t="n"/>
      <c r="J65" s="20" t="n"/>
      <c r="K65" s="21" t="n"/>
      <c r="L65" s="21" t="n"/>
      <c r="M65" s="18" t="n"/>
      <c r="N65" s="22">
        <f>IF($B65="","",CHOOSE(WEEKDAY($B65),"الأحد","الاثنين","الثلاثاء","الأربعاء","الخميس","الجمعة","السبت"))</f>
        <v/>
      </c>
      <c r="O65" s="23">
        <f>IF(OR($K65="",$L65=""),"",HYPERLINK("https://maps.google.com/?q="&amp;$K65&amp;","&amp;$L65,"عرض الموقع"))</f>
        <v/>
      </c>
      <c r="P65" s="23">
        <f>IF(OR($B65="",N($J65)=0),"",HYPERLINK(PhotoDir&amp;"/"&amp;YEAR($B65)&amp;"-"&amp;TEXT(MONTH($B65),"00")&amp;"-"&amp;TEXT(DAY($B65),"00")&amp;"_"&amp;$D65,"فتح الصور ("&amp;$J65&amp;")"))</f>
        <v/>
      </c>
      <c r="Q65" s="24">
        <f>IF($B65="","",MONTH($B65))</f>
        <v/>
      </c>
      <c r="R65" s="24">
        <f>IF($B65="","",YEAR($B65))</f>
        <v/>
      </c>
      <c r="S65" s="25">
        <f>IF($B65="","",$B65-WEEKDAY($B65,3))</f>
        <v/>
      </c>
      <c r="T65" s="24">
        <f>IF($B65="",0,IF(COUNTIFS($B$5:$B65,$B65,$D$5:$D65,$D65)=1,1,0))</f>
        <v/>
      </c>
      <c r="U65" s="24">
        <f>IF($B65="",0,IF(COUNTIFS($B$5:$B65,$B65,$C$5:$C65,$C65)=1,1,0))</f>
        <v/>
      </c>
      <c r="V65" s="24">
        <f>IF(OR($B65="",$G65="",$G65="لا توجد مشاهدات"),0,1)</f>
        <v/>
      </c>
      <c r="W65" s="24">
        <f>IF(AND($B65&lt;&gt;"",$I65="تم تحرير مخالفة"),1,0)</f>
        <v/>
      </c>
      <c r="X65" s="24">
        <f>IF($B65="","",IF($S65=WkStart,COUNTIF($S$5:$S65,WkStart),""))</f>
        <v/>
      </c>
    </row>
    <row r="66">
      <c r="A66" s="16">
        <f>IF($B66="","",ROW()-4)</f>
        <v/>
      </c>
      <c r="B66" s="17" t="n"/>
      <c r="C66" s="18" t="n"/>
      <c r="D66" s="18" t="n"/>
      <c r="E66" s="19" t="n"/>
      <c r="F66" s="19" t="n"/>
      <c r="G66" s="18" t="n"/>
      <c r="H66" s="18" t="n"/>
      <c r="I66" s="18" t="n"/>
      <c r="J66" s="20" t="n"/>
      <c r="K66" s="21" t="n"/>
      <c r="L66" s="21" t="n"/>
      <c r="M66" s="18" t="n"/>
      <c r="N66" s="22">
        <f>IF($B66="","",CHOOSE(WEEKDAY($B66),"الأحد","الاثنين","الثلاثاء","الأربعاء","الخميس","الجمعة","السبت"))</f>
        <v/>
      </c>
      <c r="O66" s="23">
        <f>IF(OR($K66="",$L66=""),"",HYPERLINK("https://maps.google.com/?q="&amp;$K66&amp;","&amp;$L66,"عرض الموقع"))</f>
        <v/>
      </c>
      <c r="P66" s="23">
        <f>IF(OR($B66="",N($J66)=0),"",HYPERLINK(PhotoDir&amp;"/"&amp;YEAR($B66)&amp;"-"&amp;TEXT(MONTH($B66),"00")&amp;"-"&amp;TEXT(DAY($B66),"00")&amp;"_"&amp;$D66,"فتح الصور ("&amp;$J66&amp;")"))</f>
        <v/>
      </c>
      <c r="Q66" s="24">
        <f>IF($B66="","",MONTH($B66))</f>
        <v/>
      </c>
      <c r="R66" s="24">
        <f>IF($B66="","",YEAR($B66))</f>
        <v/>
      </c>
      <c r="S66" s="25">
        <f>IF($B66="","",$B66-WEEKDAY($B66,3))</f>
        <v/>
      </c>
      <c r="T66" s="24">
        <f>IF($B66="",0,IF(COUNTIFS($B$5:$B66,$B66,$D$5:$D66,$D66)=1,1,0))</f>
        <v/>
      </c>
      <c r="U66" s="24">
        <f>IF($B66="",0,IF(COUNTIFS($B$5:$B66,$B66,$C$5:$C66,$C66)=1,1,0))</f>
        <v/>
      </c>
      <c r="V66" s="24">
        <f>IF(OR($B66="",$G66="",$G66="لا توجد مشاهدات"),0,1)</f>
        <v/>
      </c>
      <c r="W66" s="24">
        <f>IF(AND($B66&lt;&gt;"",$I66="تم تحرير مخالفة"),1,0)</f>
        <v/>
      </c>
      <c r="X66" s="24">
        <f>IF($B66="","",IF($S66=WkStart,COUNTIF($S$5:$S66,WkStart),""))</f>
        <v/>
      </c>
    </row>
    <row r="67">
      <c r="A67" s="16">
        <f>IF($B67="","",ROW()-4)</f>
        <v/>
      </c>
      <c r="B67" s="17" t="n"/>
      <c r="C67" s="18" t="n"/>
      <c r="D67" s="18" t="n"/>
      <c r="E67" s="19" t="n"/>
      <c r="F67" s="19" t="n"/>
      <c r="G67" s="18" t="n"/>
      <c r="H67" s="18" t="n"/>
      <c r="I67" s="18" t="n"/>
      <c r="J67" s="20" t="n"/>
      <c r="K67" s="21" t="n"/>
      <c r="L67" s="21" t="n"/>
      <c r="M67" s="18" t="n"/>
      <c r="N67" s="22">
        <f>IF($B67="","",CHOOSE(WEEKDAY($B67),"الأحد","الاثنين","الثلاثاء","الأربعاء","الخميس","الجمعة","السبت"))</f>
        <v/>
      </c>
      <c r="O67" s="23">
        <f>IF(OR($K67="",$L67=""),"",HYPERLINK("https://maps.google.com/?q="&amp;$K67&amp;","&amp;$L67,"عرض الموقع"))</f>
        <v/>
      </c>
      <c r="P67" s="23">
        <f>IF(OR($B67="",N($J67)=0),"",HYPERLINK(PhotoDir&amp;"/"&amp;YEAR($B67)&amp;"-"&amp;TEXT(MONTH($B67),"00")&amp;"-"&amp;TEXT(DAY($B67),"00")&amp;"_"&amp;$D67,"فتح الصور ("&amp;$J67&amp;")"))</f>
        <v/>
      </c>
      <c r="Q67" s="24">
        <f>IF($B67="","",MONTH($B67))</f>
        <v/>
      </c>
      <c r="R67" s="24">
        <f>IF($B67="","",YEAR($B67))</f>
        <v/>
      </c>
      <c r="S67" s="25">
        <f>IF($B67="","",$B67-WEEKDAY($B67,3))</f>
        <v/>
      </c>
      <c r="T67" s="24">
        <f>IF($B67="",0,IF(COUNTIFS($B$5:$B67,$B67,$D$5:$D67,$D67)=1,1,0))</f>
        <v/>
      </c>
      <c r="U67" s="24">
        <f>IF($B67="",0,IF(COUNTIFS($B$5:$B67,$B67,$C$5:$C67,$C67)=1,1,0))</f>
        <v/>
      </c>
      <c r="V67" s="24">
        <f>IF(OR($B67="",$G67="",$G67="لا توجد مشاهدات"),0,1)</f>
        <v/>
      </c>
      <c r="W67" s="24">
        <f>IF(AND($B67&lt;&gt;"",$I67="تم تحرير مخالفة"),1,0)</f>
        <v/>
      </c>
      <c r="X67" s="24">
        <f>IF($B67="","",IF($S67=WkStart,COUNTIF($S$5:$S67,WkStart),""))</f>
        <v/>
      </c>
    </row>
    <row r="68">
      <c r="A68" s="16">
        <f>IF($B68="","",ROW()-4)</f>
        <v/>
      </c>
      <c r="B68" s="17" t="n"/>
      <c r="C68" s="18" t="n"/>
      <c r="D68" s="18" t="n"/>
      <c r="E68" s="19" t="n"/>
      <c r="F68" s="19" t="n"/>
      <c r="G68" s="18" t="n"/>
      <c r="H68" s="18" t="n"/>
      <c r="I68" s="18" t="n"/>
      <c r="J68" s="20" t="n"/>
      <c r="K68" s="21" t="n"/>
      <c r="L68" s="21" t="n"/>
      <c r="M68" s="18" t="n"/>
      <c r="N68" s="22">
        <f>IF($B68="","",CHOOSE(WEEKDAY($B68),"الأحد","الاثنين","الثلاثاء","الأربعاء","الخميس","الجمعة","السبت"))</f>
        <v/>
      </c>
      <c r="O68" s="23">
        <f>IF(OR($K68="",$L68=""),"",HYPERLINK("https://maps.google.com/?q="&amp;$K68&amp;","&amp;$L68,"عرض الموقع"))</f>
        <v/>
      </c>
      <c r="P68" s="23">
        <f>IF(OR($B68="",N($J68)=0),"",HYPERLINK(PhotoDir&amp;"/"&amp;YEAR($B68)&amp;"-"&amp;TEXT(MONTH($B68),"00")&amp;"-"&amp;TEXT(DAY($B68),"00")&amp;"_"&amp;$D68,"فتح الصور ("&amp;$J68&amp;")"))</f>
        <v/>
      </c>
      <c r="Q68" s="24">
        <f>IF($B68="","",MONTH($B68))</f>
        <v/>
      </c>
      <c r="R68" s="24">
        <f>IF($B68="","",YEAR($B68))</f>
        <v/>
      </c>
      <c r="S68" s="25">
        <f>IF($B68="","",$B68-WEEKDAY($B68,3))</f>
        <v/>
      </c>
      <c r="T68" s="24">
        <f>IF($B68="",0,IF(COUNTIFS($B$5:$B68,$B68,$D$5:$D68,$D68)=1,1,0))</f>
        <v/>
      </c>
      <c r="U68" s="24">
        <f>IF($B68="",0,IF(COUNTIFS($B$5:$B68,$B68,$C$5:$C68,$C68)=1,1,0))</f>
        <v/>
      </c>
      <c r="V68" s="24">
        <f>IF(OR($B68="",$G68="",$G68="لا توجد مشاهدات"),0,1)</f>
        <v/>
      </c>
      <c r="W68" s="24">
        <f>IF(AND($B68&lt;&gt;"",$I68="تم تحرير مخالفة"),1,0)</f>
        <v/>
      </c>
      <c r="X68" s="24">
        <f>IF($B68="","",IF($S68=WkStart,COUNTIF($S$5:$S68,WkStart),""))</f>
        <v/>
      </c>
    </row>
    <row r="69">
      <c r="A69" s="16">
        <f>IF($B69="","",ROW()-4)</f>
        <v/>
      </c>
      <c r="B69" s="17" t="n"/>
      <c r="C69" s="18" t="n"/>
      <c r="D69" s="18" t="n"/>
      <c r="E69" s="19" t="n"/>
      <c r="F69" s="19" t="n"/>
      <c r="G69" s="18" t="n"/>
      <c r="H69" s="18" t="n"/>
      <c r="I69" s="18" t="n"/>
      <c r="J69" s="20" t="n"/>
      <c r="K69" s="21" t="n"/>
      <c r="L69" s="21" t="n"/>
      <c r="M69" s="18" t="n"/>
      <c r="N69" s="22">
        <f>IF($B69="","",CHOOSE(WEEKDAY($B69),"الأحد","الاثنين","الثلاثاء","الأربعاء","الخميس","الجمعة","السبت"))</f>
        <v/>
      </c>
      <c r="O69" s="23">
        <f>IF(OR($K69="",$L69=""),"",HYPERLINK("https://maps.google.com/?q="&amp;$K69&amp;","&amp;$L69,"عرض الموقع"))</f>
        <v/>
      </c>
      <c r="P69" s="23">
        <f>IF(OR($B69="",N($J69)=0),"",HYPERLINK(PhotoDir&amp;"/"&amp;YEAR($B69)&amp;"-"&amp;TEXT(MONTH($B69),"00")&amp;"-"&amp;TEXT(DAY($B69),"00")&amp;"_"&amp;$D69,"فتح الصور ("&amp;$J69&amp;")"))</f>
        <v/>
      </c>
      <c r="Q69" s="24">
        <f>IF($B69="","",MONTH($B69))</f>
        <v/>
      </c>
      <c r="R69" s="24">
        <f>IF($B69="","",YEAR($B69))</f>
        <v/>
      </c>
      <c r="S69" s="25">
        <f>IF($B69="","",$B69-WEEKDAY($B69,3))</f>
        <v/>
      </c>
      <c r="T69" s="24">
        <f>IF($B69="",0,IF(COUNTIFS($B$5:$B69,$B69,$D$5:$D69,$D69)=1,1,0))</f>
        <v/>
      </c>
      <c r="U69" s="24">
        <f>IF($B69="",0,IF(COUNTIFS($B$5:$B69,$B69,$C$5:$C69,$C69)=1,1,0))</f>
        <v/>
      </c>
      <c r="V69" s="24">
        <f>IF(OR($B69="",$G69="",$G69="لا توجد مشاهدات"),0,1)</f>
        <v/>
      </c>
      <c r="W69" s="24">
        <f>IF(AND($B69&lt;&gt;"",$I69="تم تحرير مخالفة"),1,0)</f>
        <v/>
      </c>
      <c r="X69" s="24">
        <f>IF($B69="","",IF($S69=WkStart,COUNTIF($S$5:$S69,WkStart),""))</f>
        <v/>
      </c>
    </row>
    <row r="70">
      <c r="A70" s="16">
        <f>IF($B70="","",ROW()-4)</f>
        <v/>
      </c>
      <c r="B70" s="17" t="n"/>
      <c r="C70" s="18" t="n"/>
      <c r="D70" s="18" t="n"/>
      <c r="E70" s="19" t="n"/>
      <c r="F70" s="19" t="n"/>
      <c r="G70" s="18" t="n"/>
      <c r="H70" s="18" t="n"/>
      <c r="I70" s="18" t="n"/>
      <c r="J70" s="20" t="n"/>
      <c r="K70" s="21" t="n"/>
      <c r="L70" s="21" t="n"/>
      <c r="M70" s="18" t="n"/>
      <c r="N70" s="22">
        <f>IF($B70="","",CHOOSE(WEEKDAY($B70),"الأحد","الاثنين","الثلاثاء","الأربعاء","الخميس","الجمعة","السبت"))</f>
        <v/>
      </c>
      <c r="O70" s="23">
        <f>IF(OR($K70="",$L70=""),"",HYPERLINK("https://maps.google.com/?q="&amp;$K70&amp;","&amp;$L70,"عرض الموقع"))</f>
        <v/>
      </c>
      <c r="P70" s="23">
        <f>IF(OR($B70="",N($J70)=0),"",HYPERLINK(PhotoDir&amp;"/"&amp;YEAR($B70)&amp;"-"&amp;TEXT(MONTH($B70),"00")&amp;"-"&amp;TEXT(DAY($B70),"00")&amp;"_"&amp;$D70,"فتح الصور ("&amp;$J70&amp;")"))</f>
        <v/>
      </c>
      <c r="Q70" s="24">
        <f>IF($B70="","",MONTH($B70))</f>
        <v/>
      </c>
      <c r="R70" s="24">
        <f>IF($B70="","",YEAR($B70))</f>
        <v/>
      </c>
      <c r="S70" s="25">
        <f>IF($B70="","",$B70-WEEKDAY($B70,3))</f>
        <v/>
      </c>
      <c r="T70" s="24">
        <f>IF($B70="",0,IF(COUNTIFS($B$5:$B70,$B70,$D$5:$D70,$D70)=1,1,0))</f>
        <v/>
      </c>
      <c r="U70" s="24">
        <f>IF($B70="",0,IF(COUNTIFS($B$5:$B70,$B70,$C$5:$C70,$C70)=1,1,0))</f>
        <v/>
      </c>
      <c r="V70" s="24">
        <f>IF(OR($B70="",$G70="",$G70="لا توجد مشاهدات"),0,1)</f>
        <v/>
      </c>
      <c r="W70" s="24">
        <f>IF(AND($B70&lt;&gt;"",$I70="تم تحرير مخالفة"),1,0)</f>
        <v/>
      </c>
      <c r="X70" s="24">
        <f>IF($B70="","",IF($S70=WkStart,COUNTIF($S$5:$S70,WkStart),""))</f>
        <v/>
      </c>
    </row>
    <row r="71">
      <c r="A71" s="16">
        <f>IF($B71="","",ROW()-4)</f>
        <v/>
      </c>
      <c r="B71" s="17" t="n"/>
      <c r="C71" s="18" t="n"/>
      <c r="D71" s="18" t="n"/>
      <c r="E71" s="19" t="n"/>
      <c r="F71" s="19" t="n"/>
      <c r="G71" s="18" t="n"/>
      <c r="H71" s="18" t="n"/>
      <c r="I71" s="18" t="n"/>
      <c r="J71" s="20" t="n"/>
      <c r="K71" s="21" t="n"/>
      <c r="L71" s="21" t="n"/>
      <c r="M71" s="18" t="n"/>
      <c r="N71" s="22">
        <f>IF($B71="","",CHOOSE(WEEKDAY($B71),"الأحد","الاثنين","الثلاثاء","الأربعاء","الخميس","الجمعة","السبت"))</f>
        <v/>
      </c>
      <c r="O71" s="23">
        <f>IF(OR($K71="",$L71=""),"",HYPERLINK("https://maps.google.com/?q="&amp;$K71&amp;","&amp;$L71,"عرض الموقع"))</f>
        <v/>
      </c>
      <c r="P71" s="23">
        <f>IF(OR($B71="",N($J71)=0),"",HYPERLINK(PhotoDir&amp;"/"&amp;YEAR($B71)&amp;"-"&amp;TEXT(MONTH($B71),"00")&amp;"-"&amp;TEXT(DAY($B71),"00")&amp;"_"&amp;$D71,"فتح الصور ("&amp;$J71&amp;")"))</f>
        <v/>
      </c>
      <c r="Q71" s="24">
        <f>IF($B71="","",MONTH($B71))</f>
        <v/>
      </c>
      <c r="R71" s="24">
        <f>IF($B71="","",YEAR($B71))</f>
        <v/>
      </c>
      <c r="S71" s="25">
        <f>IF($B71="","",$B71-WEEKDAY($B71,3))</f>
        <v/>
      </c>
      <c r="T71" s="24">
        <f>IF($B71="",0,IF(COUNTIFS($B$5:$B71,$B71,$D$5:$D71,$D71)=1,1,0))</f>
        <v/>
      </c>
      <c r="U71" s="24">
        <f>IF($B71="",0,IF(COUNTIFS($B$5:$B71,$B71,$C$5:$C71,$C71)=1,1,0))</f>
        <v/>
      </c>
      <c r="V71" s="24">
        <f>IF(OR($B71="",$G71="",$G71="لا توجد مشاهدات"),0,1)</f>
        <v/>
      </c>
      <c r="W71" s="24">
        <f>IF(AND($B71&lt;&gt;"",$I71="تم تحرير مخالفة"),1,0)</f>
        <v/>
      </c>
      <c r="X71" s="24">
        <f>IF($B71="","",IF($S71=WkStart,COUNTIF($S$5:$S71,WkStart),""))</f>
        <v/>
      </c>
    </row>
    <row r="72">
      <c r="A72" s="16">
        <f>IF($B72="","",ROW()-4)</f>
        <v/>
      </c>
      <c r="B72" s="17" t="n"/>
      <c r="C72" s="18" t="n"/>
      <c r="D72" s="18" t="n"/>
      <c r="E72" s="19" t="n"/>
      <c r="F72" s="19" t="n"/>
      <c r="G72" s="18" t="n"/>
      <c r="H72" s="18" t="n"/>
      <c r="I72" s="18" t="n"/>
      <c r="J72" s="20" t="n"/>
      <c r="K72" s="21" t="n"/>
      <c r="L72" s="21" t="n"/>
      <c r="M72" s="18" t="n"/>
      <c r="N72" s="22">
        <f>IF($B72="","",CHOOSE(WEEKDAY($B72),"الأحد","الاثنين","الثلاثاء","الأربعاء","الخميس","الجمعة","السبت"))</f>
        <v/>
      </c>
      <c r="O72" s="23">
        <f>IF(OR($K72="",$L72=""),"",HYPERLINK("https://maps.google.com/?q="&amp;$K72&amp;","&amp;$L72,"عرض الموقع"))</f>
        <v/>
      </c>
      <c r="P72" s="23">
        <f>IF(OR($B72="",N($J72)=0),"",HYPERLINK(PhotoDir&amp;"/"&amp;YEAR($B72)&amp;"-"&amp;TEXT(MONTH($B72),"00")&amp;"-"&amp;TEXT(DAY($B72),"00")&amp;"_"&amp;$D72,"فتح الصور ("&amp;$J72&amp;")"))</f>
        <v/>
      </c>
      <c r="Q72" s="24">
        <f>IF($B72="","",MONTH($B72))</f>
        <v/>
      </c>
      <c r="R72" s="24">
        <f>IF($B72="","",YEAR($B72))</f>
        <v/>
      </c>
      <c r="S72" s="25">
        <f>IF($B72="","",$B72-WEEKDAY($B72,3))</f>
        <v/>
      </c>
      <c r="T72" s="24">
        <f>IF($B72="",0,IF(COUNTIFS($B$5:$B72,$B72,$D$5:$D72,$D72)=1,1,0))</f>
        <v/>
      </c>
      <c r="U72" s="24">
        <f>IF($B72="",0,IF(COUNTIFS($B$5:$B72,$B72,$C$5:$C72,$C72)=1,1,0))</f>
        <v/>
      </c>
      <c r="V72" s="24">
        <f>IF(OR($B72="",$G72="",$G72="لا توجد مشاهدات"),0,1)</f>
        <v/>
      </c>
      <c r="W72" s="24">
        <f>IF(AND($B72&lt;&gt;"",$I72="تم تحرير مخالفة"),1,0)</f>
        <v/>
      </c>
      <c r="X72" s="24">
        <f>IF($B72="","",IF($S72=WkStart,COUNTIF($S$5:$S72,WkStart),""))</f>
        <v/>
      </c>
    </row>
    <row r="73">
      <c r="A73" s="16">
        <f>IF($B73="","",ROW()-4)</f>
        <v/>
      </c>
      <c r="B73" s="17" t="n"/>
      <c r="C73" s="18" t="n"/>
      <c r="D73" s="18" t="n"/>
      <c r="E73" s="19" t="n"/>
      <c r="F73" s="19" t="n"/>
      <c r="G73" s="18" t="n"/>
      <c r="H73" s="18" t="n"/>
      <c r="I73" s="18" t="n"/>
      <c r="J73" s="20" t="n"/>
      <c r="K73" s="21" t="n"/>
      <c r="L73" s="21" t="n"/>
      <c r="M73" s="18" t="n"/>
      <c r="N73" s="22">
        <f>IF($B73="","",CHOOSE(WEEKDAY($B73),"الأحد","الاثنين","الثلاثاء","الأربعاء","الخميس","الجمعة","السبت"))</f>
        <v/>
      </c>
      <c r="O73" s="23">
        <f>IF(OR($K73="",$L73=""),"",HYPERLINK("https://maps.google.com/?q="&amp;$K73&amp;","&amp;$L73,"عرض الموقع"))</f>
        <v/>
      </c>
      <c r="P73" s="23">
        <f>IF(OR($B73="",N($J73)=0),"",HYPERLINK(PhotoDir&amp;"/"&amp;YEAR($B73)&amp;"-"&amp;TEXT(MONTH($B73),"00")&amp;"-"&amp;TEXT(DAY($B73),"00")&amp;"_"&amp;$D73,"فتح الصور ("&amp;$J73&amp;")"))</f>
        <v/>
      </c>
      <c r="Q73" s="24">
        <f>IF($B73="","",MONTH($B73))</f>
        <v/>
      </c>
      <c r="R73" s="24">
        <f>IF($B73="","",YEAR($B73))</f>
        <v/>
      </c>
      <c r="S73" s="25">
        <f>IF($B73="","",$B73-WEEKDAY($B73,3))</f>
        <v/>
      </c>
      <c r="T73" s="24">
        <f>IF($B73="",0,IF(COUNTIFS($B$5:$B73,$B73,$D$5:$D73,$D73)=1,1,0))</f>
        <v/>
      </c>
      <c r="U73" s="24">
        <f>IF($B73="",0,IF(COUNTIFS($B$5:$B73,$B73,$C$5:$C73,$C73)=1,1,0))</f>
        <v/>
      </c>
      <c r="V73" s="24">
        <f>IF(OR($B73="",$G73="",$G73="لا توجد مشاهدات"),0,1)</f>
        <v/>
      </c>
      <c r="W73" s="24">
        <f>IF(AND($B73&lt;&gt;"",$I73="تم تحرير مخالفة"),1,0)</f>
        <v/>
      </c>
      <c r="X73" s="24">
        <f>IF($B73="","",IF($S73=WkStart,COUNTIF($S$5:$S73,WkStart),""))</f>
        <v/>
      </c>
    </row>
    <row r="74">
      <c r="A74" s="16">
        <f>IF($B74="","",ROW()-4)</f>
        <v/>
      </c>
      <c r="B74" s="17" t="n"/>
      <c r="C74" s="18" t="n"/>
      <c r="D74" s="18" t="n"/>
      <c r="E74" s="19" t="n"/>
      <c r="F74" s="19" t="n"/>
      <c r="G74" s="18" t="n"/>
      <c r="H74" s="18" t="n"/>
      <c r="I74" s="18" t="n"/>
      <c r="J74" s="20" t="n"/>
      <c r="K74" s="21" t="n"/>
      <c r="L74" s="21" t="n"/>
      <c r="M74" s="18" t="n"/>
      <c r="N74" s="22">
        <f>IF($B74="","",CHOOSE(WEEKDAY($B74),"الأحد","الاثنين","الثلاثاء","الأربعاء","الخميس","الجمعة","السبت"))</f>
        <v/>
      </c>
      <c r="O74" s="23">
        <f>IF(OR($K74="",$L74=""),"",HYPERLINK("https://maps.google.com/?q="&amp;$K74&amp;","&amp;$L74,"عرض الموقع"))</f>
        <v/>
      </c>
      <c r="P74" s="23">
        <f>IF(OR($B74="",N($J74)=0),"",HYPERLINK(PhotoDir&amp;"/"&amp;YEAR($B74)&amp;"-"&amp;TEXT(MONTH($B74),"00")&amp;"-"&amp;TEXT(DAY($B74),"00")&amp;"_"&amp;$D74,"فتح الصور ("&amp;$J74&amp;")"))</f>
        <v/>
      </c>
      <c r="Q74" s="24">
        <f>IF($B74="","",MONTH($B74))</f>
        <v/>
      </c>
      <c r="R74" s="24">
        <f>IF($B74="","",YEAR($B74))</f>
        <v/>
      </c>
      <c r="S74" s="25">
        <f>IF($B74="","",$B74-WEEKDAY($B74,3))</f>
        <v/>
      </c>
      <c r="T74" s="24">
        <f>IF($B74="",0,IF(COUNTIFS($B$5:$B74,$B74,$D$5:$D74,$D74)=1,1,0))</f>
        <v/>
      </c>
      <c r="U74" s="24">
        <f>IF($B74="",0,IF(COUNTIFS($B$5:$B74,$B74,$C$5:$C74,$C74)=1,1,0))</f>
        <v/>
      </c>
      <c r="V74" s="24">
        <f>IF(OR($B74="",$G74="",$G74="لا توجد مشاهدات"),0,1)</f>
        <v/>
      </c>
      <c r="W74" s="24">
        <f>IF(AND($B74&lt;&gt;"",$I74="تم تحرير مخالفة"),1,0)</f>
        <v/>
      </c>
      <c r="X74" s="24">
        <f>IF($B74="","",IF($S74=WkStart,COUNTIF($S$5:$S74,WkStart),""))</f>
        <v/>
      </c>
    </row>
    <row r="75">
      <c r="A75" s="16">
        <f>IF($B75="","",ROW()-4)</f>
        <v/>
      </c>
      <c r="B75" s="17" t="n"/>
      <c r="C75" s="18" t="n"/>
      <c r="D75" s="18" t="n"/>
      <c r="E75" s="19" t="n"/>
      <c r="F75" s="19" t="n"/>
      <c r="G75" s="18" t="n"/>
      <c r="H75" s="18" t="n"/>
      <c r="I75" s="18" t="n"/>
      <c r="J75" s="20" t="n"/>
      <c r="K75" s="21" t="n"/>
      <c r="L75" s="21" t="n"/>
      <c r="M75" s="18" t="n"/>
      <c r="N75" s="22">
        <f>IF($B75="","",CHOOSE(WEEKDAY($B75),"الأحد","الاثنين","الثلاثاء","الأربعاء","الخميس","الجمعة","السبت"))</f>
        <v/>
      </c>
      <c r="O75" s="23">
        <f>IF(OR($K75="",$L75=""),"",HYPERLINK("https://maps.google.com/?q="&amp;$K75&amp;","&amp;$L75,"عرض الموقع"))</f>
        <v/>
      </c>
      <c r="P75" s="23">
        <f>IF(OR($B75="",N($J75)=0),"",HYPERLINK(PhotoDir&amp;"/"&amp;YEAR($B75)&amp;"-"&amp;TEXT(MONTH($B75),"00")&amp;"-"&amp;TEXT(DAY($B75),"00")&amp;"_"&amp;$D75,"فتح الصور ("&amp;$J75&amp;")"))</f>
        <v/>
      </c>
      <c r="Q75" s="24">
        <f>IF($B75="","",MONTH($B75))</f>
        <v/>
      </c>
      <c r="R75" s="24">
        <f>IF($B75="","",YEAR($B75))</f>
        <v/>
      </c>
      <c r="S75" s="25">
        <f>IF($B75="","",$B75-WEEKDAY($B75,3))</f>
        <v/>
      </c>
      <c r="T75" s="24">
        <f>IF($B75="",0,IF(COUNTIFS($B$5:$B75,$B75,$D$5:$D75,$D75)=1,1,0))</f>
        <v/>
      </c>
      <c r="U75" s="24">
        <f>IF($B75="",0,IF(COUNTIFS($B$5:$B75,$B75,$C$5:$C75,$C75)=1,1,0))</f>
        <v/>
      </c>
      <c r="V75" s="24">
        <f>IF(OR($B75="",$G75="",$G75="لا توجد مشاهدات"),0,1)</f>
        <v/>
      </c>
      <c r="W75" s="24">
        <f>IF(AND($B75&lt;&gt;"",$I75="تم تحرير مخالفة"),1,0)</f>
        <v/>
      </c>
      <c r="X75" s="24">
        <f>IF($B75="","",IF($S75=WkStart,COUNTIF($S$5:$S75,WkStart),""))</f>
        <v/>
      </c>
    </row>
    <row r="76">
      <c r="A76" s="16">
        <f>IF($B76="","",ROW()-4)</f>
        <v/>
      </c>
      <c r="B76" s="17" t="n"/>
      <c r="C76" s="18" t="n"/>
      <c r="D76" s="18" t="n"/>
      <c r="E76" s="19" t="n"/>
      <c r="F76" s="19" t="n"/>
      <c r="G76" s="18" t="n"/>
      <c r="H76" s="18" t="n"/>
      <c r="I76" s="18" t="n"/>
      <c r="J76" s="20" t="n"/>
      <c r="K76" s="21" t="n"/>
      <c r="L76" s="21" t="n"/>
      <c r="M76" s="18" t="n"/>
      <c r="N76" s="22">
        <f>IF($B76="","",CHOOSE(WEEKDAY($B76),"الأحد","الاثنين","الثلاثاء","الأربعاء","الخميس","الجمعة","السبت"))</f>
        <v/>
      </c>
      <c r="O76" s="23">
        <f>IF(OR($K76="",$L76=""),"",HYPERLINK("https://maps.google.com/?q="&amp;$K76&amp;","&amp;$L76,"عرض الموقع"))</f>
        <v/>
      </c>
      <c r="P76" s="23">
        <f>IF(OR($B76="",N($J76)=0),"",HYPERLINK(PhotoDir&amp;"/"&amp;YEAR($B76)&amp;"-"&amp;TEXT(MONTH($B76),"00")&amp;"-"&amp;TEXT(DAY($B76),"00")&amp;"_"&amp;$D76,"فتح الصور ("&amp;$J76&amp;")"))</f>
        <v/>
      </c>
      <c r="Q76" s="24">
        <f>IF($B76="","",MONTH($B76))</f>
        <v/>
      </c>
      <c r="R76" s="24">
        <f>IF($B76="","",YEAR($B76))</f>
        <v/>
      </c>
      <c r="S76" s="25">
        <f>IF($B76="","",$B76-WEEKDAY($B76,3))</f>
        <v/>
      </c>
      <c r="T76" s="24">
        <f>IF($B76="",0,IF(COUNTIFS($B$5:$B76,$B76,$D$5:$D76,$D76)=1,1,0))</f>
        <v/>
      </c>
      <c r="U76" s="24">
        <f>IF($B76="",0,IF(COUNTIFS($B$5:$B76,$B76,$C$5:$C76,$C76)=1,1,0))</f>
        <v/>
      </c>
      <c r="V76" s="24">
        <f>IF(OR($B76="",$G76="",$G76="لا توجد مشاهدات"),0,1)</f>
        <v/>
      </c>
      <c r="W76" s="24">
        <f>IF(AND($B76&lt;&gt;"",$I76="تم تحرير مخالفة"),1,0)</f>
        <v/>
      </c>
      <c r="X76" s="24">
        <f>IF($B76="","",IF($S76=WkStart,COUNTIF($S$5:$S76,WkStart),""))</f>
        <v/>
      </c>
    </row>
    <row r="77">
      <c r="A77" s="16">
        <f>IF($B77="","",ROW()-4)</f>
        <v/>
      </c>
      <c r="B77" s="17" t="n"/>
      <c r="C77" s="18" t="n"/>
      <c r="D77" s="18" t="n"/>
      <c r="E77" s="19" t="n"/>
      <c r="F77" s="19" t="n"/>
      <c r="G77" s="18" t="n"/>
      <c r="H77" s="18" t="n"/>
      <c r="I77" s="18" t="n"/>
      <c r="J77" s="20" t="n"/>
      <c r="K77" s="21" t="n"/>
      <c r="L77" s="21" t="n"/>
      <c r="M77" s="18" t="n"/>
      <c r="N77" s="22">
        <f>IF($B77="","",CHOOSE(WEEKDAY($B77),"الأحد","الاثنين","الثلاثاء","الأربعاء","الخميس","الجمعة","السبت"))</f>
        <v/>
      </c>
      <c r="O77" s="23">
        <f>IF(OR($K77="",$L77=""),"",HYPERLINK("https://maps.google.com/?q="&amp;$K77&amp;","&amp;$L77,"عرض الموقع"))</f>
        <v/>
      </c>
      <c r="P77" s="23">
        <f>IF(OR($B77="",N($J77)=0),"",HYPERLINK(PhotoDir&amp;"/"&amp;YEAR($B77)&amp;"-"&amp;TEXT(MONTH($B77),"00")&amp;"-"&amp;TEXT(DAY($B77),"00")&amp;"_"&amp;$D77,"فتح الصور ("&amp;$J77&amp;")"))</f>
        <v/>
      </c>
      <c r="Q77" s="24">
        <f>IF($B77="","",MONTH($B77))</f>
        <v/>
      </c>
      <c r="R77" s="24">
        <f>IF($B77="","",YEAR($B77))</f>
        <v/>
      </c>
      <c r="S77" s="25">
        <f>IF($B77="","",$B77-WEEKDAY($B77,3))</f>
        <v/>
      </c>
      <c r="T77" s="24">
        <f>IF($B77="",0,IF(COUNTIFS($B$5:$B77,$B77,$D$5:$D77,$D77)=1,1,0))</f>
        <v/>
      </c>
      <c r="U77" s="24">
        <f>IF($B77="",0,IF(COUNTIFS($B$5:$B77,$B77,$C$5:$C77,$C77)=1,1,0))</f>
        <v/>
      </c>
      <c r="V77" s="24">
        <f>IF(OR($B77="",$G77="",$G77="لا توجد مشاهدات"),0,1)</f>
        <v/>
      </c>
      <c r="W77" s="24">
        <f>IF(AND($B77&lt;&gt;"",$I77="تم تحرير مخالفة"),1,0)</f>
        <v/>
      </c>
      <c r="X77" s="24">
        <f>IF($B77="","",IF($S77=WkStart,COUNTIF($S$5:$S77,WkStart),""))</f>
        <v/>
      </c>
    </row>
    <row r="78">
      <c r="A78" s="16">
        <f>IF($B78="","",ROW()-4)</f>
        <v/>
      </c>
      <c r="B78" s="17" t="n"/>
      <c r="C78" s="18" t="n"/>
      <c r="D78" s="18" t="n"/>
      <c r="E78" s="19" t="n"/>
      <c r="F78" s="19" t="n"/>
      <c r="G78" s="18" t="n"/>
      <c r="H78" s="18" t="n"/>
      <c r="I78" s="18" t="n"/>
      <c r="J78" s="20" t="n"/>
      <c r="K78" s="21" t="n"/>
      <c r="L78" s="21" t="n"/>
      <c r="M78" s="18" t="n"/>
      <c r="N78" s="22">
        <f>IF($B78="","",CHOOSE(WEEKDAY($B78),"الأحد","الاثنين","الثلاثاء","الأربعاء","الخميس","الجمعة","السبت"))</f>
        <v/>
      </c>
      <c r="O78" s="23">
        <f>IF(OR($K78="",$L78=""),"",HYPERLINK("https://maps.google.com/?q="&amp;$K78&amp;","&amp;$L78,"عرض الموقع"))</f>
        <v/>
      </c>
      <c r="P78" s="23">
        <f>IF(OR($B78="",N($J78)=0),"",HYPERLINK(PhotoDir&amp;"/"&amp;YEAR($B78)&amp;"-"&amp;TEXT(MONTH($B78),"00")&amp;"-"&amp;TEXT(DAY($B78),"00")&amp;"_"&amp;$D78,"فتح الصور ("&amp;$J78&amp;")"))</f>
        <v/>
      </c>
      <c r="Q78" s="24">
        <f>IF($B78="","",MONTH($B78))</f>
        <v/>
      </c>
      <c r="R78" s="24">
        <f>IF($B78="","",YEAR($B78))</f>
        <v/>
      </c>
      <c r="S78" s="25">
        <f>IF($B78="","",$B78-WEEKDAY($B78,3))</f>
        <v/>
      </c>
      <c r="T78" s="24">
        <f>IF($B78="",0,IF(COUNTIFS($B$5:$B78,$B78,$D$5:$D78,$D78)=1,1,0))</f>
        <v/>
      </c>
      <c r="U78" s="24">
        <f>IF($B78="",0,IF(COUNTIFS($B$5:$B78,$B78,$C$5:$C78,$C78)=1,1,0))</f>
        <v/>
      </c>
      <c r="V78" s="24">
        <f>IF(OR($B78="",$G78="",$G78="لا توجد مشاهدات"),0,1)</f>
        <v/>
      </c>
      <c r="W78" s="24">
        <f>IF(AND($B78&lt;&gt;"",$I78="تم تحرير مخالفة"),1,0)</f>
        <v/>
      </c>
      <c r="X78" s="24">
        <f>IF($B78="","",IF($S78=WkStart,COUNTIF($S$5:$S78,WkStart),""))</f>
        <v/>
      </c>
    </row>
    <row r="79">
      <c r="A79" s="16">
        <f>IF($B79="","",ROW()-4)</f>
        <v/>
      </c>
      <c r="B79" s="17" t="n"/>
      <c r="C79" s="18" t="n"/>
      <c r="D79" s="18" t="n"/>
      <c r="E79" s="19" t="n"/>
      <c r="F79" s="19" t="n"/>
      <c r="G79" s="18" t="n"/>
      <c r="H79" s="18" t="n"/>
      <c r="I79" s="18" t="n"/>
      <c r="J79" s="20" t="n"/>
      <c r="K79" s="21" t="n"/>
      <c r="L79" s="21" t="n"/>
      <c r="M79" s="18" t="n"/>
      <c r="N79" s="22">
        <f>IF($B79="","",CHOOSE(WEEKDAY($B79),"الأحد","الاثنين","الثلاثاء","الأربعاء","الخميس","الجمعة","السبت"))</f>
        <v/>
      </c>
      <c r="O79" s="23">
        <f>IF(OR($K79="",$L79=""),"",HYPERLINK("https://maps.google.com/?q="&amp;$K79&amp;","&amp;$L79,"عرض الموقع"))</f>
        <v/>
      </c>
      <c r="P79" s="23">
        <f>IF(OR($B79="",N($J79)=0),"",HYPERLINK(PhotoDir&amp;"/"&amp;YEAR($B79)&amp;"-"&amp;TEXT(MONTH($B79),"00")&amp;"-"&amp;TEXT(DAY($B79),"00")&amp;"_"&amp;$D79,"فتح الصور ("&amp;$J79&amp;")"))</f>
        <v/>
      </c>
      <c r="Q79" s="24">
        <f>IF($B79="","",MONTH($B79))</f>
        <v/>
      </c>
      <c r="R79" s="24">
        <f>IF($B79="","",YEAR($B79))</f>
        <v/>
      </c>
      <c r="S79" s="25">
        <f>IF($B79="","",$B79-WEEKDAY($B79,3))</f>
        <v/>
      </c>
      <c r="T79" s="24">
        <f>IF($B79="",0,IF(COUNTIFS($B$5:$B79,$B79,$D$5:$D79,$D79)=1,1,0))</f>
        <v/>
      </c>
      <c r="U79" s="24">
        <f>IF($B79="",0,IF(COUNTIFS($B$5:$B79,$B79,$C$5:$C79,$C79)=1,1,0))</f>
        <v/>
      </c>
      <c r="V79" s="24">
        <f>IF(OR($B79="",$G79="",$G79="لا توجد مشاهدات"),0,1)</f>
        <v/>
      </c>
      <c r="W79" s="24">
        <f>IF(AND($B79&lt;&gt;"",$I79="تم تحرير مخالفة"),1,0)</f>
        <v/>
      </c>
      <c r="X79" s="24">
        <f>IF($B79="","",IF($S79=WkStart,COUNTIF($S$5:$S79,WkStart),""))</f>
        <v/>
      </c>
    </row>
    <row r="80">
      <c r="A80" s="16">
        <f>IF($B80="","",ROW()-4)</f>
        <v/>
      </c>
      <c r="B80" s="17" t="n"/>
      <c r="C80" s="18" t="n"/>
      <c r="D80" s="18" t="n"/>
      <c r="E80" s="19" t="n"/>
      <c r="F80" s="19" t="n"/>
      <c r="G80" s="18" t="n"/>
      <c r="H80" s="18" t="n"/>
      <c r="I80" s="18" t="n"/>
      <c r="J80" s="20" t="n"/>
      <c r="K80" s="21" t="n"/>
      <c r="L80" s="21" t="n"/>
      <c r="M80" s="18" t="n"/>
      <c r="N80" s="22">
        <f>IF($B80="","",CHOOSE(WEEKDAY($B80),"الأحد","الاثنين","الثلاثاء","الأربعاء","الخميس","الجمعة","السبت"))</f>
        <v/>
      </c>
      <c r="O80" s="23">
        <f>IF(OR($K80="",$L80=""),"",HYPERLINK("https://maps.google.com/?q="&amp;$K80&amp;","&amp;$L80,"عرض الموقع"))</f>
        <v/>
      </c>
      <c r="P80" s="23">
        <f>IF(OR($B80="",N($J80)=0),"",HYPERLINK(PhotoDir&amp;"/"&amp;YEAR($B80)&amp;"-"&amp;TEXT(MONTH($B80),"00")&amp;"-"&amp;TEXT(DAY($B80),"00")&amp;"_"&amp;$D80,"فتح الصور ("&amp;$J80&amp;")"))</f>
        <v/>
      </c>
      <c r="Q80" s="24">
        <f>IF($B80="","",MONTH($B80))</f>
        <v/>
      </c>
      <c r="R80" s="24">
        <f>IF($B80="","",YEAR($B80))</f>
        <v/>
      </c>
      <c r="S80" s="25">
        <f>IF($B80="","",$B80-WEEKDAY($B80,3))</f>
        <v/>
      </c>
      <c r="T80" s="24">
        <f>IF($B80="",0,IF(COUNTIFS($B$5:$B80,$B80,$D$5:$D80,$D80)=1,1,0))</f>
        <v/>
      </c>
      <c r="U80" s="24">
        <f>IF($B80="",0,IF(COUNTIFS($B$5:$B80,$B80,$C$5:$C80,$C80)=1,1,0))</f>
        <v/>
      </c>
      <c r="V80" s="24">
        <f>IF(OR($B80="",$G80="",$G80="لا توجد مشاهدات"),0,1)</f>
        <v/>
      </c>
      <c r="W80" s="24">
        <f>IF(AND($B80&lt;&gt;"",$I80="تم تحرير مخالفة"),1,0)</f>
        <v/>
      </c>
      <c r="X80" s="24">
        <f>IF($B80="","",IF($S80=WkStart,COUNTIF($S$5:$S80,WkStart),""))</f>
        <v/>
      </c>
    </row>
    <row r="81">
      <c r="A81" s="16">
        <f>IF($B81="","",ROW()-4)</f>
        <v/>
      </c>
      <c r="B81" s="17" t="n"/>
      <c r="C81" s="18" t="n"/>
      <c r="D81" s="18" t="n"/>
      <c r="E81" s="19" t="n"/>
      <c r="F81" s="19" t="n"/>
      <c r="G81" s="18" t="n"/>
      <c r="H81" s="18" t="n"/>
      <c r="I81" s="18" t="n"/>
      <c r="J81" s="20" t="n"/>
      <c r="K81" s="21" t="n"/>
      <c r="L81" s="21" t="n"/>
      <c r="M81" s="18" t="n"/>
      <c r="N81" s="22">
        <f>IF($B81="","",CHOOSE(WEEKDAY($B81),"الأحد","الاثنين","الثلاثاء","الأربعاء","الخميس","الجمعة","السبت"))</f>
        <v/>
      </c>
      <c r="O81" s="23">
        <f>IF(OR($K81="",$L81=""),"",HYPERLINK("https://maps.google.com/?q="&amp;$K81&amp;","&amp;$L81,"عرض الموقع"))</f>
        <v/>
      </c>
      <c r="P81" s="23">
        <f>IF(OR($B81="",N($J81)=0),"",HYPERLINK(PhotoDir&amp;"/"&amp;YEAR($B81)&amp;"-"&amp;TEXT(MONTH($B81),"00")&amp;"-"&amp;TEXT(DAY($B81),"00")&amp;"_"&amp;$D81,"فتح الصور ("&amp;$J81&amp;")"))</f>
        <v/>
      </c>
      <c r="Q81" s="24">
        <f>IF($B81="","",MONTH($B81))</f>
        <v/>
      </c>
      <c r="R81" s="24">
        <f>IF($B81="","",YEAR($B81))</f>
        <v/>
      </c>
      <c r="S81" s="25">
        <f>IF($B81="","",$B81-WEEKDAY($B81,3))</f>
        <v/>
      </c>
      <c r="T81" s="24">
        <f>IF($B81="",0,IF(COUNTIFS($B$5:$B81,$B81,$D$5:$D81,$D81)=1,1,0))</f>
        <v/>
      </c>
      <c r="U81" s="24">
        <f>IF($B81="",0,IF(COUNTIFS($B$5:$B81,$B81,$C$5:$C81,$C81)=1,1,0))</f>
        <v/>
      </c>
      <c r="V81" s="24">
        <f>IF(OR($B81="",$G81="",$G81="لا توجد مشاهدات"),0,1)</f>
        <v/>
      </c>
      <c r="W81" s="24">
        <f>IF(AND($B81&lt;&gt;"",$I81="تم تحرير مخالفة"),1,0)</f>
        <v/>
      </c>
      <c r="X81" s="24">
        <f>IF($B81="","",IF($S81=WkStart,COUNTIF($S$5:$S81,WkStart),""))</f>
        <v/>
      </c>
    </row>
    <row r="82">
      <c r="A82" s="16">
        <f>IF($B82="","",ROW()-4)</f>
        <v/>
      </c>
      <c r="B82" s="17" t="n"/>
      <c r="C82" s="18" t="n"/>
      <c r="D82" s="18" t="n"/>
      <c r="E82" s="19" t="n"/>
      <c r="F82" s="19" t="n"/>
      <c r="G82" s="18" t="n"/>
      <c r="H82" s="18" t="n"/>
      <c r="I82" s="18" t="n"/>
      <c r="J82" s="20" t="n"/>
      <c r="K82" s="21" t="n"/>
      <c r="L82" s="21" t="n"/>
      <c r="M82" s="18" t="n"/>
      <c r="N82" s="22">
        <f>IF($B82="","",CHOOSE(WEEKDAY($B82),"الأحد","الاثنين","الثلاثاء","الأربعاء","الخميس","الجمعة","السبت"))</f>
        <v/>
      </c>
      <c r="O82" s="23">
        <f>IF(OR($K82="",$L82=""),"",HYPERLINK("https://maps.google.com/?q="&amp;$K82&amp;","&amp;$L82,"عرض الموقع"))</f>
        <v/>
      </c>
      <c r="P82" s="23">
        <f>IF(OR($B82="",N($J82)=0),"",HYPERLINK(PhotoDir&amp;"/"&amp;YEAR($B82)&amp;"-"&amp;TEXT(MONTH($B82),"00")&amp;"-"&amp;TEXT(DAY($B82),"00")&amp;"_"&amp;$D82,"فتح الصور ("&amp;$J82&amp;")"))</f>
        <v/>
      </c>
      <c r="Q82" s="24">
        <f>IF($B82="","",MONTH($B82))</f>
        <v/>
      </c>
      <c r="R82" s="24">
        <f>IF($B82="","",YEAR($B82))</f>
        <v/>
      </c>
      <c r="S82" s="25">
        <f>IF($B82="","",$B82-WEEKDAY($B82,3))</f>
        <v/>
      </c>
      <c r="T82" s="24">
        <f>IF($B82="",0,IF(COUNTIFS($B$5:$B82,$B82,$D$5:$D82,$D82)=1,1,0))</f>
        <v/>
      </c>
      <c r="U82" s="24">
        <f>IF($B82="",0,IF(COUNTIFS($B$5:$B82,$B82,$C$5:$C82,$C82)=1,1,0))</f>
        <v/>
      </c>
      <c r="V82" s="24">
        <f>IF(OR($B82="",$G82="",$G82="لا توجد مشاهدات"),0,1)</f>
        <v/>
      </c>
      <c r="W82" s="24">
        <f>IF(AND($B82&lt;&gt;"",$I82="تم تحرير مخالفة"),1,0)</f>
        <v/>
      </c>
      <c r="X82" s="24">
        <f>IF($B82="","",IF($S82=WkStart,COUNTIF($S$5:$S82,WkStart),""))</f>
        <v/>
      </c>
    </row>
    <row r="83">
      <c r="A83" s="16">
        <f>IF($B83="","",ROW()-4)</f>
        <v/>
      </c>
      <c r="B83" s="17" t="n"/>
      <c r="C83" s="18" t="n"/>
      <c r="D83" s="18" t="n"/>
      <c r="E83" s="19" t="n"/>
      <c r="F83" s="19" t="n"/>
      <c r="G83" s="18" t="n"/>
      <c r="H83" s="18" t="n"/>
      <c r="I83" s="18" t="n"/>
      <c r="J83" s="20" t="n"/>
      <c r="K83" s="21" t="n"/>
      <c r="L83" s="21" t="n"/>
      <c r="M83" s="18" t="n"/>
      <c r="N83" s="22">
        <f>IF($B83="","",CHOOSE(WEEKDAY($B83),"الأحد","الاثنين","الثلاثاء","الأربعاء","الخميس","الجمعة","السبت"))</f>
        <v/>
      </c>
      <c r="O83" s="23">
        <f>IF(OR($K83="",$L83=""),"",HYPERLINK("https://maps.google.com/?q="&amp;$K83&amp;","&amp;$L83,"عرض الموقع"))</f>
        <v/>
      </c>
      <c r="P83" s="23">
        <f>IF(OR($B83="",N($J83)=0),"",HYPERLINK(PhotoDir&amp;"/"&amp;YEAR($B83)&amp;"-"&amp;TEXT(MONTH($B83),"00")&amp;"-"&amp;TEXT(DAY($B83),"00")&amp;"_"&amp;$D83,"فتح الصور ("&amp;$J83&amp;")"))</f>
        <v/>
      </c>
      <c r="Q83" s="24">
        <f>IF($B83="","",MONTH($B83))</f>
        <v/>
      </c>
      <c r="R83" s="24">
        <f>IF($B83="","",YEAR($B83))</f>
        <v/>
      </c>
      <c r="S83" s="25">
        <f>IF($B83="","",$B83-WEEKDAY($B83,3))</f>
        <v/>
      </c>
      <c r="T83" s="24">
        <f>IF($B83="",0,IF(COUNTIFS($B$5:$B83,$B83,$D$5:$D83,$D83)=1,1,0))</f>
        <v/>
      </c>
      <c r="U83" s="24">
        <f>IF($B83="",0,IF(COUNTIFS($B$5:$B83,$B83,$C$5:$C83,$C83)=1,1,0))</f>
        <v/>
      </c>
      <c r="V83" s="24">
        <f>IF(OR($B83="",$G83="",$G83="لا توجد مشاهدات"),0,1)</f>
        <v/>
      </c>
      <c r="W83" s="24">
        <f>IF(AND($B83&lt;&gt;"",$I83="تم تحرير مخالفة"),1,0)</f>
        <v/>
      </c>
      <c r="X83" s="24">
        <f>IF($B83="","",IF($S83=WkStart,COUNTIF($S$5:$S83,WkStart),""))</f>
        <v/>
      </c>
    </row>
    <row r="84">
      <c r="A84" s="16">
        <f>IF($B84="","",ROW()-4)</f>
        <v/>
      </c>
      <c r="B84" s="17" t="n"/>
      <c r="C84" s="18" t="n"/>
      <c r="D84" s="18" t="n"/>
      <c r="E84" s="19" t="n"/>
      <c r="F84" s="19" t="n"/>
      <c r="G84" s="18" t="n"/>
      <c r="H84" s="18" t="n"/>
      <c r="I84" s="18" t="n"/>
      <c r="J84" s="20" t="n"/>
      <c r="K84" s="21" t="n"/>
      <c r="L84" s="21" t="n"/>
      <c r="M84" s="18" t="n"/>
      <c r="N84" s="22">
        <f>IF($B84="","",CHOOSE(WEEKDAY($B84),"الأحد","الاثنين","الثلاثاء","الأربعاء","الخميس","الجمعة","السبت"))</f>
        <v/>
      </c>
      <c r="O84" s="23">
        <f>IF(OR($K84="",$L84=""),"",HYPERLINK("https://maps.google.com/?q="&amp;$K84&amp;","&amp;$L84,"عرض الموقع"))</f>
        <v/>
      </c>
      <c r="P84" s="23">
        <f>IF(OR($B84="",N($J84)=0),"",HYPERLINK(PhotoDir&amp;"/"&amp;YEAR($B84)&amp;"-"&amp;TEXT(MONTH($B84),"00")&amp;"-"&amp;TEXT(DAY($B84),"00")&amp;"_"&amp;$D84,"فتح الصور ("&amp;$J84&amp;")"))</f>
        <v/>
      </c>
      <c r="Q84" s="24">
        <f>IF($B84="","",MONTH($B84))</f>
        <v/>
      </c>
      <c r="R84" s="24">
        <f>IF($B84="","",YEAR($B84))</f>
        <v/>
      </c>
      <c r="S84" s="25">
        <f>IF($B84="","",$B84-WEEKDAY($B84,3))</f>
        <v/>
      </c>
      <c r="T84" s="24">
        <f>IF($B84="",0,IF(COUNTIFS($B$5:$B84,$B84,$D$5:$D84,$D84)=1,1,0))</f>
        <v/>
      </c>
      <c r="U84" s="24">
        <f>IF($B84="",0,IF(COUNTIFS($B$5:$B84,$B84,$C$5:$C84,$C84)=1,1,0))</f>
        <v/>
      </c>
      <c r="V84" s="24">
        <f>IF(OR($B84="",$G84="",$G84="لا توجد مشاهدات"),0,1)</f>
        <v/>
      </c>
      <c r="W84" s="24">
        <f>IF(AND($B84&lt;&gt;"",$I84="تم تحرير مخالفة"),1,0)</f>
        <v/>
      </c>
      <c r="X84" s="24">
        <f>IF($B84="","",IF($S84=WkStart,COUNTIF($S$5:$S84,WkStart),""))</f>
        <v/>
      </c>
    </row>
    <row r="85">
      <c r="A85" s="16">
        <f>IF($B85="","",ROW()-4)</f>
        <v/>
      </c>
      <c r="B85" s="17" t="n"/>
      <c r="C85" s="18" t="n"/>
      <c r="D85" s="18" t="n"/>
      <c r="E85" s="19" t="n"/>
      <c r="F85" s="19" t="n"/>
      <c r="G85" s="18" t="n"/>
      <c r="H85" s="18" t="n"/>
      <c r="I85" s="18" t="n"/>
      <c r="J85" s="20" t="n"/>
      <c r="K85" s="21" t="n"/>
      <c r="L85" s="21" t="n"/>
      <c r="M85" s="18" t="n"/>
      <c r="N85" s="22">
        <f>IF($B85="","",CHOOSE(WEEKDAY($B85),"الأحد","الاثنين","الثلاثاء","الأربعاء","الخميس","الجمعة","السبت"))</f>
        <v/>
      </c>
      <c r="O85" s="23">
        <f>IF(OR($K85="",$L85=""),"",HYPERLINK("https://maps.google.com/?q="&amp;$K85&amp;","&amp;$L85,"عرض الموقع"))</f>
        <v/>
      </c>
      <c r="P85" s="23">
        <f>IF(OR($B85="",N($J85)=0),"",HYPERLINK(PhotoDir&amp;"/"&amp;YEAR($B85)&amp;"-"&amp;TEXT(MONTH($B85),"00")&amp;"-"&amp;TEXT(DAY($B85),"00")&amp;"_"&amp;$D85,"فتح الصور ("&amp;$J85&amp;")"))</f>
        <v/>
      </c>
      <c r="Q85" s="24">
        <f>IF($B85="","",MONTH($B85))</f>
        <v/>
      </c>
      <c r="R85" s="24">
        <f>IF($B85="","",YEAR($B85))</f>
        <v/>
      </c>
      <c r="S85" s="25">
        <f>IF($B85="","",$B85-WEEKDAY($B85,3))</f>
        <v/>
      </c>
      <c r="T85" s="24">
        <f>IF($B85="",0,IF(COUNTIFS($B$5:$B85,$B85,$D$5:$D85,$D85)=1,1,0))</f>
        <v/>
      </c>
      <c r="U85" s="24">
        <f>IF($B85="",0,IF(COUNTIFS($B$5:$B85,$B85,$C$5:$C85,$C85)=1,1,0))</f>
        <v/>
      </c>
      <c r="V85" s="24">
        <f>IF(OR($B85="",$G85="",$G85="لا توجد مشاهدات"),0,1)</f>
        <v/>
      </c>
      <c r="W85" s="24">
        <f>IF(AND($B85&lt;&gt;"",$I85="تم تحرير مخالفة"),1,0)</f>
        <v/>
      </c>
      <c r="X85" s="24">
        <f>IF($B85="","",IF($S85=WkStart,COUNTIF($S$5:$S85,WkStart),""))</f>
        <v/>
      </c>
    </row>
    <row r="86">
      <c r="A86" s="16">
        <f>IF($B86="","",ROW()-4)</f>
        <v/>
      </c>
      <c r="B86" s="17" t="n"/>
      <c r="C86" s="18" t="n"/>
      <c r="D86" s="18" t="n"/>
      <c r="E86" s="19" t="n"/>
      <c r="F86" s="19" t="n"/>
      <c r="G86" s="18" t="n"/>
      <c r="H86" s="18" t="n"/>
      <c r="I86" s="18" t="n"/>
      <c r="J86" s="20" t="n"/>
      <c r="K86" s="21" t="n"/>
      <c r="L86" s="21" t="n"/>
      <c r="M86" s="18" t="n"/>
      <c r="N86" s="22">
        <f>IF($B86="","",CHOOSE(WEEKDAY($B86),"الأحد","الاثنين","الثلاثاء","الأربعاء","الخميس","الجمعة","السبت"))</f>
        <v/>
      </c>
      <c r="O86" s="23">
        <f>IF(OR($K86="",$L86=""),"",HYPERLINK("https://maps.google.com/?q="&amp;$K86&amp;","&amp;$L86,"عرض الموقع"))</f>
        <v/>
      </c>
      <c r="P86" s="23">
        <f>IF(OR($B86="",N($J86)=0),"",HYPERLINK(PhotoDir&amp;"/"&amp;YEAR($B86)&amp;"-"&amp;TEXT(MONTH($B86),"00")&amp;"-"&amp;TEXT(DAY($B86),"00")&amp;"_"&amp;$D86,"فتح الصور ("&amp;$J86&amp;")"))</f>
        <v/>
      </c>
      <c r="Q86" s="24">
        <f>IF($B86="","",MONTH($B86))</f>
        <v/>
      </c>
      <c r="R86" s="24">
        <f>IF($B86="","",YEAR($B86))</f>
        <v/>
      </c>
      <c r="S86" s="25">
        <f>IF($B86="","",$B86-WEEKDAY($B86,3))</f>
        <v/>
      </c>
      <c r="T86" s="24">
        <f>IF($B86="",0,IF(COUNTIFS($B$5:$B86,$B86,$D$5:$D86,$D86)=1,1,0))</f>
        <v/>
      </c>
      <c r="U86" s="24">
        <f>IF($B86="",0,IF(COUNTIFS($B$5:$B86,$B86,$C$5:$C86,$C86)=1,1,0))</f>
        <v/>
      </c>
      <c r="V86" s="24">
        <f>IF(OR($B86="",$G86="",$G86="لا توجد مشاهدات"),0,1)</f>
        <v/>
      </c>
      <c r="W86" s="24">
        <f>IF(AND($B86&lt;&gt;"",$I86="تم تحرير مخالفة"),1,0)</f>
        <v/>
      </c>
      <c r="X86" s="24">
        <f>IF($B86="","",IF($S86=WkStart,COUNTIF($S$5:$S86,WkStart),""))</f>
        <v/>
      </c>
    </row>
    <row r="87">
      <c r="A87" s="16">
        <f>IF($B87="","",ROW()-4)</f>
        <v/>
      </c>
      <c r="B87" s="17" t="n"/>
      <c r="C87" s="18" t="n"/>
      <c r="D87" s="18" t="n"/>
      <c r="E87" s="19" t="n"/>
      <c r="F87" s="19" t="n"/>
      <c r="G87" s="18" t="n"/>
      <c r="H87" s="18" t="n"/>
      <c r="I87" s="18" t="n"/>
      <c r="J87" s="20" t="n"/>
      <c r="K87" s="21" t="n"/>
      <c r="L87" s="21" t="n"/>
      <c r="M87" s="18" t="n"/>
      <c r="N87" s="22">
        <f>IF($B87="","",CHOOSE(WEEKDAY($B87),"الأحد","الاثنين","الثلاثاء","الأربعاء","الخميس","الجمعة","السبت"))</f>
        <v/>
      </c>
      <c r="O87" s="23">
        <f>IF(OR($K87="",$L87=""),"",HYPERLINK("https://maps.google.com/?q="&amp;$K87&amp;","&amp;$L87,"عرض الموقع"))</f>
        <v/>
      </c>
      <c r="P87" s="23">
        <f>IF(OR($B87="",N($J87)=0),"",HYPERLINK(PhotoDir&amp;"/"&amp;YEAR($B87)&amp;"-"&amp;TEXT(MONTH($B87),"00")&amp;"-"&amp;TEXT(DAY($B87),"00")&amp;"_"&amp;$D87,"فتح الصور ("&amp;$J87&amp;")"))</f>
        <v/>
      </c>
      <c r="Q87" s="24">
        <f>IF($B87="","",MONTH($B87))</f>
        <v/>
      </c>
      <c r="R87" s="24">
        <f>IF($B87="","",YEAR($B87))</f>
        <v/>
      </c>
      <c r="S87" s="25">
        <f>IF($B87="","",$B87-WEEKDAY($B87,3))</f>
        <v/>
      </c>
      <c r="T87" s="24">
        <f>IF($B87="",0,IF(COUNTIFS($B$5:$B87,$B87,$D$5:$D87,$D87)=1,1,0))</f>
        <v/>
      </c>
      <c r="U87" s="24">
        <f>IF($B87="",0,IF(COUNTIFS($B$5:$B87,$B87,$C$5:$C87,$C87)=1,1,0))</f>
        <v/>
      </c>
      <c r="V87" s="24">
        <f>IF(OR($B87="",$G87="",$G87="لا توجد مشاهدات"),0,1)</f>
        <v/>
      </c>
      <c r="W87" s="24">
        <f>IF(AND($B87&lt;&gt;"",$I87="تم تحرير مخالفة"),1,0)</f>
        <v/>
      </c>
      <c r="X87" s="24">
        <f>IF($B87="","",IF($S87=WkStart,COUNTIF($S$5:$S87,WkStart),""))</f>
        <v/>
      </c>
    </row>
    <row r="88">
      <c r="A88" s="16">
        <f>IF($B88="","",ROW()-4)</f>
        <v/>
      </c>
      <c r="B88" s="17" t="n"/>
      <c r="C88" s="18" t="n"/>
      <c r="D88" s="18" t="n"/>
      <c r="E88" s="19" t="n"/>
      <c r="F88" s="19" t="n"/>
      <c r="G88" s="18" t="n"/>
      <c r="H88" s="18" t="n"/>
      <c r="I88" s="18" t="n"/>
      <c r="J88" s="20" t="n"/>
      <c r="K88" s="21" t="n"/>
      <c r="L88" s="21" t="n"/>
      <c r="M88" s="18" t="n"/>
      <c r="N88" s="22">
        <f>IF($B88="","",CHOOSE(WEEKDAY($B88),"الأحد","الاثنين","الثلاثاء","الأربعاء","الخميس","الجمعة","السبت"))</f>
        <v/>
      </c>
      <c r="O88" s="23">
        <f>IF(OR($K88="",$L88=""),"",HYPERLINK("https://maps.google.com/?q="&amp;$K88&amp;","&amp;$L88,"عرض الموقع"))</f>
        <v/>
      </c>
      <c r="P88" s="23">
        <f>IF(OR($B88="",N($J88)=0),"",HYPERLINK(PhotoDir&amp;"/"&amp;YEAR($B88)&amp;"-"&amp;TEXT(MONTH($B88),"00")&amp;"-"&amp;TEXT(DAY($B88),"00")&amp;"_"&amp;$D88,"فتح الصور ("&amp;$J88&amp;")"))</f>
        <v/>
      </c>
      <c r="Q88" s="24">
        <f>IF($B88="","",MONTH($B88))</f>
        <v/>
      </c>
      <c r="R88" s="24">
        <f>IF($B88="","",YEAR($B88))</f>
        <v/>
      </c>
      <c r="S88" s="25">
        <f>IF($B88="","",$B88-WEEKDAY($B88,3))</f>
        <v/>
      </c>
      <c r="T88" s="24">
        <f>IF($B88="",0,IF(COUNTIFS($B$5:$B88,$B88,$D$5:$D88,$D88)=1,1,0))</f>
        <v/>
      </c>
      <c r="U88" s="24">
        <f>IF($B88="",0,IF(COUNTIFS($B$5:$B88,$B88,$C$5:$C88,$C88)=1,1,0))</f>
        <v/>
      </c>
      <c r="V88" s="24">
        <f>IF(OR($B88="",$G88="",$G88="لا توجد مشاهدات"),0,1)</f>
        <v/>
      </c>
      <c r="W88" s="24">
        <f>IF(AND($B88&lt;&gt;"",$I88="تم تحرير مخالفة"),1,0)</f>
        <v/>
      </c>
      <c r="X88" s="24">
        <f>IF($B88="","",IF($S88=WkStart,COUNTIF($S$5:$S88,WkStart),""))</f>
        <v/>
      </c>
    </row>
    <row r="89">
      <c r="A89" s="16">
        <f>IF($B89="","",ROW()-4)</f>
        <v/>
      </c>
      <c r="B89" s="17" t="n"/>
      <c r="C89" s="18" t="n"/>
      <c r="D89" s="18" t="n"/>
      <c r="E89" s="19" t="n"/>
      <c r="F89" s="19" t="n"/>
      <c r="G89" s="18" t="n"/>
      <c r="H89" s="18" t="n"/>
      <c r="I89" s="18" t="n"/>
      <c r="J89" s="20" t="n"/>
      <c r="K89" s="21" t="n"/>
      <c r="L89" s="21" t="n"/>
      <c r="M89" s="18" t="n"/>
      <c r="N89" s="22">
        <f>IF($B89="","",CHOOSE(WEEKDAY($B89),"الأحد","الاثنين","الثلاثاء","الأربعاء","الخميس","الجمعة","السبت"))</f>
        <v/>
      </c>
      <c r="O89" s="23">
        <f>IF(OR($K89="",$L89=""),"",HYPERLINK("https://maps.google.com/?q="&amp;$K89&amp;","&amp;$L89,"عرض الموقع"))</f>
        <v/>
      </c>
      <c r="P89" s="23">
        <f>IF(OR($B89="",N($J89)=0),"",HYPERLINK(PhotoDir&amp;"/"&amp;YEAR($B89)&amp;"-"&amp;TEXT(MONTH($B89),"00")&amp;"-"&amp;TEXT(DAY($B89),"00")&amp;"_"&amp;$D89,"فتح الصور ("&amp;$J89&amp;")"))</f>
        <v/>
      </c>
      <c r="Q89" s="24">
        <f>IF($B89="","",MONTH($B89))</f>
        <v/>
      </c>
      <c r="R89" s="24">
        <f>IF($B89="","",YEAR($B89))</f>
        <v/>
      </c>
      <c r="S89" s="25">
        <f>IF($B89="","",$B89-WEEKDAY($B89,3))</f>
        <v/>
      </c>
      <c r="T89" s="24">
        <f>IF($B89="",0,IF(COUNTIFS($B$5:$B89,$B89,$D$5:$D89,$D89)=1,1,0))</f>
        <v/>
      </c>
      <c r="U89" s="24">
        <f>IF($B89="",0,IF(COUNTIFS($B$5:$B89,$B89,$C$5:$C89,$C89)=1,1,0))</f>
        <v/>
      </c>
      <c r="V89" s="24">
        <f>IF(OR($B89="",$G89="",$G89="لا توجد مشاهدات"),0,1)</f>
        <v/>
      </c>
      <c r="W89" s="24">
        <f>IF(AND($B89&lt;&gt;"",$I89="تم تحرير مخالفة"),1,0)</f>
        <v/>
      </c>
      <c r="X89" s="24">
        <f>IF($B89="","",IF($S89=WkStart,COUNTIF($S$5:$S89,WkStart),""))</f>
        <v/>
      </c>
    </row>
    <row r="90">
      <c r="A90" s="16">
        <f>IF($B90="","",ROW()-4)</f>
        <v/>
      </c>
      <c r="B90" s="17" t="n"/>
      <c r="C90" s="18" t="n"/>
      <c r="D90" s="18" t="n"/>
      <c r="E90" s="19" t="n"/>
      <c r="F90" s="19" t="n"/>
      <c r="G90" s="18" t="n"/>
      <c r="H90" s="18" t="n"/>
      <c r="I90" s="18" t="n"/>
      <c r="J90" s="20" t="n"/>
      <c r="K90" s="21" t="n"/>
      <c r="L90" s="21" t="n"/>
      <c r="M90" s="18" t="n"/>
      <c r="N90" s="22">
        <f>IF($B90="","",CHOOSE(WEEKDAY($B90),"الأحد","الاثنين","الثلاثاء","الأربعاء","الخميس","الجمعة","السبت"))</f>
        <v/>
      </c>
      <c r="O90" s="23">
        <f>IF(OR($K90="",$L90=""),"",HYPERLINK("https://maps.google.com/?q="&amp;$K90&amp;","&amp;$L90,"عرض الموقع"))</f>
        <v/>
      </c>
      <c r="P90" s="23">
        <f>IF(OR($B90="",N($J90)=0),"",HYPERLINK(PhotoDir&amp;"/"&amp;YEAR($B90)&amp;"-"&amp;TEXT(MONTH($B90),"00")&amp;"-"&amp;TEXT(DAY($B90),"00")&amp;"_"&amp;$D90,"فتح الصور ("&amp;$J90&amp;")"))</f>
        <v/>
      </c>
      <c r="Q90" s="24">
        <f>IF($B90="","",MONTH($B90))</f>
        <v/>
      </c>
      <c r="R90" s="24">
        <f>IF($B90="","",YEAR($B90))</f>
        <v/>
      </c>
      <c r="S90" s="25">
        <f>IF($B90="","",$B90-WEEKDAY($B90,3))</f>
        <v/>
      </c>
      <c r="T90" s="24">
        <f>IF($B90="",0,IF(COUNTIFS($B$5:$B90,$B90,$D$5:$D90,$D90)=1,1,0))</f>
        <v/>
      </c>
      <c r="U90" s="24">
        <f>IF($B90="",0,IF(COUNTIFS($B$5:$B90,$B90,$C$5:$C90,$C90)=1,1,0))</f>
        <v/>
      </c>
      <c r="V90" s="24">
        <f>IF(OR($B90="",$G90="",$G90="لا توجد مشاهدات"),0,1)</f>
        <v/>
      </c>
      <c r="W90" s="24">
        <f>IF(AND($B90&lt;&gt;"",$I90="تم تحرير مخالفة"),1,0)</f>
        <v/>
      </c>
      <c r="X90" s="24">
        <f>IF($B90="","",IF($S90=WkStart,COUNTIF($S$5:$S90,WkStart),""))</f>
        <v/>
      </c>
    </row>
    <row r="91">
      <c r="A91" s="16">
        <f>IF($B91="","",ROW()-4)</f>
        <v/>
      </c>
      <c r="B91" s="17" t="n"/>
      <c r="C91" s="18" t="n"/>
      <c r="D91" s="18" t="n"/>
      <c r="E91" s="19" t="n"/>
      <c r="F91" s="19" t="n"/>
      <c r="G91" s="18" t="n"/>
      <c r="H91" s="18" t="n"/>
      <c r="I91" s="18" t="n"/>
      <c r="J91" s="20" t="n"/>
      <c r="K91" s="21" t="n"/>
      <c r="L91" s="21" t="n"/>
      <c r="M91" s="18" t="n"/>
      <c r="N91" s="22">
        <f>IF($B91="","",CHOOSE(WEEKDAY($B91),"الأحد","الاثنين","الثلاثاء","الأربعاء","الخميس","الجمعة","السبت"))</f>
        <v/>
      </c>
      <c r="O91" s="23">
        <f>IF(OR($K91="",$L91=""),"",HYPERLINK("https://maps.google.com/?q="&amp;$K91&amp;","&amp;$L91,"عرض الموقع"))</f>
        <v/>
      </c>
      <c r="P91" s="23">
        <f>IF(OR($B91="",N($J91)=0),"",HYPERLINK(PhotoDir&amp;"/"&amp;YEAR($B91)&amp;"-"&amp;TEXT(MONTH($B91),"00")&amp;"-"&amp;TEXT(DAY($B91),"00")&amp;"_"&amp;$D91,"فتح الصور ("&amp;$J91&amp;")"))</f>
        <v/>
      </c>
      <c r="Q91" s="24">
        <f>IF($B91="","",MONTH($B91))</f>
        <v/>
      </c>
      <c r="R91" s="24">
        <f>IF($B91="","",YEAR($B91))</f>
        <v/>
      </c>
      <c r="S91" s="25">
        <f>IF($B91="","",$B91-WEEKDAY($B91,3))</f>
        <v/>
      </c>
      <c r="T91" s="24">
        <f>IF($B91="",0,IF(COUNTIFS($B$5:$B91,$B91,$D$5:$D91,$D91)=1,1,0))</f>
        <v/>
      </c>
      <c r="U91" s="24">
        <f>IF($B91="",0,IF(COUNTIFS($B$5:$B91,$B91,$C$5:$C91,$C91)=1,1,0))</f>
        <v/>
      </c>
      <c r="V91" s="24">
        <f>IF(OR($B91="",$G91="",$G91="لا توجد مشاهدات"),0,1)</f>
        <v/>
      </c>
      <c r="W91" s="24">
        <f>IF(AND($B91&lt;&gt;"",$I91="تم تحرير مخالفة"),1,0)</f>
        <v/>
      </c>
      <c r="X91" s="24">
        <f>IF($B91="","",IF($S91=WkStart,COUNTIF($S$5:$S91,WkStart),""))</f>
        <v/>
      </c>
    </row>
    <row r="92">
      <c r="A92" s="16">
        <f>IF($B92="","",ROW()-4)</f>
        <v/>
      </c>
      <c r="B92" s="17" t="n"/>
      <c r="C92" s="18" t="n"/>
      <c r="D92" s="18" t="n"/>
      <c r="E92" s="19" t="n"/>
      <c r="F92" s="19" t="n"/>
      <c r="G92" s="18" t="n"/>
      <c r="H92" s="18" t="n"/>
      <c r="I92" s="18" t="n"/>
      <c r="J92" s="20" t="n"/>
      <c r="K92" s="21" t="n"/>
      <c r="L92" s="21" t="n"/>
      <c r="M92" s="18" t="n"/>
      <c r="N92" s="22">
        <f>IF($B92="","",CHOOSE(WEEKDAY($B92),"الأحد","الاثنين","الثلاثاء","الأربعاء","الخميس","الجمعة","السبت"))</f>
        <v/>
      </c>
      <c r="O92" s="23">
        <f>IF(OR($K92="",$L92=""),"",HYPERLINK("https://maps.google.com/?q="&amp;$K92&amp;","&amp;$L92,"عرض الموقع"))</f>
        <v/>
      </c>
      <c r="P92" s="23">
        <f>IF(OR($B92="",N($J92)=0),"",HYPERLINK(PhotoDir&amp;"/"&amp;YEAR($B92)&amp;"-"&amp;TEXT(MONTH($B92),"00")&amp;"-"&amp;TEXT(DAY($B92),"00")&amp;"_"&amp;$D92,"فتح الصور ("&amp;$J92&amp;")"))</f>
        <v/>
      </c>
      <c r="Q92" s="24">
        <f>IF($B92="","",MONTH($B92))</f>
        <v/>
      </c>
      <c r="R92" s="24">
        <f>IF($B92="","",YEAR($B92))</f>
        <v/>
      </c>
      <c r="S92" s="25">
        <f>IF($B92="","",$B92-WEEKDAY($B92,3))</f>
        <v/>
      </c>
      <c r="T92" s="24">
        <f>IF($B92="",0,IF(COUNTIFS($B$5:$B92,$B92,$D$5:$D92,$D92)=1,1,0))</f>
        <v/>
      </c>
      <c r="U92" s="24">
        <f>IF($B92="",0,IF(COUNTIFS($B$5:$B92,$B92,$C$5:$C92,$C92)=1,1,0))</f>
        <v/>
      </c>
      <c r="V92" s="24">
        <f>IF(OR($B92="",$G92="",$G92="لا توجد مشاهدات"),0,1)</f>
        <v/>
      </c>
      <c r="W92" s="24">
        <f>IF(AND($B92&lt;&gt;"",$I92="تم تحرير مخالفة"),1,0)</f>
        <v/>
      </c>
      <c r="X92" s="24">
        <f>IF($B92="","",IF($S92=WkStart,COUNTIF($S$5:$S92,WkStart),""))</f>
        <v/>
      </c>
    </row>
    <row r="93">
      <c r="A93" s="16">
        <f>IF($B93="","",ROW()-4)</f>
        <v/>
      </c>
      <c r="B93" s="17" t="n"/>
      <c r="C93" s="18" t="n"/>
      <c r="D93" s="18" t="n"/>
      <c r="E93" s="19" t="n"/>
      <c r="F93" s="19" t="n"/>
      <c r="G93" s="18" t="n"/>
      <c r="H93" s="18" t="n"/>
      <c r="I93" s="18" t="n"/>
      <c r="J93" s="20" t="n"/>
      <c r="K93" s="21" t="n"/>
      <c r="L93" s="21" t="n"/>
      <c r="M93" s="18" t="n"/>
      <c r="N93" s="22">
        <f>IF($B93="","",CHOOSE(WEEKDAY($B93),"الأحد","الاثنين","الثلاثاء","الأربعاء","الخميس","الجمعة","السبت"))</f>
        <v/>
      </c>
      <c r="O93" s="23">
        <f>IF(OR($K93="",$L93=""),"",HYPERLINK("https://maps.google.com/?q="&amp;$K93&amp;","&amp;$L93,"عرض الموقع"))</f>
        <v/>
      </c>
      <c r="P93" s="23">
        <f>IF(OR($B93="",N($J93)=0),"",HYPERLINK(PhotoDir&amp;"/"&amp;YEAR($B93)&amp;"-"&amp;TEXT(MONTH($B93),"00")&amp;"-"&amp;TEXT(DAY($B93),"00")&amp;"_"&amp;$D93,"فتح الصور ("&amp;$J93&amp;")"))</f>
        <v/>
      </c>
      <c r="Q93" s="24">
        <f>IF($B93="","",MONTH($B93))</f>
        <v/>
      </c>
      <c r="R93" s="24">
        <f>IF($B93="","",YEAR($B93))</f>
        <v/>
      </c>
      <c r="S93" s="25">
        <f>IF($B93="","",$B93-WEEKDAY($B93,3))</f>
        <v/>
      </c>
      <c r="T93" s="24">
        <f>IF($B93="",0,IF(COUNTIFS($B$5:$B93,$B93,$D$5:$D93,$D93)=1,1,0))</f>
        <v/>
      </c>
      <c r="U93" s="24">
        <f>IF($B93="",0,IF(COUNTIFS($B$5:$B93,$B93,$C$5:$C93,$C93)=1,1,0))</f>
        <v/>
      </c>
      <c r="V93" s="24">
        <f>IF(OR($B93="",$G93="",$G93="لا توجد مشاهدات"),0,1)</f>
        <v/>
      </c>
      <c r="W93" s="24">
        <f>IF(AND($B93&lt;&gt;"",$I93="تم تحرير مخالفة"),1,0)</f>
        <v/>
      </c>
      <c r="X93" s="24">
        <f>IF($B93="","",IF($S93=WkStart,COUNTIF($S$5:$S93,WkStart),""))</f>
        <v/>
      </c>
    </row>
    <row r="94">
      <c r="A94" s="16">
        <f>IF($B94="","",ROW()-4)</f>
        <v/>
      </c>
      <c r="B94" s="17" t="n"/>
      <c r="C94" s="18" t="n"/>
      <c r="D94" s="18" t="n"/>
      <c r="E94" s="19" t="n"/>
      <c r="F94" s="19" t="n"/>
      <c r="G94" s="18" t="n"/>
      <c r="H94" s="18" t="n"/>
      <c r="I94" s="18" t="n"/>
      <c r="J94" s="20" t="n"/>
      <c r="K94" s="21" t="n"/>
      <c r="L94" s="21" t="n"/>
      <c r="M94" s="18" t="n"/>
      <c r="N94" s="22">
        <f>IF($B94="","",CHOOSE(WEEKDAY($B94),"الأحد","الاثنين","الثلاثاء","الأربعاء","الخميس","الجمعة","السبت"))</f>
        <v/>
      </c>
      <c r="O94" s="23">
        <f>IF(OR($K94="",$L94=""),"",HYPERLINK("https://maps.google.com/?q="&amp;$K94&amp;","&amp;$L94,"عرض الموقع"))</f>
        <v/>
      </c>
      <c r="P94" s="23">
        <f>IF(OR($B94="",N($J94)=0),"",HYPERLINK(PhotoDir&amp;"/"&amp;YEAR($B94)&amp;"-"&amp;TEXT(MONTH($B94),"00")&amp;"-"&amp;TEXT(DAY($B94),"00")&amp;"_"&amp;$D94,"فتح الصور ("&amp;$J94&amp;")"))</f>
        <v/>
      </c>
      <c r="Q94" s="24">
        <f>IF($B94="","",MONTH($B94))</f>
        <v/>
      </c>
      <c r="R94" s="24">
        <f>IF($B94="","",YEAR($B94))</f>
        <v/>
      </c>
      <c r="S94" s="25">
        <f>IF($B94="","",$B94-WEEKDAY($B94,3))</f>
        <v/>
      </c>
      <c r="T94" s="24">
        <f>IF($B94="",0,IF(COUNTIFS($B$5:$B94,$B94,$D$5:$D94,$D94)=1,1,0))</f>
        <v/>
      </c>
      <c r="U94" s="24">
        <f>IF($B94="",0,IF(COUNTIFS($B$5:$B94,$B94,$C$5:$C94,$C94)=1,1,0))</f>
        <v/>
      </c>
      <c r="V94" s="24">
        <f>IF(OR($B94="",$G94="",$G94="لا توجد مشاهدات"),0,1)</f>
        <v/>
      </c>
      <c r="W94" s="24">
        <f>IF(AND($B94&lt;&gt;"",$I94="تم تحرير مخالفة"),1,0)</f>
        <v/>
      </c>
      <c r="X94" s="24">
        <f>IF($B94="","",IF($S94=WkStart,COUNTIF($S$5:$S94,WkStart),""))</f>
        <v/>
      </c>
    </row>
    <row r="95">
      <c r="A95" s="16">
        <f>IF($B95="","",ROW()-4)</f>
        <v/>
      </c>
      <c r="B95" s="17" t="n"/>
      <c r="C95" s="18" t="n"/>
      <c r="D95" s="18" t="n"/>
      <c r="E95" s="19" t="n"/>
      <c r="F95" s="19" t="n"/>
      <c r="G95" s="18" t="n"/>
      <c r="H95" s="18" t="n"/>
      <c r="I95" s="18" t="n"/>
      <c r="J95" s="20" t="n"/>
      <c r="K95" s="21" t="n"/>
      <c r="L95" s="21" t="n"/>
      <c r="M95" s="18" t="n"/>
      <c r="N95" s="22">
        <f>IF($B95="","",CHOOSE(WEEKDAY($B95),"الأحد","الاثنين","الثلاثاء","الأربعاء","الخميس","الجمعة","السبت"))</f>
        <v/>
      </c>
      <c r="O95" s="23">
        <f>IF(OR($K95="",$L95=""),"",HYPERLINK("https://maps.google.com/?q="&amp;$K95&amp;","&amp;$L95,"عرض الموقع"))</f>
        <v/>
      </c>
      <c r="P95" s="23">
        <f>IF(OR($B95="",N($J95)=0),"",HYPERLINK(PhotoDir&amp;"/"&amp;YEAR($B95)&amp;"-"&amp;TEXT(MONTH($B95),"00")&amp;"-"&amp;TEXT(DAY($B95),"00")&amp;"_"&amp;$D95,"فتح الصور ("&amp;$J95&amp;")"))</f>
        <v/>
      </c>
      <c r="Q95" s="24">
        <f>IF($B95="","",MONTH($B95))</f>
        <v/>
      </c>
      <c r="R95" s="24">
        <f>IF($B95="","",YEAR($B95))</f>
        <v/>
      </c>
      <c r="S95" s="25">
        <f>IF($B95="","",$B95-WEEKDAY($B95,3))</f>
        <v/>
      </c>
      <c r="T95" s="24">
        <f>IF($B95="",0,IF(COUNTIFS($B$5:$B95,$B95,$D$5:$D95,$D95)=1,1,0))</f>
        <v/>
      </c>
      <c r="U95" s="24">
        <f>IF($B95="",0,IF(COUNTIFS($B$5:$B95,$B95,$C$5:$C95,$C95)=1,1,0))</f>
        <v/>
      </c>
      <c r="V95" s="24">
        <f>IF(OR($B95="",$G95="",$G95="لا توجد مشاهدات"),0,1)</f>
        <v/>
      </c>
      <c r="W95" s="24">
        <f>IF(AND($B95&lt;&gt;"",$I95="تم تحرير مخالفة"),1,0)</f>
        <v/>
      </c>
      <c r="X95" s="24">
        <f>IF($B95="","",IF($S95=WkStart,COUNTIF($S$5:$S95,WkStart),""))</f>
        <v/>
      </c>
    </row>
    <row r="96">
      <c r="A96" s="16">
        <f>IF($B96="","",ROW()-4)</f>
        <v/>
      </c>
      <c r="B96" s="17" t="n"/>
      <c r="C96" s="18" t="n"/>
      <c r="D96" s="18" t="n"/>
      <c r="E96" s="19" t="n"/>
      <c r="F96" s="19" t="n"/>
      <c r="G96" s="18" t="n"/>
      <c r="H96" s="18" t="n"/>
      <c r="I96" s="18" t="n"/>
      <c r="J96" s="20" t="n"/>
      <c r="K96" s="21" t="n"/>
      <c r="L96" s="21" t="n"/>
      <c r="M96" s="18" t="n"/>
      <c r="N96" s="22">
        <f>IF($B96="","",CHOOSE(WEEKDAY($B96),"الأحد","الاثنين","الثلاثاء","الأربعاء","الخميس","الجمعة","السبت"))</f>
        <v/>
      </c>
      <c r="O96" s="23">
        <f>IF(OR($K96="",$L96=""),"",HYPERLINK("https://maps.google.com/?q="&amp;$K96&amp;","&amp;$L96,"عرض الموقع"))</f>
        <v/>
      </c>
      <c r="P96" s="23">
        <f>IF(OR($B96="",N($J96)=0),"",HYPERLINK(PhotoDir&amp;"/"&amp;YEAR($B96)&amp;"-"&amp;TEXT(MONTH($B96),"00")&amp;"-"&amp;TEXT(DAY($B96),"00")&amp;"_"&amp;$D96,"فتح الصور ("&amp;$J96&amp;")"))</f>
        <v/>
      </c>
      <c r="Q96" s="24">
        <f>IF($B96="","",MONTH($B96))</f>
        <v/>
      </c>
      <c r="R96" s="24">
        <f>IF($B96="","",YEAR($B96))</f>
        <v/>
      </c>
      <c r="S96" s="25">
        <f>IF($B96="","",$B96-WEEKDAY($B96,3))</f>
        <v/>
      </c>
      <c r="T96" s="24">
        <f>IF($B96="",0,IF(COUNTIFS($B$5:$B96,$B96,$D$5:$D96,$D96)=1,1,0))</f>
        <v/>
      </c>
      <c r="U96" s="24">
        <f>IF($B96="",0,IF(COUNTIFS($B$5:$B96,$B96,$C$5:$C96,$C96)=1,1,0))</f>
        <v/>
      </c>
      <c r="V96" s="24">
        <f>IF(OR($B96="",$G96="",$G96="لا توجد مشاهدات"),0,1)</f>
        <v/>
      </c>
      <c r="W96" s="24">
        <f>IF(AND($B96&lt;&gt;"",$I96="تم تحرير مخالفة"),1,0)</f>
        <v/>
      </c>
      <c r="X96" s="24">
        <f>IF($B96="","",IF($S96=WkStart,COUNTIF($S$5:$S96,WkStart),""))</f>
        <v/>
      </c>
    </row>
    <row r="97">
      <c r="A97" s="16">
        <f>IF($B97="","",ROW()-4)</f>
        <v/>
      </c>
      <c r="B97" s="17" t="n"/>
      <c r="C97" s="18" t="n"/>
      <c r="D97" s="18" t="n"/>
      <c r="E97" s="19" t="n"/>
      <c r="F97" s="19" t="n"/>
      <c r="G97" s="18" t="n"/>
      <c r="H97" s="18" t="n"/>
      <c r="I97" s="18" t="n"/>
      <c r="J97" s="20" t="n"/>
      <c r="K97" s="21" t="n"/>
      <c r="L97" s="21" t="n"/>
      <c r="M97" s="18" t="n"/>
      <c r="N97" s="22">
        <f>IF($B97="","",CHOOSE(WEEKDAY($B97),"الأحد","الاثنين","الثلاثاء","الأربعاء","الخميس","الجمعة","السبت"))</f>
        <v/>
      </c>
      <c r="O97" s="23">
        <f>IF(OR($K97="",$L97=""),"",HYPERLINK("https://maps.google.com/?q="&amp;$K97&amp;","&amp;$L97,"عرض الموقع"))</f>
        <v/>
      </c>
      <c r="P97" s="23">
        <f>IF(OR($B97="",N($J97)=0),"",HYPERLINK(PhotoDir&amp;"/"&amp;YEAR($B97)&amp;"-"&amp;TEXT(MONTH($B97),"00")&amp;"-"&amp;TEXT(DAY($B97),"00")&amp;"_"&amp;$D97,"فتح الصور ("&amp;$J97&amp;")"))</f>
        <v/>
      </c>
      <c r="Q97" s="24">
        <f>IF($B97="","",MONTH($B97))</f>
        <v/>
      </c>
      <c r="R97" s="24">
        <f>IF($B97="","",YEAR($B97))</f>
        <v/>
      </c>
      <c r="S97" s="25">
        <f>IF($B97="","",$B97-WEEKDAY($B97,3))</f>
        <v/>
      </c>
      <c r="T97" s="24">
        <f>IF($B97="",0,IF(COUNTIFS($B$5:$B97,$B97,$D$5:$D97,$D97)=1,1,0))</f>
        <v/>
      </c>
      <c r="U97" s="24">
        <f>IF($B97="",0,IF(COUNTIFS($B$5:$B97,$B97,$C$5:$C97,$C97)=1,1,0))</f>
        <v/>
      </c>
      <c r="V97" s="24">
        <f>IF(OR($B97="",$G97="",$G97="لا توجد مشاهدات"),0,1)</f>
        <v/>
      </c>
      <c r="W97" s="24">
        <f>IF(AND($B97&lt;&gt;"",$I97="تم تحرير مخالفة"),1,0)</f>
        <v/>
      </c>
      <c r="X97" s="24">
        <f>IF($B97="","",IF($S97=WkStart,COUNTIF($S$5:$S97,WkStart),""))</f>
        <v/>
      </c>
    </row>
    <row r="98">
      <c r="A98" s="16">
        <f>IF($B98="","",ROW()-4)</f>
        <v/>
      </c>
      <c r="B98" s="17" t="n"/>
      <c r="C98" s="18" t="n"/>
      <c r="D98" s="18" t="n"/>
      <c r="E98" s="19" t="n"/>
      <c r="F98" s="19" t="n"/>
      <c r="G98" s="18" t="n"/>
      <c r="H98" s="18" t="n"/>
      <c r="I98" s="18" t="n"/>
      <c r="J98" s="20" t="n"/>
      <c r="K98" s="21" t="n"/>
      <c r="L98" s="21" t="n"/>
      <c r="M98" s="18" t="n"/>
      <c r="N98" s="22">
        <f>IF($B98="","",CHOOSE(WEEKDAY($B98),"الأحد","الاثنين","الثلاثاء","الأربعاء","الخميس","الجمعة","السبت"))</f>
        <v/>
      </c>
      <c r="O98" s="23">
        <f>IF(OR($K98="",$L98=""),"",HYPERLINK("https://maps.google.com/?q="&amp;$K98&amp;","&amp;$L98,"عرض الموقع"))</f>
        <v/>
      </c>
      <c r="P98" s="23">
        <f>IF(OR($B98="",N($J98)=0),"",HYPERLINK(PhotoDir&amp;"/"&amp;YEAR($B98)&amp;"-"&amp;TEXT(MONTH($B98),"00")&amp;"-"&amp;TEXT(DAY($B98),"00")&amp;"_"&amp;$D98,"فتح الصور ("&amp;$J98&amp;")"))</f>
        <v/>
      </c>
      <c r="Q98" s="24">
        <f>IF($B98="","",MONTH($B98))</f>
        <v/>
      </c>
      <c r="R98" s="24">
        <f>IF($B98="","",YEAR($B98))</f>
        <v/>
      </c>
      <c r="S98" s="25">
        <f>IF($B98="","",$B98-WEEKDAY($B98,3))</f>
        <v/>
      </c>
      <c r="T98" s="24">
        <f>IF($B98="",0,IF(COUNTIFS($B$5:$B98,$B98,$D$5:$D98,$D98)=1,1,0))</f>
        <v/>
      </c>
      <c r="U98" s="24">
        <f>IF($B98="",0,IF(COUNTIFS($B$5:$B98,$B98,$C$5:$C98,$C98)=1,1,0))</f>
        <v/>
      </c>
      <c r="V98" s="24">
        <f>IF(OR($B98="",$G98="",$G98="لا توجد مشاهدات"),0,1)</f>
        <v/>
      </c>
      <c r="W98" s="24">
        <f>IF(AND($B98&lt;&gt;"",$I98="تم تحرير مخالفة"),1,0)</f>
        <v/>
      </c>
      <c r="X98" s="24">
        <f>IF($B98="","",IF($S98=WkStart,COUNTIF($S$5:$S98,WkStart),""))</f>
        <v/>
      </c>
    </row>
    <row r="99">
      <c r="A99" s="16">
        <f>IF($B99="","",ROW()-4)</f>
        <v/>
      </c>
      <c r="B99" s="17" t="n"/>
      <c r="C99" s="18" t="n"/>
      <c r="D99" s="18" t="n"/>
      <c r="E99" s="19" t="n"/>
      <c r="F99" s="19" t="n"/>
      <c r="G99" s="18" t="n"/>
      <c r="H99" s="18" t="n"/>
      <c r="I99" s="18" t="n"/>
      <c r="J99" s="20" t="n"/>
      <c r="K99" s="21" t="n"/>
      <c r="L99" s="21" t="n"/>
      <c r="M99" s="18" t="n"/>
      <c r="N99" s="22">
        <f>IF($B99="","",CHOOSE(WEEKDAY($B99),"الأحد","الاثنين","الثلاثاء","الأربعاء","الخميس","الجمعة","السبت"))</f>
        <v/>
      </c>
      <c r="O99" s="23">
        <f>IF(OR($K99="",$L99=""),"",HYPERLINK("https://maps.google.com/?q="&amp;$K99&amp;","&amp;$L99,"عرض الموقع"))</f>
        <v/>
      </c>
      <c r="P99" s="23">
        <f>IF(OR($B99="",N($J99)=0),"",HYPERLINK(PhotoDir&amp;"/"&amp;YEAR($B99)&amp;"-"&amp;TEXT(MONTH($B99),"00")&amp;"-"&amp;TEXT(DAY($B99),"00")&amp;"_"&amp;$D99,"فتح الصور ("&amp;$J99&amp;")"))</f>
        <v/>
      </c>
      <c r="Q99" s="24">
        <f>IF($B99="","",MONTH($B99))</f>
        <v/>
      </c>
      <c r="R99" s="24">
        <f>IF($B99="","",YEAR($B99))</f>
        <v/>
      </c>
      <c r="S99" s="25">
        <f>IF($B99="","",$B99-WEEKDAY($B99,3))</f>
        <v/>
      </c>
      <c r="T99" s="24">
        <f>IF($B99="",0,IF(COUNTIFS($B$5:$B99,$B99,$D$5:$D99,$D99)=1,1,0))</f>
        <v/>
      </c>
      <c r="U99" s="24">
        <f>IF($B99="",0,IF(COUNTIFS($B$5:$B99,$B99,$C$5:$C99,$C99)=1,1,0))</f>
        <v/>
      </c>
      <c r="V99" s="24">
        <f>IF(OR($B99="",$G99="",$G99="لا توجد مشاهدات"),0,1)</f>
        <v/>
      </c>
      <c r="W99" s="24">
        <f>IF(AND($B99&lt;&gt;"",$I99="تم تحرير مخالفة"),1,0)</f>
        <v/>
      </c>
      <c r="X99" s="24">
        <f>IF($B99="","",IF($S99=WkStart,COUNTIF($S$5:$S99,WkStart),""))</f>
        <v/>
      </c>
    </row>
    <row r="100">
      <c r="A100" s="16">
        <f>IF($B100="","",ROW()-4)</f>
        <v/>
      </c>
      <c r="B100" s="17" t="n"/>
      <c r="C100" s="18" t="n"/>
      <c r="D100" s="18" t="n"/>
      <c r="E100" s="19" t="n"/>
      <c r="F100" s="19" t="n"/>
      <c r="G100" s="18" t="n"/>
      <c r="H100" s="18" t="n"/>
      <c r="I100" s="18" t="n"/>
      <c r="J100" s="20" t="n"/>
      <c r="K100" s="21" t="n"/>
      <c r="L100" s="21" t="n"/>
      <c r="M100" s="18" t="n"/>
      <c r="N100" s="22">
        <f>IF($B100="","",CHOOSE(WEEKDAY($B100),"الأحد","الاثنين","الثلاثاء","الأربعاء","الخميس","الجمعة","السبت"))</f>
        <v/>
      </c>
      <c r="O100" s="23">
        <f>IF(OR($K100="",$L100=""),"",HYPERLINK("https://maps.google.com/?q="&amp;$K100&amp;","&amp;$L100,"عرض الموقع"))</f>
        <v/>
      </c>
      <c r="P100" s="23">
        <f>IF(OR($B100="",N($J100)=0),"",HYPERLINK(PhotoDir&amp;"/"&amp;YEAR($B100)&amp;"-"&amp;TEXT(MONTH($B100),"00")&amp;"-"&amp;TEXT(DAY($B100),"00")&amp;"_"&amp;$D100,"فتح الصور ("&amp;$J100&amp;")"))</f>
        <v/>
      </c>
      <c r="Q100" s="24">
        <f>IF($B100="","",MONTH($B100))</f>
        <v/>
      </c>
      <c r="R100" s="24">
        <f>IF($B100="","",YEAR($B100))</f>
        <v/>
      </c>
      <c r="S100" s="25">
        <f>IF($B100="","",$B100-WEEKDAY($B100,3))</f>
        <v/>
      </c>
      <c r="T100" s="24">
        <f>IF($B100="",0,IF(COUNTIFS($B$5:$B100,$B100,$D$5:$D100,$D100)=1,1,0))</f>
        <v/>
      </c>
      <c r="U100" s="24">
        <f>IF($B100="",0,IF(COUNTIFS($B$5:$B100,$B100,$C$5:$C100,$C100)=1,1,0))</f>
        <v/>
      </c>
      <c r="V100" s="24">
        <f>IF(OR($B100="",$G100="",$G100="لا توجد مشاهدات"),0,1)</f>
        <v/>
      </c>
      <c r="W100" s="24">
        <f>IF(AND($B100&lt;&gt;"",$I100="تم تحرير مخالفة"),1,0)</f>
        <v/>
      </c>
      <c r="X100" s="24">
        <f>IF($B100="","",IF($S100=WkStart,COUNTIF($S$5:$S100,WkStart),""))</f>
        <v/>
      </c>
    </row>
    <row r="101">
      <c r="A101" s="16">
        <f>IF($B101="","",ROW()-4)</f>
        <v/>
      </c>
      <c r="B101" s="17" t="n"/>
      <c r="C101" s="18" t="n"/>
      <c r="D101" s="18" t="n"/>
      <c r="E101" s="19" t="n"/>
      <c r="F101" s="19" t="n"/>
      <c r="G101" s="18" t="n"/>
      <c r="H101" s="18" t="n"/>
      <c r="I101" s="18" t="n"/>
      <c r="J101" s="20" t="n"/>
      <c r="K101" s="21" t="n"/>
      <c r="L101" s="21" t="n"/>
      <c r="M101" s="18" t="n"/>
      <c r="N101" s="22">
        <f>IF($B101="","",CHOOSE(WEEKDAY($B101),"الأحد","الاثنين","الثلاثاء","الأربعاء","الخميس","الجمعة","السبت"))</f>
        <v/>
      </c>
      <c r="O101" s="23">
        <f>IF(OR($K101="",$L101=""),"",HYPERLINK("https://maps.google.com/?q="&amp;$K101&amp;","&amp;$L101,"عرض الموقع"))</f>
        <v/>
      </c>
      <c r="P101" s="23">
        <f>IF(OR($B101="",N($J101)=0),"",HYPERLINK(PhotoDir&amp;"/"&amp;YEAR($B101)&amp;"-"&amp;TEXT(MONTH($B101),"00")&amp;"-"&amp;TEXT(DAY($B101),"00")&amp;"_"&amp;$D101,"فتح الصور ("&amp;$J101&amp;")"))</f>
        <v/>
      </c>
      <c r="Q101" s="24">
        <f>IF($B101="","",MONTH($B101))</f>
        <v/>
      </c>
      <c r="R101" s="24">
        <f>IF($B101="","",YEAR($B101))</f>
        <v/>
      </c>
      <c r="S101" s="25">
        <f>IF($B101="","",$B101-WEEKDAY($B101,3))</f>
        <v/>
      </c>
      <c r="T101" s="24">
        <f>IF($B101="",0,IF(COUNTIFS($B$5:$B101,$B101,$D$5:$D101,$D101)=1,1,0))</f>
        <v/>
      </c>
      <c r="U101" s="24">
        <f>IF($B101="",0,IF(COUNTIFS($B$5:$B101,$B101,$C$5:$C101,$C101)=1,1,0))</f>
        <v/>
      </c>
      <c r="V101" s="24">
        <f>IF(OR($B101="",$G101="",$G101="لا توجد مشاهدات"),0,1)</f>
        <v/>
      </c>
      <c r="W101" s="24">
        <f>IF(AND($B101&lt;&gt;"",$I101="تم تحرير مخالفة"),1,0)</f>
        <v/>
      </c>
      <c r="X101" s="24">
        <f>IF($B101="","",IF($S101=WkStart,COUNTIF($S$5:$S101,WkStart),""))</f>
        <v/>
      </c>
    </row>
    <row r="102">
      <c r="A102" s="16">
        <f>IF($B102="","",ROW()-4)</f>
        <v/>
      </c>
      <c r="B102" s="17" t="n"/>
      <c r="C102" s="18" t="n"/>
      <c r="D102" s="18" t="n"/>
      <c r="E102" s="19" t="n"/>
      <c r="F102" s="19" t="n"/>
      <c r="G102" s="18" t="n"/>
      <c r="H102" s="18" t="n"/>
      <c r="I102" s="18" t="n"/>
      <c r="J102" s="20" t="n"/>
      <c r="K102" s="21" t="n"/>
      <c r="L102" s="21" t="n"/>
      <c r="M102" s="18" t="n"/>
      <c r="N102" s="22">
        <f>IF($B102="","",CHOOSE(WEEKDAY($B102),"الأحد","الاثنين","الثلاثاء","الأربعاء","الخميس","الجمعة","السبت"))</f>
        <v/>
      </c>
      <c r="O102" s="23">
        <f>IF(OR($K102="",$L102=""),"",HYPERLINK("https://maps.google.com/?q="&amp;$K102&amp;","&amp;$L102,"عرض الموقع"))</f>
        <v/>
      </c>
      <c r="P102" s="23">
        <f>IF(OR($B102="",N($J102)=0),"",HYPERLINK(PhotoDir&amp;"/"&amp;YEAR($B102)&amp;"-"&amp;TEXT(MONTH($B102),"00")&amp;"-"&amp;TEXT(DAY($B102),"00")&amp;"_"&amp;$D102,"فتح الصور ("&amp;$J102&amp;")"))</f>
        <v/>
      </c>
      <c r="Q102" s="24">
        <f>IF($B102="","",MONTH($B102))</f>
        <v/>
      </c>
      <c r="R102" s="24">
        <f>IF($B102="","",YEAR($B102))</f>
        <v/>
      </c>
      <c r="S102" s="25">
        <f>IF($B102="","",$B102-WEEKDAY($B102,3))</f>
        <v/>
      </c>
      <c r="T102" s="24">
        <f>IF($B102="",0,IF(COUNTIFS($B$5:$B102,$B102,$D$5:$D102,$D102)=1,1,0))</f>
        <v/>
      </c>
      <c r="U102" s="24">
        <f>IF($B102="",0,IF(COUNTIFS($B$5:$B102,$B102,$C$5:$C102,$C102)=1,1,0))</f>
        <v/>
      </c>
      <c r="V102" s="24">
        <f>IF(OR($B102="",$G102="",$G102="لا توجد مشاهدات"),0,1)</f>
        <v/>
      </c>
      <c r="W102" s="24">
        <f>IF(AND($B102&lt;&gt;"",$I102="تم تحرير مخالفة"),1,0)</f>
        <v/>
      </c>
      <c r="X102" s="24">
        <f>IF($B102="","",IF($S102=WkStart,COUNTIF($S$5:$S102,WkStart),""))</f>
        <v/>
      </c>
    </row>
    <row r="103">
      <c r="A103" s="16">
        <f>IF($B103="","",ROW()-4)</f>
        <v/>
      </c>
      <c r="B103" s="17" t="n"/>
      <c r="C103" s="18" t="n"/>
      <c r="D103" s="18" t="n"/>
      <c r="E103" s="19" t="n"/>
      <c r="F103" s="19" t="n"/>
      <c r="G103" s="18" t="n"/>
      <c r="H103" s="18" t="n"/>
      <c r="I103" s="18" t="n"/>
      <c r="J103" s="20" t="n"/>
      <c r="K103" s="21" t="n"/>
      <c r="L103" s="21" t="n"/>
      <c r="M103" s="18" t="n"/>
      <c r="N103" s="22">
        <f>IF($B103="","",CHOOSE(WEEKDAY($B103),"الأحد","الاثنين","الثلاثاء","الأربعاء","الخميس","الجمعة","السبت"))</f>
        <v/>
      </c>
      <c r="O103" s="23">
        <f>IF(OR($K103="",$L103=""),"",HYPERLINK("https://maps.google.com/?q="&amp;$K103&amp;","&amp;$L103,"عرض الموقع"))</f>
        <v/>
      </c>
      <c r="P103" s="23">
        <f>IF(OR($B103="",N($J103)=0),"",HYPERLINK(PhotoDir&amp;"/"&amp;YEAR($B103)&amp;"-"&amp;TEXT(MONTH($B103),"00")&amp;"-"&amp;TEXT(DAY($B103),"00")&amp;"_"&amp;$D103,"فتح الصور ("&amp;$J103&amp;")"))</f>
        <v/>
      </c>
      <c r="Q103" s="24">
        <f>IF($B103="","",MONTH($B103))</f>
        <v/>
      </c>
      <c r="R103" s="24">
        <f>IF($B103="","",YEAR($B103))</f>
        <v/>
      </c>
      <c r="S103" s="25">
        <f>IF($B103="","",$B103-WEEKDAY($B103,3))</f>
        <v/>
      </c>
      <c r="T103" s="24">
        <f>IF($B103="",0,IF(COUNTIFS($B$5:$B103,$B103,$D$5:$D103,$D103)=1,1,0))</f>
        <v/>
      </c>
      <c r="U103" s="24">
        <f>IF($B103="",0,IF(COUNTIFS($B$5:$B103,$B103,$C$5:$C103,$C103)=1,1,0))</f>
        <v/>
      </c>
      <c r="V103" s="24">
        <f>IF(OR($B103="",$G103="",$G103="لا توجد مشاهدات"),0,1)</f>
        <v/>
      </c>
      <c r="W103" s="24">
        <f>IF(AND($B103&lt;&gt;"",$I103="تم تحرير مخالفة"),1,0)</f>
        <v/>
      </c>
      <c r="X103" s="24">
        <f>IF($B103="","",IF($S103=WkStart,COUNTIF($S$5:$S103,WkStart),""))</f>
        <v/>
      </c>
    </row>
    <row r="104">
      <c r="A104" s="16">
        <f>IF($B104="","",ROW()-4)</f>
        <v/>
      </c>
      <c r="B104" s="17" t="n"/>
      <c r="C104" s="18" t="n"/>
      <c r="D104" s="18" t="n"/>
      <c r="E104" s="19" t="n"/>
      <c r="F104" s="19" t="n"/>
      <c r="G104" s="18" t="n"/>
      <c r="H104" s="18" t="n"/>
      <c r="I104" s="18" t="n"/>
      <c r="J104" s="20" t="n"/>
      <c r="K104" s="21" t="n"/>
      <c r="L104" s="21" t="n"/>
      <c r="M104" s="18" t="n"/>
      <c r="N104" s="22">
        <f>IF($B104="","",CHOOSE(WEEKDAY($B104),"الأحد","الاثنين","الثلاثاء","الأربعاء","الخميس","الجمعة","السبت"))</f>
        <v/>
      </c>
      <c r="O104" s="23">
        <f>IF(OR($K104="",$L104=""),"",HYPERLINK("https://maps.google.com/?q="&amp;$K104&amp;","&amp;$L104,"عرض الموقع"))</f>
        <v/>
      </c>
      <c r="P104" s="23">
        <f>IF(OR($B104="",N($J104)=0),"",HYPERLINK(PhotoDir&amp;"/"&amp;YEAR($B104)&amp;"-"&amp;TEXT(MONTH($B104),"00")&amp;"-"&amp;TEXT(DAY($B104),"00")&amp;"_"&amp;$D104,"فتح الصور ("&amp;$J104&amp;")"))</f>
        <v/>
      </c>
      <c r="Q104" s="24">
        <f>IF($B104="","",MONTH($B104))</f>
        <v/>
      </c>
      <c r="R104" s="24">
        <f>IF($B104="","",YEAR($B104))</f>
        <v/>
      </c>
      <c r="S104" s="25">
        <f>IF($B104="","",$B104-WEEKDAY($B104,3))</f>
        <v/>
      </c>
      <c r="T104" s="24">
        <f>IF($B104="",0,IF(COUNTIFS($B$5:$B104,$B104,$D$5:$D104,$D104)=1,1,0))</f>
        <v/>
      </c>
      <c r="U104" s="24">
        <f>IF($B104="",0,IF(COUNTIFS($B$5:$B104,$B104,$C$5:$C104,$C104)=1,1,0))</f>
        <v/>
      </c>
      <c r="V104" s="24">
        <f>IF(OR($B104="",$G104="",$G104="لا توجد مشاهدات"),0,1)</f>
        <v/>
      </c>
      <c r="W104" s="24">
        <f>IF(AND($B104&lt;&gt;"",$I104="تم تحرير مخالفة"),1,0)</f>
        <v/>
      </c>
      <c r="X104" s="24">
        <f>IF($B104="","",IF($S104=WkStart,COUNTIF($S$5:$S104,WkStart),""))</f>
        <v/>
      </c>
    </row>
    <row r="105">
      <c r="A105" s="16">
        <f>IF($B105="","",ROW()-4)</f>
        <v/>
      </c>
      <c r="B105" s="17" t="n"/>
      <c r="C105" s="18" t="n"/>
      <c r="D105" s="18" t="n"/>
      <c r="E105" s="19" t="n"/>
      <c r="F105" s="19" t="n"/>
      <c r="G105" s="18" t="n"/>
      <c r="H105" s="18" t="n"/>
      <c r="I105" s="18" t="n"/>
      <c r="J105" s="20" t="n"/>
      <c r="K105" s="21" t="n"/>
      <c r="L105" s="21" t="n"/>
      <c r="M105" s="18" t="n"/>
      <c r="N105" s="22">
        <f>IF($B105="","",CHOOSE(WEEKDAY($B105),"الأحد","الاثنين","الثلاثاء","الأربعاء","الخميس","الجمعة","السبت"))</f>
        <v/>
      </c>
      <c r="O105" s="23">
        <f>IF(OR($K105="",$L105=""),"",HYPERLINK("https://maps.google.com/?q="&amp;$K105&amp;","&amp;$L105,"عرض الموقع"))</f>
        <v/>
      </c>
      <c r="P105" s="23">
        <f>IF(OR($B105="",N($J105)=0),"",HYPERLINK(PhotoDir&amp;"/"&amp;YEAR($B105)&amp;"-"&amp;TEXT(MONTH($B105),"00")&amp;"-"&amp;TEXT(DAY($B105),"00")&amp;"_"&amp;$D105,"فتح الصور ("&amp;$J105&amp;")"))</f>
        <v/>
      </c>
      <c r="Q105" s="24">
        <f>IF($B105="","",MONTH($B105))</f>
        <v/>
      </c>
      <c r="R105" s="24">
        <f>IF($B105="","",YEAR($B105))</f>
        <v/>
      </c>
      <c r="S105" s="25">
        <f>IF($B105="","",$B105-WEEKDAY($B105,3))</f>
        <v/>
      </c>
      <c r="T105" s="24">
        <f>IF($B105="",0,IF(COUNTIFS($B$5:$B105,$B105,$D$5:$D105,$D105)=1,1,0))</f>
        <v/>
      </c>
      <c r="U105" s="24">
        <f>IF($B105="",0,IF(COUNTIFS($B$5:$B105,$B105,$C$5:$C105,$C105)=1,1,0))</f>
        <v/>
      </c>
      <c r="V105" s="24">
        <f>IF(OR($B105="",$G105="",$G105="لا توجد مشاهدات"),0,1)</f>
        <v/>
      </c>
      <c r="W105" s="24">
        <f>IF(AND($B105&lt;&gt;"",$I105="تم تحرير مخالفة"),1,0)</f>
        <v/>
      </c>
      <c r="X105" s="24">
        <f>IF($B105="","",IF($S105=WkStart,COUNTIF($S$5:$S105,WkStart),""))</f>
        <v/>
      </c>
    </row>
    <row r="106">
      <c r="A106" s="16">
        <f>IF($B106="","",ROW()-4)</f>
        <v/>
      </c>
      <c r="B106" s="17" t="n"/>
      <c r="C106" s="18" t="n"/>
      <c r="D106" s="18" t="n"/>
      <c r="E106" s="19" t="n"/>
      <c r="F106" s="19" t="n"/>
      <c r="G106" s="18" t="n"/>
      <c r="H106" s="18" t="n"/>
      <c r="I106" s="18" t="n"/>
      <c r="J106" s="20" t="n"/>
      <c r="K106" s="21" t="n"/>
      <c r="L106" s="21" t="n"/>
      <c r="M106" s="18" t="n"/>
      <c r="N106" s="22">
        <f>IF($B106="","",CHOOSE(WEEKDAY($B106),"الأحد","الاثنين","الثلاثاء","الأربعاء","الخميس","الجمعة","السبت"))</f>
        <v/>
      </c>
      <c r="O106" s="23">
        <f>IF(OR($K106="",$L106=""),"",HYPERLINK("https://maps.google.com/?q="&amp;$K106&amp;","&amp;$L106,"عرض الموقع"))</f>
        <v/>
      </c>
      <c r="P106" s="23">
        <f>IF(OR($B106="",N($J106)=0),"",HYPERLINK(PhotoDir&amp;"/"&amp;YEAR($B106)&amp;"-"&amp;TEXT(MONTH($B106),"00")&amp;"-"&amp;TEXT(DAY($B106),"00")&amp;"_"&amp;$D106,"فتح الصور ("&amp;$J106&amp;")"))</f>
        <v/>
      </c>
      <c r="Q106" s="24">
        <f>IF($B106="","",MONTH($B106))</f>
        <v/>
      </c>
      <c r="R106" s="24">
        <f>IF($B106="","",YEAR($B106))</f>
        <v/>
      </c>
      <c r="S106" s="25">
        <f>IF($B106="","",$B106-WEEKDAY($B106,3))</f>
        <v/>
      </c>
      <c r="T106" s="24">
        <f>IF($B106="",0,IF(COUNTIFS($B$5:$B106,$B106,$D$5:$D106,$D106)=1,1,0))</f>
        <v/>
      </c>
      <c r="U106" s="24">
        <f>IF($B106="",0,IF(COUNTIFS($B$5:$B106,$B106,$C$5:$C106,$C106)=1,1,0))</f>
        <v/>
      </c>
      <c r="V106" s="24">
        <f>IF(OR($B106="",$G106="",$G106="لا توجد مشاهدات"),0,1)</f>
        <v/>
      </c>
      <c r="W106" s="24">
        <f>IF(AND($B106&lt;&gt;"",$I106="تم تحرير مخالفة"),1,0)</f>
        <v/>
      </c>
      <c r="X106" s="24">
        <f>IF($B106="","",IF($S106=WkStart,COUNTIF($S$5:$S106,WkStart),""))</f>
        <v/>
      </c>
    </row>
    <row r="107">
      <c r="A107" s="16">
        <f>IF($B107="","",ROW()-4)</f>
        <v/>
      </c>
      <c r="B107" s="17" t="n"/>
      <c r="C107" s="18" t="n"/>
      <c r="D107" s="18" t="n"/>
      <c r="E107" s="19" t="n"/>
      <c r="F107" s="19" t="n"/>
      <c r="G107" s="18" t="n"/>
      <c r="H107" s="18" t="n"/>
      <c r="I107" s="18" t="n"/>
      <c r="J107" s="20" t="n"/>
      <c r="K107" s="21" t="n"/>
      <c r="L107" s="21" t="n"/>
      <c r="M107" s="18" t="n"/>
      <c r="N107" s="22">
        <f>IF($B107="","",CHOOSE(WEEKDAY($B107),"الأحد","الاثنين","الثلاثاء","الأربعاء","الخميس","الجمعة","السبت"))</f>
        <v/>
      </c>
      <c r="O107" s="23">
        <f>IF(OR($K107="",$L107=""),"",HYPERLINK("https://maps.google.com/?q="&amp;$K107&amp;","&amp;$L107,"عرض الموقع"))</f>
        <v/>
      </c>
      <c r="P107" s="23">
        <f>IF(OR($B107="",N($J107)=0),"",HYPERLINK(PhotoDir&amp;"/"&amp;YEAR($B107)&amp;"-"&amp;TEXT(MONTH($B107),"00")&amp;"-"&amp;TEXT(DAY($B107),"00")&amp;"_"&amp;$D107,"فتح الصور ("&amp;$J107&amp;")"))</f>
        <v/>
      </c>
      <c r="Q107" s="24">
        <f>IF($B107="","",MONTH($B107))</f>
        <v/>
      </c>
      <c r="R107" s="24">
        <f>IF($B107="","",YEAR($B107))</f>
        <v/>
      </c>
      <c r="S107" s="25">
        <f>IF($B107="","",$B107-WEEKDAY($B107,3))</f>
        <v/>
      </c>
      <c r="T107" s="24">
        <f>IF($B107="",0,IF(COUNTIFS($B$5:$B107,$B107,$D$5:$D107,$D107)=1,1,0))</f>
        <v/>
      </c>
      <c r="U107" s="24">
        <f>IF($B107="",0,IF(COUNTIFS($B$5:$B107,$B107,$C$5:$C107,$C107)=1,1,0))</f>
        <v/>
      </c>
      <c r="V107" s="24">
        <f>IF(OR($B107="",$G107="",$G107="لا توجد مشاهدات"),0,1)</f>
        <v/>
      </c>
      <c r="W107" s="24">
        <f>IF(AND($B107&lt;&gt;"",$I107="تم تحرير مخالفة"),1,0)</f>
        <v/>
      </c>
      <c r="X107" s="24">
        <f>IF($B107="","",IF($S107=WkStart,COUNTIF($S$5:$S107,WkStart),""))</f>
        <v/>
      </c>
    </row>
    <row r="108">
      <c r="A108" s="16">
        <f>IF($B108="","",ROW()-4)</f>
        <v/>
      </c>
      <c r="B108" s="17" t="n"/>
      <c r="C108" s="18" t="n"/>
      <c r="D108" s="18" t="n"/>
      <c r="E108" s="19" t="n"/>
      <c r="F108" s="19" t="n"/>
      <c r="G108" s="18" t="n"/>
      <c r="H108" s="18" t="n"/>
      <c r="I108" s="18" t="n"/>
      <c r="J108" s="20" t="n"/>
      <c r="K108" s="21" t="n"/>
      <c r="L108" s="21" t="n"/>
      <c r="M108" s="18" t="n"/>
      <c r="N108" s="22">
        <f>IF($B108="","",CHOOSE(WEEKDAY($B108),"الأحد","الاثنين","الثلاثاء","الأربعاء","الخميس","الجمعة","السبت"))</f>
        <v/>
      </c>
      <c r="O108" s="23">
        <f>IF(OR($K108="",$L108=""),"",HYPERLINK("https://maps.google.com/?q="&amp;$K108&amp;","&amp;$L108,"عرض الموقع"))</f>
        <v/>
      </c>
      <c r="P108" s="23">
        <f>IF(OR($B108="",N($J108)=0),"",HYPERLINK(PhotoDir&amp;"/"&amp;YEAR($B108)&amp;"-"&amp;TEXT(MONTH($B108),"00")&amp;"-"&amp;TEXT(DAY($B108),"00")&amp;"_"&amp;$D108,"فتح الصور ("&amp;$J108&amp;")"))</f>
        <v/>
      </c>
      <c r="Q108" s="24">
        <f>IF($B108="","",MONTH($B108))</f>
        <v/>
      </c>
      <c r="R108" s="24">
        <f>IF($B108="","",YEAR($B108))</f>
        <v/>
      </c>
      <c r="S108" s="25">
        <f>IF($B108="","",$B108-WEEKDAY($B108,3))</f>
        <v/>
      </c>
      <c r="T108" s="24">
        <f>IF($B108="",0,IF(COUNTIFS($B$5:$B108,$B108,$D$5:$D108,$D108)=1,1,0))</f>
        <v/>
      </c>
      <c r="U108" s="24">
        <f>IF($B108="",0,IF(COUNTIFS($B$5:$B108,$B108,$C$5:$C108,$C108)=1,1,0))</f>
        <v/>
      </c>
      <c r="V108" s="24">
        <f>IF(OR($B108="",$G108="",$G108="لا توجد مشاهدات"),0,1)</f>
        <v/>
      </c>
      <c r="W108" s="24">
        <f>IF(AND($B108&lt;&gt;"",$I108="تم تحرير مخالفة"),1,0)</f>
        <v/>
      </c>
      <c r="X108" s="24">
        <f>IF($B108="","",IF($S108=WkStart,COUNTIF($S$5:$S108,WkStart),""))</f>
        <v/>
      </c>
    </row>
    <row r="109">
      <c r="A109" s="16">
        <f>IF($B109="","",ROW()-4)</f>
        <v/>
      </c>
      <c r="B109" s="17" t="n"/>
      <c r="C109" s="18" t="n"/>
      <c r="D109" s="18" t="n"/>
      <c r="E109" s="19" t="n"/>
      <c r="F109" s="19" t="n"/>
      <c r="G109" s="18" t="n"/>
      <c r="H109" s="18" t="n"/>
      <c r="I109" s="18" t="n"/>
      <c r="J109" s="20" t="n"/>
      <c r="K109" s="21" t="n"/>
      <c r="L109" s="21" t="n"/>
      <c r="M109" s="18" t="n"/>
      <c r="N109" s="22">
        <f>IF($B109="","",CHOOSE(WEEKDAY($B109),"الأحد","الاثنين","الثلاثاء","الأربعاء","الخميس","الجمعة","السبت"))</f>
        <v/>
      </c>
      <c r="O109" s="23">
        <f>IF(OR($K109="",$L109=""),"",HYPERLINK("https://maps.google.com/?q="&amp;$K109&amp;","&amp;$L109,"عرض الموقع"))</f>
        <v/>
      </c>
      <c r="P109" s="23">
        <f>IF(OR($B109="",N($J109)=0),"",HYPERLINK(PhotoDir&amp;"/"&amp;YEAR($B109)&amp;"-"&amp;TEXT(MONTH($B109),"00")&amp;"-"&amp;TEXT(DAY($B109),"00")&amp;"_"&amp;$D109,"فتح الصور ("&amp;$J109&amp;")"))</f>
        <v/>
      </c>
      <c r="Q109" s="24">
        <f>IF($B109="","",MONTH($B109))</f>
        <v/>
      </c>
      <c r="R109" s="24">
        <f>IF($B109="","",YEAR($B109))</f>
        <v/>
      </c>
      <c r="S109" s="25">
        <f>IF($B109="","",$B109-WEEKDAY($B109,3))</f>
        <v/>
      </c>
      <c r="T109" s="24">
        <f>IF($B109="",0,IF(COUNTIFS($B$5:$B109,$B109,$D$5:$D109,$D109)=1,1,0))</f>
        <v/>
      </c>
      <c r="U109" s="24">
        <f>IF($B109="",0,IF(COUNTIFS($B$5:$B109,$B109,$C$5:$C109,$C109)=1,1,0))</f>
        <v/>
      </c>
      <c r="V109" s="24">
        <f>IF(OR($B109="",$G109="",$G109="لا توجد مشاهدات"),0,1)</f>
        <v/>
      </c>
      <c r="W109" s="24">
        <f>IF(AND($B109&lt;&gt;"",$I109="تم تحرير مخالفة"),1,0)</f>
        <v/>
      </c>
      <c r="X109" s="24">
        <f>IF($B109="","",IF($S109=WkStart,COUNTIF($S$5:$S109,WkStart),""))</f>
        <v/>
      </c>
    </row>
    <row r="110">
      <c r="A110" s="16">
        <f>IF($B110="","",ROW()-4)</f>
        <v/>
      </c>
      <c r="B110" s="17" t="n"/>
      <c r="C110" s="18" t="n"/>
      <c r="D110" s="18" t="n"/>
      <c r="E110" s="19" t="n"/>
      <c r="F110" s="19" t="n"/>
      <c r="G110" s="18" t="n"/>
      <c r="H110" s="18" t="n"/>
      <c r="I110" s="18" t="n"/>
      <c r="J110" s="20" t="n"/>
      <c r="K110" s="21" t="n"/>
      <c r="L110" s="21" t="n"/>
      <c r="M110" s="18" t="n"/>
      <c r="N110" s="22">
        <f>IF($B110="","",CHOOSE(WEEKDAY($B110),"الأحد","الاثنين","الثلاثاء","الأربعاء","الخميس","الجمعة","السبت"))</f>
        <v/>
      </c>
      <c r="O110" s="23">
        <f>IF(OR($K110="",$L110=""),"",HYPERLINK("https://maps.google.com/?q="&amp;$K110&amp;","&amp;$L110,"عرض الموقع"))</f>
        <v/>
      </c>
      <c r="P110" s="23">
        <f>IF(OR($B110="",N($J110)=0),"",HYPERLINK(PhotoDir&amp;"/"&amp;YEAR($B110)&amp;"-"&amp;TEXT(MONTH($B110),"00")&amp;"-"&amp;TEXT(DAY($B110),"00")&amp;"_"&amp;$D110,"فتح الصور ("&amp;$J110&amp;")"))</f>
        <v/>
      </c>
      <c r="Q110" s="24">
        <f>IF($B110="","",MONTH($B110))</f>
        <v/>
      </c>
      <c r="R110" s="24">
        <f>IF($B110="","",YEAR($B110))</f>
        <v/>
      </c>
      <c r="S110" s="25">
        <f>IF($B110="","",$B110-WEEKDAY($B110,3))</f>
        <v/>
      </c>
      <c r="T110" s="24">
        <f>IF($B110="",0,IF(COUNTIFS($B$5:$B110,$B110,$D$5:$D110,$D110)=1,1,0))</f>
        <v/>
      </c>
      <c r="U110" s="24">
        <f>IF($B110="",0,IF(COUNTIFS($B$5:$B110,$B110,$C$5:$C110,$C110)=1,1,0))</f>
        <v/>
      </c>
      <c r="V110" s="24">
        <f>IF(OR($B110="",$G110="",$G110="لا توجد مشاهدات"),0,1)</f>
        <v/>
      </c>
      <c r="W110" s="24">
        <f>IF(AND($B110&lt;&gt;"",$I110="تم تحرير مخالفة"),1,0)</f>
        <v/>
      </c>
      <c r="X110" s="24">
        <f>IF($B110="","",IF($S110=WkStart,COUNTIF($S$5:$S110,WkStart),""))</f>
        <v/>
      </c>
    </row>
    <row r="111">
      <c r="A111" s="16">
        <f>IF($B111="","",ROW()-4)</f>
        <v/>
      </c>
      <c r="B111" s="17" t="n"/>
      <c r="C111" s="18" t="n"/>
      <c r="D111" s="18" t="n"/>
      <c r="E111" s="19" t="n"/>
      <c r="F111" s="19" t="n"/>
      <c r="G111" s="18" t="n"/>
      <c r="H111" s="18" t="n"/>
      <c r="I111" s="18" t="n"/>
      <c r="J111" s="20" t="n"/>
      <c r="K111" s="21" t="n"/>
      <c r="L111" s="21" t="n"/>
      <c r="M111" s="18" t="n"/>
      <c r="N111" s="22">
        <f>IF($B111="","",CHOOSE(WEEKDAY($B111),"الأحد","الاثنين","الثلاثاء","الأربعاء","الخميس","الجمعة","السبت"))</f>
        <v/>
      </c>
      <c r="O111" s="23">
        <f>IF(OR($K111="",$L111=""),"",HYPERLINK("https://maps.google.com/?q="&amp;$K111&amp;","&amp;$L111,"عرض الموقع"))</f>
        <v/>
      </c>
      <c r="P111" s="23">
        <f>IF(OR($B111="",N($J111)=0),"",HYPERLINK(PhotoDir&amp;"/"&amp;YEAR($B111)&amp;"-"&amp;TEXT(MONTH($B111),"00")&amp;"-"&amp;TEXT(DAY($B111),"00")&amp;"_"&amp;$D111,"فتح الصور ("&amp;$J111&amp;")"))</f>
        <v/>
      </c>
      <c r="Q111" s="24">
        <f>IF($B111="","",MONTH($B111))</f>
        <v/>
      </c>
      <c r="R111" s="24">
        <f>IF($B111="","",YEAR($B111))</f>
        <v/>
      </c>
      <c r="S111" s="25">
        <f>IF($B111="","",$B111-WEEKDAY($B111,3))</f>
        <v/>
      </c>
      <c r="T111" s="24">
        <f>IF($B111="",0,IF(COUNTIFS($B$5:$B111,$B111,$D$5:$D111,$D111)=1,1,0))</f>
        <v/>
      </c>
      <c r="U111" s="24">
        <f>IF($B111="",0,IF(COUNTIFS($B$5:$B111,$B111,$C$5:$C111,$C111)=1,1,0))</f>
        <v/>
      </c>
      <c r="V111" s="24">
        <f>IF(OR($B111="",$G111="",$G111="لا توجد مشاهدات"),0,1)</f>
        <v/>
      </c>
      <c r="W111" s="24">
        <f>IF(AND($B111&lt;&gt;"",$I111="تم تحرير مخالفة"),1,0)</f>
        <v/>
      </c>
      <c r="X111" s="24">
        <f>IF($B111="","",IF($S111=WkStart,COUNTIF($S$5:$S111,WkStart),""))</f>
        <v/>
      </c>
    </row>
    <row r="112">
      <c r="A112" s="16">
        <f>IF($B112="","",ROW()-4)</f>
        <v/>
      </c>
      <c r="B112" s="17" t="n"/>
      <c r="C112" s="18" t="n"/>
      <c r="D112" s="18" t="n"/>
      <c r="E112" s="19" t="n"/>
      <c r="F112" s="19" t="n"/>
      <c r="G112" s="18" t="n"/>
      <c r="H112" s="18" t="n"/>
      <c r="I112" s="18" t="n"/>
      <c r="J112" s="20" t="n"/>
      <c r="K112" s="21" t="n"/>
      <c r="L112" s="21" t="n"/>
      <c r="M112" s="18" t="n"/>
      <c r="N112" s="22">
        <f>IF($B112="","",CHOOSE(WEEKDAY($B112),"الأحد","الاثنين","الثلاثاء","الأربعاء","الخميس","الجمعة","السبت"))</f>
        <v/>
      </c>
      <c r="O112" s="23">
        <f>IF(OR($K112="",$L112=""),"",HYPERLINK("https://maps.google.com/?q="&amp;$K112&amp;","&amp;$L112,"عرض الموقع"))</f>
        <v/>
      </c>
      <c r="P112" s="23">
        <f>IF(OR($B112="",N($J112)=0),"",HYPERLINK(PhotoDir&amp;"/"&amp;YEAR($B112)&amp;"-"&amp;TEXT(MONTH($B112),"00")&amp;"-"&amp;TEXT(DAY($B112),"00")&amp;"_"&amp;$D112,"فتح الصور ("&amp;$J112&amp;")"))</f>
        <v/>
      </c>
      <c r="Q112" s="24">
        <f>IF($B112="","",MONTH($B112))</f>
        <v/>
      </c>
      <c r="R112" s="24">
        <f>IF($B112="","",YEAR($B112))</f>
        <v/>
      </c>
      <c r="S112" s="25">
        <f>IF($B112="","",$B112-WEEKDAY($B112,3))</f>
        <v/>
      </c>
      <c r="T112" s="24">
        <f>IF($B112="",0,IF(COUNTIFS($B$5:$B112,$B112,$D$5:$D112,$D112)=1,1,0))</f>
        <v/>
      </c>
      <c r="U112" s="24">
        <f>IF($B112="",0,IF(COUNTIFS($B$5:$B112,$B112,$C$5:$C112,$C112)=1,1,0))</f>
        <v/>
      </c>
      <c r="V112" s="24">
        <f>IF(OR($B112="",$G112="",$G112="لا توجد مشاهدات"),0,1)</f>
        <v/>
      </c>
      <c r="W112" s="24">
        <f>IF(AND($B112&lt;&gt;"",$I112="تم تحرير مخالفة"),1,0)</f>
        <v/>
      </c>
      <c r="X112" s="24">
        <f>IF($B112="","",IF($S112=WkStart,COUNTIF($S$5:$S112,WkStart),""))</f>
        <v/>
      </c>
    </row>
    <row r="113">
      <c r="A113" s="16">
        <f>IF($B113="","",ROW()-4)</f>
        <v/>
      </c>
      <c r="B113" s="17" t="n"/>
      <c r="C113" s="18" t="n"/>
      <c r="D113" s="18" t="n"/>
      <c r="E113" s="19" t="n"/>
      <c r="F113" s="19" t="n"/>
      <c r="G113" s="18" t="n"/>
      <c r="H113" s="18" t="n"/>
      <c r="I113" s="18" t="n"/>
      <c r="J113" s="20" t="n"/>
      <c r="K113" s="21" t="n"/>
      <c r="L113" s="21" t="n"/>
      <c r="M113" s="18" t="n"/>
      <c r="N113" s="22">
        <f>IF($B113="","",CHOOSE(WEEKDAY($B113),"الأحد","الاثنين","الثلاثاء","الأربعاء","الخميس","الجمعة","السبت"))</f>
        <v/>
      </c>
      <c r="O113" s="23">
        <f>IF(OR($K113="",$L113=""),"",HYPERLINK("https://maps.google.com/?q="&amp;$K113&amp;","&amp;$L113,"عرض الموقع"))</f>
        <v/>
      </c>
      <c r="P113" s="23">
        <f>IF(OR($B113="",N($J113)=0),"",HYPERLINK(PhotoDir&amp;"/"&amp;YEAR($B113)&amp;"-"&amp;TEXT(MONTH($B113),"00")&amp;"-"&amp;TEXT(DAY($B113),"00")&amp;"_"&amp;$D113,"فتح الصور ("&amp;$J113&amp;")"))</f>
        <v/>
      </c>
      <c r="Q113" s="24">
        <f>IF($B113="","",MONTH($B113))</f>
        <v/>
      </c>
      <c r="R113" s="24">
        <f>IF($B113="","",YEAR($B113))</f>
        <v/>
      </c>
      <c r="S113" s="25">
        <f>IF($B113="","",$B113-WEEKDAY($B113,3))</f>
        <v/>
      </c>
      <c r="T113" s="24">
        <f>IF($B113="",0,IF(COUNTIFS($B$5:$B113,$B113,$D$5:$D113,$D113)=1,1,0))</f>
        <v/>
      </c>
      <c r="U113" s="24">
        <f>IF($B113="",0,IF(COUNTIFS($B$5:$B113,$B113,$C$5:$C113,$C113)=1,1,0))</f>
        <v/>
      </c>
      <c r="V113" s="24">
        <f>IF(OR($B113="",$G113="",$G113="لا توجد مشاهدات"),0,1)</f>
        <v/>
      </c>
      <c r="W113" s="24">
        <f>IF(AND($B113&lt;&gt;"",$I113="تم تحرير مخالفة"),1,0)</f>
        <v/>
      </c>
      <c r="X113" s="24">
        <f>IF($B113="","",IF($S113=WkStart,COUNTIF($S$5:$S113,WkStart),""))</f>
        <v/>
      </c>
    </row>
    <row r="114">
      <c r="A114" s="16">
        <f>IF($B114="","",ROW()-4)</f>
        <v/>
      </c>
      <c r="B114" s="17" t="n"/>
      <c r="C114" s="18" t="n"/>
      <c r="D114" s="18" t="n"/>
      <c r="E114" s="19" t="n"/>
      <c r="F114" s="19" t="n"/>
      <c r="G114" s="18" t="n"/>
      <c r="H114" s="18" t="n"/>
      <c r="I114" s="18" t="n"/>
      <c r="J114" s="20" t="n"/>
      <c r="K114" s="21" t="n"/>
      <c r="L114" s="21" t="n"/>
      <c r="M114" s="18" t="n"/>
      <c r="N114" s="22">
        <f>IF($B114="","",CHOOSE(WEEKDAY($B114),"الأحد","الاثنين","الثلاثاء","الأربعاء","الخميس","الجمعة","السبت"))</f>
        <v/>
      </c>
      <c r="O114" s="23">
        <f>IF(OR($K114="",$L114=""),"",HYPERLINK("https://maps.google.com/?q="&amp;$K114&amp;","&amp;$L114,"عرض الموقع"))</f>
        <v/>
      </c>
      <c r="P114" s="23">
        <f>IF(OR($B114="",N($J114)=0),"",HYPERLINK(PhotoDir&amp;"/"&amp;YEAR($B114)&amp;"-"&amp;TEXT(MONTH($B114),"00")&amp;"-"&amp;TEXT(DAY($B114),"00")&amp;"_"&amp;$D114,"فتح الصور ("&amp;$J114&amp;")"))</f>
        <v/>
      </c>
      <c r="Q114" s="24">
        <f>IF($B114="","",MONTH($B114))</f>
        <v/>
      </c>
      <c r="R114" s="24">
        <f>IF($B114="","",YEAR($B114))</f>
        <v/>
      </c>
      <c r="S114" s="25">
        <f>IF($B114="","",$B114-WEEKDAY($B114,3))</f>
        <v/>
      </c>
      <c r="T114" s="24">
        <f>IF($B114="",0,IF(COUNTIFS($B$5:$B114,$B114,$D$5:$D114,$D114)=1,1,0))</f>
        <v/>
      </c>
      <c r="U114" s="24">
        <f>IF($B114="",0,IF(COUNTIFS($B$5:$B114,$B114,$C$5:$C114,$C114)=1,1,0))</f>
        <v/>
      </c>
      <c r="V114" s="24">
        <f>IF(OR($B114="",$G114="",$G114="لا توجد مشاهدات"),0,1)</f>
        <v/>
      </c>
      <c r="W114" s="24">
        <f>IF(AND($B114&lt;&gt;"",$I114="تم تحرير مخالفة"),1,0)</f>
        <v/>
      </c>
      <c r="X114" s="24">
        <f>IF($B114="","",IF($S114=WkStart,COUNTIF($S$5:$S114,WkStart),""))</f>
        <v/>
      </c>
    </row>
    <row r="115">
      <c r="A115" s="16">
        <f>IF($B115="","",ROW()-4)</f>
        <v/>
      </c>
      <c r="B115" s="17" t="n"/>
      <c r="C115" s="18" t="n"/>
      <c r="D115" s="18" t="n"/>
      <c r="E115" s="19" t="n"/>
      <c r="F115" s="19" t="n"/>
      <c r="G115" s="18" t="n"/>
      <c r="H115" s="18" t="n"/>
      <c r="I115" s="18" t="n"/>
      <c r="J115" s="20" t="n"/>
      <c r="K115" s="21" t="n"/>
      <c r="L115" s="21" t="n"/>
      <c r="M115" s="18" t="n"/>
      <c r="N115" s="22">
        <f>IF($B115="","",CHOOSE(WEEKDAY($B115),"الأحد","الاثنين","الثلاثاء","الأربعاء","الخميس","الجمعة","السبت"))</f>
        <v/>
      </c>
      <c r="O115" s="23">
        <f>IF(OR($K115="",$L115=""),"",HYPERLINK("https://maps.google.com/?q="&amp;$K115&amp;","&amp;$L115,"عرض الموقع"))</f>
        <v/>
      </c>
      <c r="P115" s="23">
        <f>IF(OR($B115="",N($J115)=0),"",HYPERLINK(PhotoDir&amp;"/"&amp;YEAR($B115)&amp;"-"&amp;TEXT(MONTH($B115),"00")&amp;"-"&amp;TEXT(DAY($B115),"00")&amp;"_"&amp;$D115,"فتح الصور ("&amp;$J115&amp;")"))</f>
        <v/>
      </c>
      <c r="Q115" s="24">
        <f>IF($B115="","",MONTH($B115))</f>
        <v/>
      </c>
      <c r="R115" s="24">
        <f>IF($B115="","",YEAR($B115))</f>
        <v/>
      </c>
      <c r="S115" s="25">
        <f>IF($B115="","",$B115-WEEKDAY($B115,3))</f>
        <v/>
      </c>
      <c r="T115" s="24">
        <f>IF($B115="",0,IF(COUNTIFS($B$5:$B115,$B115,$D$5:$D115,$D115)=1,1,0))</f>
        <v/>
      </c>
      <c r="U115" s="24">
        <f>IF($B115="",0,IF(COUNTIFS($B$5:$B115,$B115,$C$5:$C115,$C115)=1,1,0))</f>
        <v/>
      </c>
      <c r="V115" s="24">
        <f>IF(OR($B115="",$G115="",$G115="لا توجد مشاهدات"),0,1)</f>
        <v/>
      </c>
      <c r="W115" s="24">
        <f>IF(AND($B115&lt;&gt;"",$I115="تم تحرير مخالفة"),1,0)</f>
        <v/>
      </c>
      <c r="X115" s="24">
        <f>IF($B115="","",IF($S115=WkStart,COUNTIF($S$5:$S115,WkStart),""))</f>
        <v/>
      </c>
    </row>
    <row r="116">
      <c r="A116" s="16">
        <f>IF($B116="","",ROW()-4)</f>
        <v/>
      </c>
      <c r="B116" s="17" t="n"/>
      <c r="C116" s="18" t="n"/>
      <c r="D116" s="18" t="n"/>
      <c r="E116" s="19" t="n"/>
      <c r="F116" s="19" t="n"/>
      <c r="G116" s="18" t="n"/>
      <c r="H116" s="18" t="n"/>
      <c r="I116" s="18" t="n"/>
      <c r="J116" s="20" t="n"/>
      <c r="K116" s="21" t="n"/>
      <c r="L116" s="21" t="n"/>
      <c r="M116" s="18" t="n"/>
      <c r="N116" s="22">
        <f>IF($B116="","",CHOOSE(WEEKDAY($B116),"الأحد","الاثنين","الثلاثاء","الأربعاء","الخميس","الجمعة","السبت"))</f>
        <v/>
      </c>
      <c r="O116" s="23">
        <f>IF(OR($K116="",$L116=""),"",HYPERLINK("https://maps.google.com/?q="&amp;$K116&amp;","&amp;$L116,"عرض الموقع"))</f>
        <v/>
      </c>
      <c r="P116" s="23">
        <f>IF(OR($B116="",N($J116)=0),"",HYPERLINK(PhotoDir&amp;"/"&amp;YEAR($B116)&amp;"-"&amp;TEXT(MONTH($B116),"00")&amp;"-"&amp;TEXT(DAY($B116),"00")&amp;"_"&amp;$D116,"فتح الصور ("&amp;$J116&amp;")"))</f>
        <v/>
      </c>
      <c r="Q116" s="24">
        <f>IF($B116="","",MONTH($B116))</f>
        <v/>
      </c>
      <c r="R116" s="24">
        <f>IF($B116="","",YEAR($B116))</f>
        <v/>
      </c>
      <c r="S116" s="25">
        <f>IF($B116="","",$B116-WEEKDAY($B116,3))</f>
        <v/>
      </c>
      <c r="T116" s="24">
        <f>IF($B116="",0,IF(COUNTIFS($B$5:$B116,$B116,$D$5:$D116,$D116)=1,1,0))</f>
        <v/>
      </c>
      <c r="U116" s="24">
        <f>IF($B116="",0,IF(COUNTIFS($B$5:$B116,$B116,$C$5:$C116,$C116)=1,1,0))</f>
        <v/>
      </c>
      <c r="V116" s="24">
        <f>IF(OR($B116="",$G116="",$G116="لا توجد مشاهدات"),0,1)</f>
        <v/>
      </c>
      <c r="W116" s="24">
        <f>IF(AND($B116&lt;&gt;"",$I116="تم تحرير مخالفة"),1,0)</f>
        <v/>
      </c>
      <c r="X116" s="24">
        <f>IF($B116="","",IF($S116=WkStart,COUNTIF($S$5:$S116,WkStart),""))</f>
        <v/>
      </c>
    </row>
    <row r="117">
      <c r="A117" s="16">
        <f>IF($B117="","",ROW()-4)</f>
        <v/>
      </c>
      <c r="B117" s="17" t="n"/>
      <c r="C117" s="18" t="n"/>
      <c r="D117" s="18" t="n"/>
      <c r="E117" s="19" t="n"/>
      <c r="F117" s="19" t="n"/>
      <c r="G117" s="18" t="n"/>
      <c r="H117" s="18" t="n"/>
      <c r="I117" s="18" t="n"/>
      <c r="J117" s="20" t="n"/>
      <c r="K117" s="21" t="n"/>
      <c r="L117" s="21" t="n"/>
      <c r="M117" s="18" t="n"/>
      <c r="N117" s="22">
        <f>IF($B117="","",CHOOSE(WEEKDAY($B117),"الأحد","الاثنين","الثلاثاء","الأربعاء","الخميس","الجمعة","السبت"))</f>
        <v/>
      </c>
      <c r="O117" s="23">
        <f>IF(OR($K117="",$L117=""),"",HYPERLINK("https://maps.google.com/?q="&amp;$K117&amp;","&amp;$L117,"عرض الموقع"))</f>
        <v/>
      </c>
      <c r="P117" s="23">
        <f>IF(OR($B117="",N($J117)=0),"",HYPERLINK(PhotoDir&amp;"/"&amp;YEAR($B117)&amp;"-"&amp;TEXT(MONTH($B117),"00")&amp;"-"&amp;TEXT(DAY($B117),"00")&amp;"_"&amp;$D117,"فتح الصور ("&amp;$J117&amp;")"))</f>
        <v/>
      </c>
      <c r="Q117" s="24">
        <f>IF($B117="","",MONTH($B117))</f>
        <v/>
      </c>
      <c r="R117" s="24">
        <f>IF($B117="","",YEAR($B117))</f>
        <v/>
      </c>
      <c r="S117" s="25">
        <f>IF($B117="","",$B117-WEEKDAY($B117,3))</f>
        <v/>
      </c>
      <c r="T117" s="24">
        <f>IF($B117="",0,IF(COUNTIFS($B$5:$B117,$B117,$D$5:$D117,$D117)=1,1,0))</f>
        <v/>
      </c>
      <c r="U117" s="24">
        <f>IF($B117="",0,IF(COUNTIFS($B$5:$B117,$B117,$C$5:$C117,$C117)=1,1,0))</f>
        <v/>
      </c>
      <c r="V117" s="24">
        <f>IF(OR($B117="",$G117="",$G117="لا توجد مشاهدات"),0,1)</f>
        <v/>
      </c>
      <c r="W117" s="24">
        <f>IF(AND($B117&lt;&gt;"",$I117="تم تحرير مخالفة"),1,0)</f>
        <v/>
      </c>
      <c r="X117" s="24">
        <f>IF($B117="","",IF($S117=WkStart,COUNTIF($S$5:$S117,WkStart),""))</f>
        <v/>
      </c>
    </row>
    <row r="118">
      <c r="A118" s="16">
        <f>IF($B118="","",ROW()-4)</f>
        <v/>
      </c>
      <c r="B118" s="17" t="n"/>
      <c r="C118" s="18" t="n"/>
      <c r="D118" s="18" t="n"/>
      <c r="E118" s="19" t="n"/>
      <c r="F118" s="19" t="n"/>
      <c r="G118" s="18" t="n"/>
      <c r="H118" s="18" t="n"/>
      <c r="I118" s="18" t="n"/>
      <c r="J118" s="20" t="n"/>
      <c r="K118" s="21" t="n"/>
      <c r="L118" s="21" t="n"/>
      <c r="M118" s="18" t="n"/>
      <c r="N118" s="22">
        <f>IF($B118="","",CHOOSE(WEEKDAY($B118),"الأحد","الاثنين","الثلاثاء","الأربعاء","الخميس","الجمعة","السبت"))</f>
        <v/>
      </c>
      <c r="O118" s="23">
        <f>IF(OR($K118="",$L118=""),"",HYPERLINK("https://maps.google.com/?q="&amp;$K118&amp;","&amp;$L118,"عرض الموقع"))</f>
        <v/>
      </c>
      <c r="P118" s="23">
        <f>IF(OR($B118="",N($J118)=0),"",HYPERLINK(PhotoDir&amp;"/"&amp;YEAR($B118)&amp;"-"&amp;TEXT(MONTH($B118),"00")&amp;"-"&amp;TEXT(DAY($B118),"00")&amp;"_"&amp;$D118,"فتح الصور ("&amp;$J118&amp;")"))</f>
        <v/>
      </c>
      <c r="Q118" s="24">
        <f>IF($B118="","",MONTH($B118))</f>
        <v/>
      </c>
      <c r="R118" s="24">
        <f>IF($B118="","",YEAR($B118))</f>
        <v/>
      </c>
      <c r="S118" s="25">
        <f>IF($B118="","",$B118-WEEKDAY($B118,3))</f>
        <v/>
      </c>
      <c r="T118" s="24">
        <f>IF($B118="",0,IF(COUNTIFS($B$5:$B118,$B118,$D$5:$D118,$D118)=1,1,0))</f>
        <v/>
      </c>
      <c r="U118" s="24">
        <f>IF($B118="",0,IF(COUNTIFS($B$5:$B118,$B118,$C$5:$C118,$C118)=1,1,0))</f>
        <v/>
      </c>
      <c r="V118" s="24">
        <f>IF(OR($B118="",$G118="",$G118="لا توجد مشاهدات"),0,1)</f>
        <v/>
      </c>
      <c r="W118" s="24">
        <f>IF(AND($B118&lt;&gt;"",$I118="تم تحرير مخالفة"),1,0)</f>
        <v/>
      </c>
      <c r="X118" s="24">
        <f>IF($B118="","",IF($S118=WkStart,COUNTIF($S$5:$S118,WkStart),""))</f>
        <v/>
      </c>
    </row>
    <row r="119">
      <c r="A119" s="16">
        <f>IF($B119="","",ROW()-4)</f>
        <v/>
      </c>
      <c r="B119" s="17" t="n"/>
      <c r="C119" s="18" t="n"/>
      <c r="D119" s="18" t="n"/>
      <c r="E119" s="19" t="n"/>
      <c r="F119" s="19" t="n"/>
      <c r="G119" s="18" t="n"/>
      <c r="H119" s="18" t="n"/>
      <c r="I119" s="18" t="n"/>
      <c r="J119" s="20" t="n"/>
      <c r="K119" s="21" t="n"/>
      <c r="L119" s="21" t="n"/>
      <c r="M119" s="18" t="n"/>
      <c r="N119" s="22">
        <f>IF($B119="","",CHOOSE(WEEKDAY($B119),"الأحد","الاثنين","الثلاثاء","الأربعاء","الخميس","الجمعة","السبت"))</f>
        <v/>
      </c>
      <c r="O119" s="23">
        <f>IF(OR($K119="",$L119=""),"",HYPERLINK("https://maps.google.com/?q="&amp;$K119&amp;","&amp;$L119,"عرض الموقع"))</f>
        <v/>
      </c>
      <c r="P119" s="23">
        <f>IF(OR($B119="",N($J119)=0),"",HYPERLINK(PhotoDir&amp;"/"&amp;YEAR($B119)&amp;"-"&amp;TEXT(MONTH($B119),"00")&amp;"-"&amp;TEXT(DAY($B119),"00")&amp;"_"&amp;$D119,"فتح الصور ("&amp;$J119&amp;")"))</f>
        <v/>
      </c>
      <c r="Q119" s="24">
        <f>IF($B119="","",MONTH($B119))</f>
        <v/>
      </c>
      <c r="R119" s="24">
        <f>IF($B119="","",YEAR($B119))</f>
        <v/>
      </c>
      <c r="S119" s="25">
        <f>IF($B119="","",$B119-WEEKDAY($B119,3))</f>
        <v/>
      </c>
      <c r="T119" s="24">
        <f>IF($B119="",0,IF(COUNTIFS($B$5:$B119,$B119,$D$5:$D119,$D119)=1,1,0))</f>
        <v/>
      </c>
      <c r="U119" s="24">
        <f>IF($B119="",0,IF(COUNTIFS($B$5:$B119,$B119,$C$5:$C119,$C119)=1,1,0))</f>
        <v/>
      </c>
      <c r="V119" s="24">
        <f>IF(OR($B119="",$G119="",$G119="لا توجد مشاهدات"),0,1)</f>
        <v/>
      </c>
      <c r="W119" s="24">
        <f>IF(AND($B119&lt;&gt;"",$I119="تم تحرير مخالفة"),1,0)</f>
        <v/>
      </c>
      <c r="X119" s="24">
        <f>IF($B119="","",IF($S119=WkStart,COUNTIF($S$5:$S119,WkStart),""))</f>
        <v/>
      </c>
    </row>
    <row r="120">
      <c r="A120" s="16">
        <f>IF($B120="","",ROW()-4)</f>
        <v/>
      </c>
      <c r="B120" s="17" t="n"/>
      <c r="C120" s="18" t="n"/>
      <c r="D120" s="18" t="n"/>
      <c r="E120" s="19" t="n"/>
      <c r="F120" s="19" t="n"/>
      <c r="G120" s="18" t="n"/>
      <c r="H120" s="18" t="n"/>
      <c r="I120" s="18" t="n"/>
      <c r="J120" s="20" t="n"/>
      <c r="K120" s="21" t="n"/>
      <c r="L120" s="21" t="n"/>
      <c r="M120" s="18" t="n"/>
      <c r="N120" s="22">
        <f>IF($B120="","",CHOOSE(WEEKDAY($B120),"الأحد","الاثنين","الثلاثاء","الأربعاء","الخميس","الجمعة","السبت"))</f>
        <v/>
      </c>
      <c r="O120" s="23">
        <f>IF(OR($K120="",$L120=""),"",HYPERLINK("https://maps.google.com/?q="&amp;$K120&amp;","&amp;$L120,"عرض الموقع"))</f>
        <v/>
      </c>
      <c r="P120" s="23">
        <f>IF(OR($B120="",N($J120)=0),"",HYPERLINK(PhotoDir&amp;"/"&amp;YEAR($B120)&amp;"-"&amp;TEXT(MONTH($B120),"00")&amp;"-"&amp;TEXT(DAY($B120),"00")&amp;"_"&amp;$D120,"فتح الصور ("&amp;$J120&amp;")"))</f>
        <v/>
      </c>
      <c r="Q120" s="24">
        <f>IF($B120="","",MONTH($B120))</f>
        <v/>
      </c>
      <c r="R120" s="24">
        <f>IF($B120="","",YEAR($B120))</f>
        <v/>
      </c>
      <c r="S120" s="25">
        <f>IF($B120="","",$B120-WEEKDAY($B120,3))</f>
        <v/>
      </c>
      <c r="T120" s="24">
        <f>IF($B120="",0,IF(COUNTIFS($B$5:$B120,$B120,$D$5:$D120,$D120)=1,1,0))</f>
        <v/>
      </c>
      <c r="U120" s="24">
        <f>IF($B120="",0,IF(COUNTIFS($B$5:$B120,$B120,$C$5:$C120,$C120)=1,1,0))</f>
        <v/>
      </c>
      <c r="V120" s="24">
        <f>IF(OR($B120="",$G120="",$G120="لا توجد مشاهدات"),0,1)</f>
        <v/>
      </c>
      <c r="W120" s="24">
        <f>IF(AND($B120&lt;&gt;"",$I120="تم تحرير مخالفة"),1,0)</f>
        <v/>
      </c>
      <c r="X120" s="24">
        <f>IF($B120="","",IF($S120=WkStart,COUNTIF($S$5:$S120,WkStart),""))</f>
        <v/>
      </c>
    </row>
    <row r="121">
      <c r="A121" s="16">
        <f>IF($B121="","",ROW()-4)</f>
        <v/>
      </c>
      <c r="B121" s="17" t="n"/>
      <c r="C121" s="18" t="n"/>
      <c r="D121" s="18" t="n"/>
      <c r="E121" s="19" t="n"/>
      <c r="F121" s="19" t="n"/>
      <c r="G121" s="18" t="n"/>
      <c r="H121" s="18" t="n"/>
      <c r="I121" s="18" t="n"/>
      <c r="J121" s="20" t="n"/>
      <c r="K121" s="21" t="n"/>
      <c r="L121" s="21" t="n"/>
      <c r="M121" s="18" t="n"/>
      <c r="N121" s="22">
        <f>IF($B121="","",CHOOSE(WEEKDAY($B121),"الأحد","الاثنين","الثلاثاء","الأربعاء","الخميس","الجمعة","السبت"))</f>
        <v/>
      </c>
      <c r="O121" s="23">
        <f>IF(OR($K121="",$L121=""),"",HYPERLINK("https://maps.google.com/?q="&amp;$K121&amp;","&amp;$L121,"عرض الموقع"))</f>
        <v/>
      </c>
      <c r="P121" s="23">
        <f>IF(OR($B121="",N($J121)=0),"",HYPERLINK(PhotoDir&amp;"/"&amp;YEAR($B121)&amp;"-"&amp;TEXT(MONTH($B121),"00")&amp;"-"&amp;TEXT(DAY($B121),"00")&amp;"_"&amp;$D121,"فتح الصور ("&amp;$J121&amp;")"))</f>
        <v/>
      </c>
      <c r="Q121" s="24">
        <f>IF($B121="","",MONTH($B121))</f>
        <v/>
      </c>
      <c r="R121" s="24">
        <f>IF($B121="","",YEAR($B121))</f>
        <v/>
      </c>
      <c r="S121" s="25">
        <f>IF($B121="","",$B121-WEEKDAY($B121,3))</f>
        <v/>
      </c>
      <c r="T121" s="24">
        <f>IF($B121="",0,IF(COUNTIFS($B$5:$B121,$B121,$D$5:$D121,$D121)=1,1,0))</f>
        <v/>
      </c>
      <c r="U121" s="24">
        <f>IF($B121="",0,IF(COUNTIFS($B$5:$B121,$B121,$C$5:$C121,$C121)=1,1,0))</f>
        <v/>
      </c>
      <c r="V121" s="24">
        <f>IF(OR($B121="",$G121="",$G121="لا توجد مشاهدات"),0,1)</f>
        <v/>
      </c>
      <c r="W121" s="24">
        <f>IF(AND($B121&lt;&gt;"",$I121="تم تحرير مخالفة"),1,0)</f>
        <v/>
      </c>
      <c r="X121" s="24">
        <f>IF($B121="","",IF($S121=WkStart,COUNTIF($S$5:$S121,WkStart),""))</f>
        <v/>
      </c>
    </row>
    <row r="122">
      <c r="A122" s="16">
        <f>IF($B122="","",ROW()-4)</f>
        <v/>
      </c>
      <c r="B122" s="17" t="n"/>
      <c r="C122" s="18" t="n"/>
      <c r="D122" s="18" t="n"/>
      <c r="E122" s="19" t="n"/>
      <c r="F122" s="19" t="n"/>
      <c r="G122" s="18" t="n"/>
      <c r="H122" s="18" t="n"/>
      <c r="I122" s="18" t="n"/>
      <c r="J122" s="20" t="n"/>
      <c r="K122" s="21" t="n"/>
      <c r="L122" s="21" t="n"/>
      <c r="M122" s="18" t="n"/>
      <c r="N122" s="22">
        <f>IF($B122="","",CHOOSE(WEEKDAY($B122),"الأحد","الاثنين","الثلاثاء","الأربعاء","الخميس","الجمعة","السبت"))</f>
        <v/>
      </c>
      <c r="O122" s="23">
        <f>IF(OR($K122="",$L122=""),"",HYPERLINK("https://maps.google.com/?q="&amp;$K122&amp;","&amp;$L122,"عرض الموقع"))</f>
        <v/>
      </c>
      <c r="P122" s="23">
        <f>IF(OR($B122="",N($J122)=0),"",HYPERLINK(PhotoDir&amp;"/"&amp;YEAR($B122)&amp;"-"&amp;TEXT(MONTH($B122),"00")&amp;"-"&amp;TEXT(DAY($B122),"00")&amp;"_"&amp;$D122,"فتح الصور ("&amp;$J122&amp;")"))</f>
        <v/>
      </c>
      <c r="Q122" s="24">
        <f>IF($B122="","",MONTH($B122))</f>
        <v/>
      </c>
      <c r="R122" s="24">
        <f>IF($B122="","",YEAR($B122))</f>
        <v/>
      </c>
      <c r="S122" s="25">
        <f>IF($B122="","",$B122-WEEKDAY($B122,3))</f>
        <v/>
      </c>
      <c r="T122" s="24">
        <f>IF($B122="",0,IF(COUNTIFS($B$5:$B122,$B122,$D$5:$D122,$D122)=1,1,0))</f>
        <v/>
      </c>
      <c r="U122" s="24">
        <f>IF($B122="",0,IF(COUNTIFS($B$5:$B122,$B122,$C$5:$C122,$C122)=1,1,0))</f>
        <v/>
      </c>
      <c r="V122" s="24">
        <f>IF(OR($B122="",$G122="",$G122="لا توجد مشاهدات"),0,1)</f>
        <v/>
      </c>
      <c r="W122" s="24">
        <f>IF(AND($B122&lt;&gt;"",$I122="تم تحرير مخالفة"),1,0)</f>
        <v/>
      </c>
      <c r="X122" s="24">
        <f>IF($B122="","",IF($S122=WkStart,COUNTIF($S$5:$S122,WkStart),""))</f>
        <v/>
      </c>
    </row>
    <row r="123">
      <c r="A123" s="16">
        <f>IF($B123="","",ROW()-4)</f>
        <v/>
      </c>
      <c r="B123" s="17" t="n"/>
      <c r="C123" s="18" t="n"/>
      <c r="D123" s="18" t="n"/>
      <c r="E123" s="19" t="n"/>
      <c r="F123" s="19" t="n"/>
      <c r="G123" s="18" t="n"/>
      <c r="H123" s="18" t="n"/>
      <c r="I123" s="18" t="n"/>
      <c r="J123" s="20" t="n"/>
      <c r="K123" s="21" t="n"/>
      <c r="L123" s="21" t="n"/>
      <c r="M123" s="18" t="n"/>
      <c r="N123" s="22">
        <f>IF($B123="","",CHOOSE(WEEKDAY($B123),"الأحد","الاثنين","الثلاثاء","الأربعاء","الخميس","الجمعة","السبت"))</f>
        <v/>
      </c>
      <c r="O123" s="23">
        <f>IF(OR($K123="",$L123=""),"",HYPERLINK("https://maps.google.com/?q="&amp;$K123&amp;","&amp;$L123,"عرض الموقع"))</f>
        <v/>
      </c>
      <c r="P123" s="23">
        <f>IF(OR($B123="",N($J123)=0),"",HYPERLINK(PhotoDir&amp;"/"&amp;YEAR($B123)&amp;"-"&amp;TEXT(MONTH($B123),"00")&amp;"-"&amp;TEXT(DAY($B123),"00")&amp;"_"&amp;$D123,"فتح الصور ("&amp;$J123&amp;")"))</f>
        <v/>
      </c>
      <c r="Q123" s="24">
        <f>IF($B123="","",MONTH($B123))</f>
        <v/>
      </c>
      <c r="R123" s="24">
        <f>IF($B123="","",YEAR($B123))</f>
        <v/>
      </c>
      <c r="S123" s="25">
        <f>IF($B123="","",$B123-WEEKDAY($B123,3))</f>
        <v/>
      </c>
      <c r="T123" s="24">
        <f>IF($B123="",0,IF(COUNTIFS($B$5:$B123,$B123,$D$5:$D123,$D123)=1,1,0))</f>
        <v/>
      </c>
      <c r="U123" s="24">
        <f>IF($B123="",0,IF(COUNTIFS($B$5:$B123,$B123,$C$5:$C123,$C123)=1,1,0))</f>
        <v/>
      </c>
      <c r="V123" s="24">
        <f>IF(OR($B123="",$G123="",$G123="لا توجد مشاهدات"),0,1)</f>
        <v/>
      </c>
      <c r="W123" s="24">
        <f>IF(AND($B123&lt;&gt;"",$I123="تم تحرير مخالفة"),1,0)</f>
        <v/>
      </c>
      <c r="X123" s="24">
        <f>IF($B123="","",IF($S123=WkStart,COUNTIF($S$5:$S123,WkStart),""))</f>
        <v/>
      </c>
    </row>
    <row r="124">
      <c r="A124" s="16">
        <f>IF($B124="","",ROW()-4)</f>
        <v/>
      </c>
      <c r="B124" s="17" t="n"/>
      <c r="C124" s="18" t="n"/>
      <c r="D124" s="18" t="n"/>
      <c r="E124" s="19" t="n"/>
      <c r="F124" s="19" t="n"/>
      <c r="G124" s="18" t="n"/>
      <c r="H124" s="18" t="n"/>
      <c r="I124" s="18" t="n"/>
      <c r="J124" s="20" t="n"/>
      <c r="K124" s="21" t="n"/>
      <c r="L124" s="21" t="n"/>
      <c r="M124" s="18" t="n"/>
      <c r="N124" s="22">
        <f>IF($B124="","",CHOOSE(WEEKDAY($B124),"الأحد","الاثنين","الثلاثاء","الأربعاء","الخميس","الجمعة","السبت"))</f>
        <v/>
      </c>
      <c r="O124" s="23">
        <f>IF(OR($K124="",$L124=""),"",HYPERLINK("https://maps.google.com/?q="&amp;$K124&amp;","&amp;$L124,"عرض الموقع"))</f>
        <v/>
      </c>
      <c r="P124" s="23">
        <f>IF(OR($B124="",N($J124)=0),"",HYPERLINK(PhotoDir&amp;"/"&amp;YEAR($B124)&amp;"-"&amp;TEXT(MONTH($B124),"00")&amp;"-"&amp;TEXT(DAY($B124),"00")&amp;"_"&amp;$D124,"فتح الصور ("&amp;$J124&amp;")"))</f>
        <v/>
      </c>
      <c r="Q124" s="24">
        <f>IF($B124="","",MONTH($B124))</f>
        <v/>
      </c>
      <c r="R124" s="24">
        <f>IF($B124="","",YEAR($B124))</f>
        <v/>
      </c>
      <c r="S124" s="25">
        <f>IF($B124="","",$B124-WEEKDAY($B124,3))</f>
        <v/>
      </c>
      <c r="T124" s="24">
        <f>IF($B124="",0,IF(COUNTIFS($B$5:$B124,$B124,$D$5:$D124,$D124)=1,1,0))</f>
        <v/>
      </c>
      <c r="U124" s="24">
        <f>IF($B124="",0,IF(COUNTIFS($B$5:$B124,$B124,$C$5:$C124,$C124)=1,1,0))</f>
        <v/>
      </c>
      <c r="V124" s="24">
        <f>IF(OR($B124="",$G124="",$G124="لا توجد مشاهدات"),0,1)</f>
        <v/>
      </c>
      <c r="W124" s="24">
        <f>IF(AND($B124&lt;&gt;"",$I124="تم تحرير مخالفة"),1,0)</f>
        <v/>
      </c>
      <c r="X124" s="24">
        <f>IF($B124="","",IF($S124=WkStart,COUNTIF($S$5:$S124,WkStart),""))</f>
        <v/>
      </c>
    </row>
    <row r="125">
      <c r="A125" s="16">
        <f>IF($B125="","",ROW()-4)</f>
        <v/>
      </c>
      <c r="B125" s="17" t="n"/>
      <c r="C125" s="18" t="n"/>
      <c r="D125" s="18" t="n"/>
      <c r="E125" s="19" t="n"/>
      <c r="F125" s="19" t="n"/>
      <c r="G125" s="18" t="n"/>
      <c r="H125" s="18" t="n"/>
      <c r="I125" s="18" t="n"/>
      <c r="J125" s="20" t="n"/>
      <c r="K125" s="21" t="n"/>
      <c r="L125" s="21" t="n"/>
      <c r="M125" s="18" t="n"/>
      <c r="N125" s="22">
        <f>IF($B125="","",CHOOSE(WEEKDAY($B125),"الأحد","الاثنين","الثلاثاء","الأربعاء","الخميس","الجمعة","السبت"))</f>
        <v/>
      </c>
      <c r="O125" s="23">
        <f>IF(OR($K125="",$L125=""),"",HYPERLINK("https://maps.google.com/?q="&amp;$K125&amp;","&amp;$L125,"عرض الموقع"))</f>
        <v/>
      </c>
      <c r="P125" s="23">
        <f>IF(OR($B125="",N($J125)=0),"",HYPERLINK(PhotoDir&amp;"/"&amp;YEAR($B125)&amp;"-"&amp;TEXT(MONTH($B125),"00")&amp;"-"&amp;TEXT(DAY($B125),"00")&amp;"_"&amp;$D125,"فتح الصور ("&amp;$J125&amp;")"))</f>
        <v/>
      </c>
      <c r="Q125" s="24">
        <f>IF($B125="","",MONTH($B125))</f>
        <v/>
      </c>
      <c r="R125" s="24">
        <f>IF($B125="","",YEAR($B125))</f>
        <v/>
      </c>
      <c r="S125" s="25">
        <f>IF($B125="","",$B125-WEEKDAY($B125,3))</f>
        <v/>
      </c>
      <c r="T125" s="24">
        <f>IF($B125="",0,IF(COUNTIFS($B$5:$B125,$B125,$D$5:$D125,$D125)=1,1,0))</f>
        <v/>
      </c>
      <c r="U125" s="24">
        <f>IF($B125="",0,IF(COUNTIFS($B$5:$B125,$B125,$C$5:$C125,$C125)=1,1,0))</f>
        <v/>
      </c>
      <c r="V125" s="24">
        <f>IF(OR($B125="",$G125="",$G125="لا توجد مشاهدات"),0,1)</f>
        <v/>
      </c>
      <c r="W125" s="24">
        <f>IF(AND($B125&lt;&gt;"",$I125="تم تحرير مخالفة"),1,0)</f>
        <v/>
      </c>
      <c r="X125" s="24">
        <f>IF($B125="","",IF($S125=WkStart,COUNTIF($S$5:$S125,WkStart),""))</f>
        <v/>
      </c>
    </row>
    <row r="126">
      <c r="A126" s="16">
        <f>IF($B126="","",ROW()-4)</f>
        <v/>
      </c>
      <c r="B126" s="17" t="n"/>
      <c r="C126" s="18" t="n"/>
      <c r="D126" s="18" t="n"/>
      <c r="E126" s="19" t="n"/>
      <c r="F126" s="19" t="n"/>
      <c r="G126" s="18" t="n"/>
      <c r="H126" s="18" t="n"/>
      <c r="I126" s="18" t="n"/>
      <c r="J126" s="20" t="n"/>
      <c r="K126" s="21" t="n"/>
      <c r="L126" s="21" t="n"/>
      <c r="M126" s="18" t="n"/>
      <c r="N126" s="22">
        <f>IF($B126="","",CHOOSE(WEEKDAY($B126),"الأحد","الاثنين","الثلاثاء","الأربعاء","الخميس","الجمعة","السبت"))</f>
        <v/>
      </c>
      <c r="O126" s="23">
        <f>IF(OR($K126="",$L126=""),"",HYPERLINK("https://maps.google.com/?q="&amp;$K126&amp;","&amp;$L126,"عرض الموقع"))</f>
        <v/>
      </c>
      <c r="P126" s="23">
        <f>IF(OR($B126="",N($J126)=0),"",HYPERLINK(PhotoDir&amp;"/"&amp;YEAR($B126)&amp;"-"&amp;TEXT(MONTH($B126),"00")&amp;"-"&amp;TEXT(DAY($B126),"00")&amp;"_"&amp;$D126,"فتح الصور ("&amp;$J126&amp;")"))</f>
        <v/>
      </c>
      <c r="Q126" s="24">
        <f>IF($B126="","",MONTH($B126))</f>
        <v/>
      </c>
      <c r="R126" s="24">
        <f>IF($B126="","",YEAR($B126))</f>
        <v/>
      </c>
      <c r="S126" s="25">
        <f>IF($B126="","",$B126-WEEKDAY($B126,3))</f>
        <v/>
      </c>
      <c r="T126" s="24">
        <f>IF($B126="",0,IF(COUNTIFS($B$5:$B126,$B126,$D$5:$D126,$D126)=1,1,0))</f>
        <v/>
      </c>
      <c r="U126" s="24">
        <f>IF($B126="",0,IF(COUNTIFS($B$5:$B126,$B126,$C$5:$C126,$C126)=1,1,0))</f>
        <v/>
      </c>
      <c r="V126" s="24">
        <f>IF(OR($B126="",$G126="",$G126="لا توجد مشاهدات"),0,1)</f>
        <v/>
      </c>
      <c r="W126" s="24">
        <f>IF(AND($B126&lt;&gt;"",$I126="تم تحرير مخالفة"),1,0)</f>
        <v/>
      </c>
      <c r="X126" s="24">
        <f>IF($B126="","",IF($S126=WkStart,COUNTIF($S$5:$S126,WkStart),""))</f>
        <v/>
      </c>
    </row>
    <row r="127">
      <c r="A127" s="16">
        <f>IF($B127="","",ROW()-4)</f>
        <v/>
      </c>
      <c r="B127" s="17" t="n"/>
      <c r="C127" s="18" t="n"/>
      <c r="D127" s="18" t="n"/>
      <c r="E127" s="19" t="n"/>
      <c r="F127" s="19" t="n"/>
      <c r="G127" s="18" t="n"/>
      <c r="H127" s="18" t="n"/>
      <c r="I127" s="18" t="n"/>
      <c r="J127" s="20" t="n"/>
      <c r="K127" s="21" t="n"/>
      <c r="L127" s="21" t="n"/>
      <c r="M127" s="18" t="n"/>
      <c r="N127" s="22">
        <f>IF($B127="","",CHOOSE(WEEKDAY($B127),"الأحد","الاثنين","الثلاثاء","الأربعاء","الخميس","الجمعة","السبت"))</f>
        <v/>
      </c>
      <c r="O127" s="23">
        <f>IF(OR($K127="",$L127=""),"",HYPERLINK("https://maps.google.com/?q="&amp;$K127&amp;","&amp;$L127,"عرض الموقع"))</f>
        <v/>
      </c>
      <c r="P127" s="23">
        <f>IF(OR($B127="",N($J127)=0),"",HYPERLINK(PhotoDir&amp;"/"&amp;YEAR($B127)&amp;"-"&amp;TEXT(MONTH($B127),"00")&amp;"-"&amp;TEXT(DAY($B127),"00")&amp;"_"&amp;$D127,"فتح الصور ("&amp;$J127&amp;")"))</f>
        <v/>
      </c>
      <c r="Q127" s="24">
        <f>IF($B127="","",MONTH($B127))</f>
        <v/>
      </c>
      <c r="R127" s="24">
        <f>IF($B127="","",YEAR($B127))</f>
        <v/>
      </c>
      <c r="S127" s="25">
        <f>IF($B127="","",$B127-WEEKDAY($B127,3))</f>
        <v/>
      </c>
      <c r="T127" s="24">
        <f>IF($B127="",0,IF(COUNTIFS($B$5:$B127,$B127,$D$5:$D127,$D127)=1,1,0))</f>
        <v/>
      </c>
      <c r="U127" s="24">
        <f>IF($B127="",0,IF(COUNTIFS($B$5:$B127,$B127,$C$5:$C127,$C127)=1,1,0))</f>
        <v/>
      </c>
      <c r="V127" s="24">
        <f>IF(OR($B127="",$G127="",$G127="لا توجد مشاهدات"),0,1)</f>
        <v/>
      </c>
      <c r="W127" s="24">
        <f>IF(AND($B127&lt;&gt;"",$I127="تم تحرير مخالفة"),1,0)</f>
        <v/>
      </c>
      <c r="X127" s="24">
        <f>IF($B127="","",IF($S127=WkStart,COUNTIF($S$5:$S127,WkStart),""))</f>
        <v/>
      </c>
    </row>
    <row r="128">
      <c r="A128" s="16">
        <f>IF($B128="","",ROW()-4)</f>
        <v/>
      </c>
      <c r="B128" s="17" t="n"/>
      <c r="C128" s="18" t="n"/>
      <c r="D128" s="18" t="n"/>
      <c r="E128" s="19" t="n"/>
      <c r="F128" s="19" t="n"/>
      <c r="G128" s="18" t="n"/>
      <c r="H128" s="18" t="n"/>
      <c r="I128" s="18" t="n"/>
      <c r="J128" s="20" t="n"/>
      <c r="K128" s="21" t="n"/>
      <c r="L128" s="21" t="n"/>
      <c r="M128" s="18" t="n"/>
      <c r="N128" s="22">
        <f>IF($B128="","",CHOOSE(WEEKDAY($B128),"الأحد","الاثنين","الثلاثاء","الأربعاء","الخميس","الجمعة","السبت"))</f>
        <v/>
      </c>
      <c r="O128" s="23">
        <f>IF(OR($K128="",$L128=""),"",HYPERLINK("https://maps.google.com/?q="&amp;$K128&amp;","&amp;$L128,"عرض الموقع"))</f>
        <v/>
      </c>
      <c r="P128" s="23">
        <f>IF(OR($B128="",N($J128)=0),"",HYPERLINK(PhotoDir&amp;"/"&amp;YEAR($B128)&amp;"-"&amp;TEXT(MONTH($B128),"00")&amp;"-"&amp;TEXT(DAY($B128),"00")&amp;"_"&amp;$D128,"فتح الصور ("&amp;$J128&amp;")"))</f>
        <v/>
      </c>
      <c r="Q128" s="24">
        <f>IF($B128="","",MONTH($B128))</f>
        <v/>
      </c>
      <c r="R128" s="24">
        <f>IF($B128="","",YEAR($B128))</f>
        <v/>
      </c>
      <c r="S128" s="25">
        <f>IF($B128="","",$B128-WEEKDAY($B128,3))</f>
        <v/>
      </c>
      <c r="T128" s="24">
        <f>IF($B128="",0,IF(COUNTIFS($B$5:$B128,$B128,$D$5:$D128,$D128)=1,1,0))</f>
        <v/>
      </c>
      <c r="U128" s="24">
        <f>IF($B128="",0,IF(COUNTIFS($B$5:$B128,$B128,$C$5:$C128,$C128)=1,1,0))</f>
        <v/>
      </c>
      <c r="V128" s="24">
        <f>IF(OR($B128="",$G128="",$G128="لا توجد مشاهدات"),0,1)</f>
        <v/>
      </c>
      <c r="W128" s="24">
        <f>IF(AND($B128&lt;&gt;"",$I128="تم تحرير مخالفة"),1,0)</f>
        <v/>
      </c>
      <c r="X128" s="24">
        <f>IF($B128="","",IF($S128=WkStart,COUNTIF($S$5:$S128,WkStart),""))</f>
        <v/>
      </c>
    </row>
    <row r="129">
      <c r="A129" s="16">
        <f>IF($B129="","",ROW()-4)</f>
        <v/>
      </c>
      <c r="B129" s="17" t="n"/>
      <c r="C129" s="18" t="n"/>
      <c r="D129" s="18" t="n"/>
      <c r="E129" s="19" t="n"/>
      <c r="F129" s="19" t="n"/>
      <c r="G129" s="18" t="n"/>
      <c r="H129" s="18" t="n"/>
      <c r="I129" s="18" t="n"/>
      <c r="J129" s="20" t="n"/>
      <c r="K129" s="21" t="n"/>
      <c r="L129" s="21" t="n"/>
      <c r="M129" s="18" t="n"/>
      <c r="N129" s="22">
        <f>IF($B129="","",CHOOSE(WEEKDAY($B129),"الأحد","الاثنين","الثلاثاء","الأربعاء","الخميس","الجمعة","السبت"))</f>
        <v/>
      </c>
      <c r="O129" s="23">
        <f>IF(OR($K129="",$L129=""),"",HYPERLINK("https://maps.google.com/?q="&amp;$K129&amp;","&amp;$L129,"عرض الموقع"))</f>
        <v/>
      </c>
      <c r="P129" s="23">
        <f>IF(OR($B129="",N($J129)=0),"",HYPERLINK(PhotoDir&amp;"/"&amp;YEAR($B129)&amp;"-"&amp;TEXT(MONTH($B129),"00")&amp;"-"&amp;TEXT(DAY($B129),"00")&amp;"_"&amp;$D129,"فتح الصور ("&amp;$J129&amp;")"))</f>
        <v/>
      </c>
      <c r="Q129" s="24">
        <f>IF($B129="","",MONTH($B129))</f>
        <v/>
      </c>
      <c r="R129" s="24">
        <f>IF($B129="","",YEAR($B129))</f>
        <v/>
      </c>
      <c r="S129" s="25">
        <f>IF($B129="","",$B129-WEEKDAY($B129,3))</f>
        <v/>
      </c>
      <c r="T129" s="24">
        <f>IF($B129="",0,IF(COUNTIFS($B$5:$B129,$B129,$D$5:$D129,$D129)=1,1,0))</f>
        <v/>
      </c>
      <c r="U129" s="24">
        <f>IF($B129="",0,IF(COUNTIFS($B$5:$B129,$B129,$C$5:$C129,$C129)=1,1,0))</f>
        <v/>
      </c>
      <c r="V129" s="24">
        <f>IF(OR($B129="",$G129="",$G129="لا توجد مشاهدات"),0,1)</f>
        <v/>
      </c>
      <c r="W129" s="24">
        <f>IF(AND($B129&lt;&gt;"",$I129="تم تحرير مخالفة"),1,0)</f>
        <v/>
      </c>
      <c r="X129" s="24">
        <f>IF($B129="","",IF($S129=WkStart,COUNTIF($S$5:$S129,WkStart),""))</f>
        <v/>
      </c>
    </row>
    <row r="130">
      <c r="A130" s="16">
        <f>IF($B130="","",ROW()-4)</f>
        <v/>
      </c>
      <c r="B130" s="17" t="n"/>
      <c r="C130" s="18" t="n"/>
      <c r="D130" s="18" t="n"/>
      <c r="E130" s="19" t="n"/>
      <c r="F130" s="19" t="n"/>
      <c r="G130" s="18" t="n"/>
      <c r="H130" s="18" t="n"/>
      <c r="I130" s="18" t="n"/>
      <c r="J130" s="20" t="n"/>
      <c r="K130" s="21" t="n"/>
      <c r="L130" s="21" t="n"/>
      <c r="M130" s="18" t="n"/>
      <c r="N130" s="22">
        <f>IF($B130="","",CHOOSE(WEEKDAY($B130),"الأحد","الاثنين","الثلاثاء","الأربعاء","الخميس","الجمعة","السبت"))</f>
        <v/>
      </c>
      <c r="O130" s="23">
        <f>IF(OR($K130="",$L130=""),"",HYPERLINK("https://maps.google.com/?q="&amp;$K130&amp;","&amp;$L130,"عرض الموقع"))</f>
        <v/>
      </c>
      <c r="P130" s="23">
        <f>IF(OR($B130="",N($J130)=0),"",HYPERLINK(PhotoDir&amp;"/"&amp;YEAR($B130)&amp;"-"&amp;TEXT(MONTH($B130),"00")&amp;"-"&amp;TEXT(DAY($B130),"00")&amp;"_"&amp;$D130,"فتح الصور ("&amp;$J130&amp;")"))</f>
        <v/>
      </c>
      <c r="Q130" s="24">
        <f>IF($B130="","",MONTH($B130))</f>
        <v/>
      </c>
      <c r="R130" s="24">
        <f>IF($B130="","",YEAR($B130))</f>
        <v/>
      </c>
      <c r="S130" s="25">
        <f>IF($B130="","",$B130-WEEKDAY($B130,3))</f>
        <v/>
      </c>
      <c r="T130" s="24">
        <f>IF($B130="",0,IF(COUNTIFS($B$5:$B130,$B130,$D$5:$D130,$D130)=1,1,0))</f>
        <v/>
      </c>
      <c r="U130" s="24">
        <f>IF($B130="",0,IF(COUNTIFS($B$5:$B130,$B130,$C$5:$C130,$C130)=1,1,0))</f>
        <v/>
      </c>
      <c r="V130" s="24">
        <f>IF(OR($B130="",$G130="",$G130="لا توجد مشاهدات"),0,1)</f>
        <v/>
      </c>
      <c r="W130" s="24">
        <f>IF(AND($B130&lt;&gt;"",$I130="تم تحرير مخالفة"),1,0)</f>
        <v/>
      </c>
      <c r="X130" s="24">
        <f>IF($B130="","",IF($S130=WkStart,COUNTIF($S$5:$S130,WkStart),""))</f>
        <v/>
      </c>
    </row>
    <row r="131">
      <c r="A131" s="16">
        <f>IF($B131="","",ROW()-4)</f>
        <v/>
      </c>
      <c r="B131" s="17" t="n"/>
      <c r="C131" s="18" t="n"/>
      <c r="D131" s="18" t="n"/>
      <c r="E131" s="19" t="n"/>
      <c r="F131" s="19" t="n"/>
      <c r="G131" s="18" t="n"/>
      <c r="H131" s="18" t="n"/>
      <c r="I131" s="18" t="n"/>
      <c r="J131" s="20" t="n"/>
      <c r="K131" s="21" t="n"/>
      <c r="L131" s="21" t="n"/>
      <c r="M131" s="18" t="n"/>
      <c r="N131" s="22">
        <f>IF($B131="","",CHOOSE(WEEKDAY($B131),"الأحد","الاثنين","الثلاثاء","الأربعاء","الخميس","الجمعة","السبت"))</f>
        <v/>
      </c>
      <c r="O131" s="23">
        <f>IF(OR($K131="",$L131=""),"",HYPERLINK("https://maps.google.com/?q="&amp;$K131&amp;","&amp;$L131,"عرض الموقع"))</f>
        <v/>
      </c>
      <c r="P131" s="23">
        <f>IF(OR($B131="",N($J131)=0),"",HYPERLINK(PhotoDir&amp;"/"&amp;YEAR($B131)&amp;"-"&amp;TEXT(MONTH($B131),"00")&amp;"-"&amp;TEXT(DAY($B131),"00")&amp;"_"&amp;$D131,"فتح الصور ("&amp;$J131&amp;")"))</f>
        <v/>
      </c>
      <c r="Q131" s="24">
        <f>IF($B131="","",MONTH($B131))</f>
        <v/>
      </c>
      <c r="R131" s="24">
        <f>IF($B131="","",YEAR($B131))</f>
        <v/>
      </c>
      <c r="S131" s="25">
        <f>IF($B131="","",$B131-WEEKDAY($B131,3))</f>
        <v/>
      </c>
      <c r="T131" s="24">
        <f>IF($B131="",0,IF(COUNTIFS($B$5:$B131,$B131,$D$5:$D131,$D131)=1,1,0))</f>
        <v/>
      </c>
      <c r="U131" s="24">
        <f>IF($B131="",0,IF(COUNTIFS($B$5:$B131,$B131,$C$5:$C131,$C131)=1,1,0))</f>
        <v/>
      </c>
      <c r="V131" s="24">
        <f>IF(OR($B131="",$G131="",$G131="لا توجد مشاهدات"),0,1)</f>
        <v/>
      </c>
      <c r="W131" s="24">
        <f>IF(AND($B131&lt;&gt;"",$I131="تم تحرير مخالفة"),1,0)</f>
        <v/>
      </c>
      <c r="X131" s="24">
        <f>IF($B131="","",IF($S131=WkStart,COUNTIF($S$5:$S131,WkStart),""))</f>
        <v/>
      </c>
    </row>
    <row r="132">
      <c r="A132" s="16">
        <f>IF($B132="","",ROW()-4)</f>
        <v/>
      </c>
      <c r="B132" s="17" t="n"/>
      <c r="C132" s="18" t="n"/>
      <c r="D132" s="18" t="n"/>
      <c r="E132" s="19" t="n"/>
      <c r="F132" s="19" t="n"/>
      <c r="G132" s="18" t="n"/>
      <c r="H132" s="18" t="n"/>
      <c r="I132" s="18" t="n"/>
      <c r="J132" s="20" t="n"/>
      <c r="K132" s="21" t="n"/>
      <c r="L132" s="21" t="n"/>
      <c r="M132" s="18" t="n"/>
      <c r="N132" s="22">
        <f>IF($B132="","",CHOOSE(WEEKDAY($B132),"الأحد","الاثنين","الثلاثاء","الأربعاء","الخميس","الجمعة","السبت"))</f>
        <v/>
      </c>
      <c r="O132" s="23">
        <f>IF(OR($K132="",$L132=""),"",HYPERLINK("https://maps.google.com/?q="&amp;$K132&amp;","&amp;$L132,"عرض الموقع"))</f>
        <v/>
      </c>
      <c r="P132" s="23">
        <f>IF(OR($B132="",N($J132)=0),"",HYPERLINK(PhotoDir&amp;"/"&amp;YEAR($B132)&amp;"-"&amp;TEXT(MONTH($B132),"00")&amp;"-"&amp;TEXT(DAY($B132),"00")&amp;"_"&amp;$D132,"فتح الصور ("&amp;$J132&amp;")"))</f>
        <v/>
      </c>
      <c r="Q132" s="24">
        <f>IF($B132="","",MONTH($B132))</f>
        <v/>
      </c>
      <c r="R132" s="24">
        <f>IF($B132="","",YEAR($B132))</f>
        <v/>
      </c>
      <c r="S132" s="25">
        <f>IF($B132="","",$B132-WEEKDAY($B132,3))</f>
        <v/>
      </c>
      <c r="T132" s="24">
        <f>IF($B132="",0,IF(COUNTIFS($B$5:$B132,$B132,$D$5:$D132,$D132)=1,1,0))</f>
        <v/>
      </c>
      <c r="U132" s="24">
        <f>IF($B132="",0,IF(COUNTIFS($B$5:$B132,$B132,$C$5:$C132,$C132)=1,1,0))</f>
        <v/>
      </c>
      <c r="V132" s="24">
        <f>IF(OR($B132="",$G132="",$G132="لا توجد مشاهدات"),0,1)</f>
        <v/>
      </c>
      <c r="W132" s="24">
        <f>IF(AND($B132&lt;&gt;"",$I132="تم تحرير مخالفة"),1,0)</f>
        <v/>
      </c>
      <c r="X132" s="24">
        <f>IF($B132="","",IF($S132=WkStart,COUNTIF($S$5:$S132,WkStart),""))</f>
        <v/>
      </c>
    </row>
    <row r="133">
      <c r="A133" s="16">
        <f>IF($B133="","",ROW()-4)</f>
        <v/>
      </c>
      <c r="B133" s="17" t="n"/>
      <c r="C133" s="18" t="n"/>
      <c r="D133" s="18" t="n"/>
      <c r="E133" s="19" t="n"/>
      <c r="F133" s="19" t="n"/>
      <c r="G133" s="18" t="n"/>
      <c r="H133" s="18" t="n"/>
      <c r="I133" s="18" t="n"/>
      <c r="J133" s="20" t="n"/>
      <c r="K133" s="21" t="n"/>
      <c r="L133" s="21" t="n"/>
      <c r="M133" s="18" t="n"/>
      <c r="N133" s="22">
        <f>IF($B133="","",CHOOSE(WEEKDAY($B133),"الأحد","الاثنين","الثلاثاء","الأربعاء","الخميس","الجمعة","السبت"))</f>
        <v/>
      </c>
      <c r="O133" s="23">
        <f>IF(OR($K133="",$L133=""),"",HYPERLINK("https://maps.google.com/?q="&amp;$K133&amp;","&amp;$L133,"عرض الموقع"))</f>
        <v/>
      </c>
      <c r="P133" s="23">
        <f>IF(OR($B133="",N($J133)=0),"",HYPERLINK(PhotoDir&amp;"/"&amp;YEAR($B133)&amp;"-"&amp;TEXT(MONTH($B133),"00")&amp;"-"&amp;TEXT(DAY($B133),"00")&amp;"_"&amp;$D133,"فتح الصور ("&amp;$J133&amp;")"))</f>
        <v/>
      </c>
      <c r="Q133" s="24">
        <f>IF($B133="","",MONTH($B133))</f>
        <v/>
      </c>
      <c r="R133" s="24">
        <f>IF($B133="","",YEAR($B133))</f>
        <v/>
      </c>
      <c r="S133" s="25">
        <f>IF($B133="","",$B133-WEEKDAY($B133,3))</f>
        <v/>
      </c>
      <c r="T133" s="24">
        <f>IF($B133="",0,IF(COUNTIFS($B$5:$B133,$B133,$D$5:$D133,$D133)=1,1,0))</f>
        <v/>
      </c>
      <c r="U133" s="24">
        <f>IF($B133="",0,IF(COUNTIFS($B$5:$B133,$B133,$C$5:$C133,$C133)=1,1,0))</f>
        <v/>
      </c>
      <c r="V133" s="24">
        <f>IF(OR($B133="",$G133="",$G133="لا توجد مشاهدات"),0,1)</f>
        <v/>
      </c>
      <c r="W133" s="24">
        <f>IF(AND($B133&lt;&gt;"",$I133="تم تحرير مخالفة"),1,0)</f>
        <v/>
      </c>
      <c r="X133" s="24">
        <f>IF($B133="","",IF($S133=WkStart,COUNTIF($S$5:$S133,WkStart),""))</f>
        <v/>
      </c>
    </row>
    <row r="134">
      <c r="A134" s="16">
        <f>IF($B134="","",ROW()-4)</f>
        <v/>
      </c>
      <c r="B134" s="17" t="n"/>
      <c r="C134" s="18" t="n"/>
      <c r="D134" s="18" t="n"/>
      <c r="E134" s="19" t="n"/>
      <c r="F134" s="19" t="n"/>
      <c r="G134" s="18" t="n"/>
      <c r="H134" s="18" t="n"/>
      <c r="I134" s="18" t="n"/>
      <c r="J134" s="20" t="n"/>
      <c r="K134" s="21" t="n"/>
      <c r="L134" s="21" t="n"/>
      <c r="M134" s="18" t="n"/>
      <c r="N134" s="22">
        <f>IF($B134="","",CHOOSE(WEEKDAY($B134),"الأحد","الاثنين","الثلاثاء","الأربعاء","الخميس","الجمعة","السبت"))</f>
        <v/>
      </c>
      <c r="O134" s="23">
        <f>IF(OR($K134="",$L134=""),"",HYPERLINK("https://maps.google.com/?q="&amp;$K134&amp;","&amp;$L134,"عرض الموقع"))</f>
        <v/>
      </c>
      <c r="P134" s="23">
        <f>IF(OR($B134="",N($J134)=0),"",HYPERLINK(PhotoDir&amp;"/"&amp;YEAR($B134)&amp;"-"&amp;TEXT(MONTH($B134),"00")&amp;"-"&amp;TEXT(DAY($B134),"00")&amp;"_"&amp;$D134,"فتح الصور ("&amp;$J134&amp;")"))</f>
        <v/>
      </c>
      <c r="Q134" s="24">
        <f>IF($B134="","",MONTH($B134))</f>
        <v/>
      </c>
      <c r="R134" s="24">
        <f>IF($B134="","",YEAR($B134))</f>
        <v/>
      </c>
      <c r="S134" s="25">
        <f>IF($B134="","",$B134-WEEKDAY($B134,3))</f>
        <v/>
      </c>
      <c r="T134" s="24">
        <f>IF($B134="",0,IF(COUNTIFS($B$5:$B134,$B134,$D$5:$D134,$D134)=1,1,0))</f>
        <v/>
      </c>
      <c r="U134" s="24">
        <f>IF($B134="",0,IF(COUNTIFS($B$5:$B134,$B134,$C$5:$C134,$C134)=1,1,0))</f>
        <v/>
      </c>
      <c r="V134" s="24">
        <f>IF(OR($B134="",$G134="",$G134="لا توجد مشاهدات"),0,1)</f>
        <v/>
      </c>
      <c r="W134" s="24">
        <f>IF(AND($B134&lt;&gt;"",$I134="تم تحرير مخالفة"),1,0)</f>
        <v/>
      </c>
      <c r="X134" s="24">
        <f>IF($B134="","",IF($S134=WkStart,COUNTIF($S$5:$S134,WkStart),""))</f>
        <v/>
      </c>
    </row>
    <row r="135">
      <c r="A135" s="16">
        <f>IF($B135="","",ROW()-4)</f>
        <v/>
      </c>
      <c r="B135" s="17" t="n"/>
      <c r="C135" s="18" t="n"/>
      <c r="D135" s="18" t="n"/>
      <c r="E135" s="19" t="n"/>
      <c r="F135" s="19" t="n"/>
      <c r="G135" s="18" t="n"/>
      <c r="H135" s="18" t="n"/>
      <c r="I135" s="18" t="n"/>
      <c r="J135" s="20" t="n"/>
      <c r="K135" s="21" t="n"/>
      <c r="L135" s="21" t="n"/>
      <c r="M135" s="18" t="n"/>
      <c r="N135" s="22">
        <f>IF($B135="","",CHOOSE(WEEKDAY($B135),"الأحد","الاثنين","الثلاثاء","الأربعاء","الخميس","الجمعة","السبت"))</f>
        <v/>
      </c>
      <c r="O135" s="23">
        <f>IF(OR($K135="",$L135=""),"",HYPERLINK("https://maps.google.com/?q="&amp;$K135&amp;","&amp;$L135,"عرض الموقع"))</f>
        <v/>
      </c>
      <c r="P135" s="23">
        <f>IF(OR($B135="",N($J135)=0),"",HYPERLINK(PhotoDir&amp;"/"&amp;YEAR($B135)&amp;"-"&amp;TEXT(MONTH($B135),"00")&amp;"-"&amp;TEXT(DAY($B135),"00")&amp;"_"&amp;$D135,"فتح الصور ("&amp;$J135&amp;")"))</f>
        <v/>
      </c>
      <c r="Q135" s="24">
        <f>IF($B135="","",MONTH($B135))</f>
        <v/>
      </c>
      <c r="R135" s="24">
        <f>IF($B135="","",YEAR($B135))</f>
        <v/>
      </c>
      <c r="S135" s="25">
        <f>IF($B135="","",$B135-WEEKDAY($B135,3))</f>
        <v/>
      </c>
      <c r="T135" s="24">
        <f>IF($B135="",0,IF(COUNTIFS($B$5:$B135,$B135,$D$5:$D135,$D135)=1,1,0))</f>
        <v/>
      </c>
      <c r="U135" s="24">
        <f>IF($B135="",0,IF(COUNTIFS($B$5:$B135,$B135,$C$5:$C135,$C135)=1,1,0))</f>
        <v/>
      </c>
      <c r="V135" s="24">
        <f>IF(OR($B135="",$G135="",$G135="لا توجد مشاهدات"),0,1)</f>
        <v/>
      </c>
      <c r="W135" s="24">
        <f>IF(AND($B135&lt;&gt;"",$I135="تم تحرير مخالفة"),1,0)</f>
        <v/>
      </c>
      <c r="X135" s="24">
        <f>IF($B135="","",IF($S135=WkStart,COUNTIF($S$5:$S135,WkStart),""))</f>
        <v/>
      </c>
    </row>
    <row r="136">
      <c r="A136" s="16">
        <f>IF($B136="","",ROW()-4)</f>
        <v/>
      </c>
      <c r="B136" s="17" t="n"/>
      <c r="C136" s="18" t="n"/>
      <c r="D136" s="18" t="n"/>
      <c r="E136" s="19" t="n"/>
      <c r="F136" s="19" t="n"/>
      <c r="G136" s="18" t="n"/>
      <c r="H136" s="18" t="n"/>
      <c r="I136" s="18" t="n"/>
      <c r="J136" s="20" t="n"/>
      <c r="K136" s="21" t="n"/>
      <c r="L136" s="21" t="n"/>
      <c r="M136" s="18" t="n"/>
      <c r="N136" s="22">
        <f>IF($B136="","",CHOOSE(WEEKDAY($B136),"الأحد","الاثنين","الثلاثاء","الأربعاء","الخميس","الجمعة","السبت"))</f>
        <v/>
      </c>
      <c r="O136" s="23">
        <f>IF(OR($K136="",$L136=""),"",HYPERLINK("https://maps.google.com/?q="&amp;$K136&amp;","&amp;$L136,"عرض الموقع"))</f>
        <v/>
      </c>
      <c r="P136" s="23">
        <f>IF(OR($B136="",N($J136)=0),"",HYPERLINK(PhotoDir&amp;"/"&amp;YEAR($B136)&amp;"-"&amp;TEXT(MONTH($B136),"00")&amp;"-"&amp;TEXT(DAY($B136),"00")&amp;"_"&amp;$D136,"فتح الصور ("&amp;$J136&amp;")"))</f>
        <v/>
      </c>
      <c r="Q136" s="24">
        <f>IF($B136="","",MONTH($B136))</f>
        <v/>
      </c>
      <c r="R136" s="24">
        <f>IF($B136="","",YEAR($B136))</f>
        <v/>
      </c>
      <c r="S136" s="25">
        <f>IF($B136="","",$B136-WEEKDAY($B136,3))</f>
        <v/>
      </c>
      <c r="T136" s="24">
        <f>IF($B136="",0,IF(COUNTIFS($B$5:$B136,$B136,$D$5:$D136,$D136)=1,1,0))</f>
        <v/>
      </c>
      <c r="U136" s="24">
        <f>IF($B136="",0,IF(COUNTIFS($B$5:$B136,$B136,$C$5:$C136,$C136)=1,1,0))</f>
        <v/>
      </c>
      <c r="V136" s="24">
        <f>IF(OR($B136="",$G136="",$G136="لا توجد مشاهدات"),0,1)</f>
        <v/>
      </c>
      <c r="W136" s="24">
        <f>IF(AND($B136&lt;&gt;"",$I136="تم تحرير مخالفة"),1,0)</f>
        <v/>
      </c>
      <c r="X136" s="24">
        <f>IF($B136="","",IF($S136=WkStart,COUNTIF($S$5:$S136,WkStart),""))</f>
        <v/>
      </c>
    </row>
    <row r="137">
      <c r="A137" s="16">
        <f>IF($B137="","",ROW()-4)</f>
        <v/>
      </c>
      <c r="B137" s="17" t="n"/>
      <c r="C137" s="18" t="n"/>
      <c r="D137" s="18" t="n"/>
      <c r="E137" s="19" t="n"/>
      <c r="F137" s="19" t="n"/>
      <c r="G137" s="18" t="n"/>
      <c r="H137" s="18" t="n"/>
      <c r="I137" s="18" t="n"/>
      <c r="J137" s="20" t="n"/>
      <c r="K137" s="21" t="n"/>
      <c r="L137" s="21" t="n"/>
      <c r="M137" s="18" t="n"/>
      <c r="N137" s="22">
        <f>IF($B137="","",CHOOSE(WEEKDAY($B137),"الأحد","الاثنين","الثلاثاء","الأربعاء","الخميس","الجمعة","السبت"))</f>
        <v/>
      </c>
      <c r="O137" s="23">
        <f>IF(OR($K137="",$L137=""),"",HYPERLINK("https://maps.google.com/?q="&amp;$K137&amp;","&amp;$L137,"عرض الموقع"))</f>
        <v/>
      </c>
      <c r="P137" s="23">
        <f>IF(OR($B137="",N($J137)=0),"",HYPERLINK(PhotoDir&amp;"/"&amp;YEAR($B137)&amp;"-"&amp;TEXT(MONTH($B137),"00")&amp;"-"&amp;TEXT(DAY($B137),"00")&amp;"_"&amp;$D137,"فتح الصور ("&amp;$J137&amp;")"))</f>
        <v/>
      </c>
      <c r="Q137" s="24">
        <f>IF($B137="","",MONTH($B137))</f>
        <v/>
      </c>
      <c r="R137" s="24">
        <f>IF($B137="","",YEAR($B137))</f>
        <v/>
      </c>
      <c r="S137" s="25">
        <f>IF($B137="","",$B137-WEEKDAY($B137,3))</f>
        <v/>
      </c>
      <c r="T137" s="24">
        <f>IF($B137="",0,IF(COUNTIFS($B$5:$B137,$B137,$D$5:$D137,$D137)=1,1,0))</f>
        <v/>
      </c>
      <c r="U137" s="24">
        <f>IF($B137="",0,IF(COUNTIFS($B$5:$B137,$B137,$C$5:$C137,$C137)=1,1,0))</f>
        <v/>
      </c>
      <c r="V137" s="24">
        <f>IF(OR($B137="",$G137="",$G137="لا توجد مشاهدات"),0,1)</f>
        <v/>
      </c>
      <c r="W137" s="24">
        <f>IF(AND($B137&lt;&gt;"",$I137="تم تحرير مخالفة"),1,0)</f>
        <v/>
      </c>
      <c r="X137" s="24">
        <f>IF($B137="","",IF($S137=WkStart,COUNTIF($S$5:$S137,WkStart),""))</f>
        <v/>
      </c>
    </row>
    <row r="138">
      <c r="A138" s="16">
        <f>IF($B138="","",ROW()-4)</f>
        <v/>
      </c>
      <c r="B138" s="17" t="n"/>
      <c r="C138" s="18" t="n"/>
      <c r="D138" s="18" t="n"/>
      <c r="E138" s="19" t="n"/>
      <c r="F138" s="19" t="n"/>
      <c r="G138" s="18" t="n"/>
      <c r="H138" s="18" t="n"/>
      <c r="I138" s="18" t="n"/>
      <c r="J138" s="20" t="n"/>
      <c r="K138" s="21" t="n"/>
      <c r="L138" s="21" t="n"/>
      <c r="M138" s="18" t="n"/>
      <c r="N138" s="22">
        <f>IF($B138="","",CHOOSE(WEEKDAY($B138),"الأحد","الاثنين","الثلاثاء","الأربعاء","الخميس","الجمعة","السبت"))</f>
        <v/>
      </c>
      <c r="O138" s="23">
        <f>IF(OR($K138="",$L138=""),"",HYPERLINK("https://maps.google.com/?q="&amp;$K138&amp;","&amp;$L138,"عرض الموقع"))</f>
        <v/>
      </c>
      <c r="P138" s="23">
        <f>IF(OR($B138="",N($J138)=0),"",HYPERLINK(PhotoDir&amp;"/"&amp;YEAR($B138)&amp;"-"&amp;TEXT(MONTH($B138),"00")&amp;"-"&amp;TEXT(DAY($B138),"00")&amp;"_"&amp;$D138,"فتح الصور ("&amp;$J138&amp;")"))</f>
        <v/>
      </c>
      <c r="Q138" s="24">
        <f>IF($B138="","",MONTH($B138))</f>
        <v/>
      </c>
      <c r="R138" s="24">
        <f>IF($B138="","",YEAR($B138))</f>
        <v/>
      </c>
      <c r="S138" s="25">
        <f>IF($B138="","",$B138-WEEKDAY($B138,3))</f>
        <v/>
      </c>
      <c r="T138" s="24">
        <f>IF($B138="",0,IF(COUNTIFS($B$5:$B138,$B138,$D$5:$D138,$D138)=1,1,0))</f>
        <v/>
      </c>
      <c r="U138" s="24">
        <f>IF($B138="",0,IF(COUNTIFS($B$5:$B138,$B138,$C$5:$C138,$C138)=1,1,0))</f>
        <v/>
      </c>
      <c r="V138" s="24">
        <f>IF(OR($B138="",$G138="",$G138="لا توجد مشاهدات"),0,1)</f>
        <v/>
      </c>
      <c r="W138" s="24">
        <f>IF(AND($B138&lt;&gt;"",$I138="تم تحرير مخالفة"),1,0)</f>
        <v/>
      </c>
      <c r="X138" s="24">
        <f>IF($B138="","",IF($S138=WkStart,COUNTIF($S$5:$S138,WkStart),""))</f>
        <v/>
      </c>
    </row>
    <row r="139">
      <c r="A139" s="16">
        <f>IF($B139="","",ROW()-4)</f>
        <v/>
      </c>
      <c r="B139" s="17" t="n"/>
      <c r="C139" s="18" t="n"/>
      <c r="D139" s="18" t="n"/>
      <c r="E139" s="19" t="n"/>
      <c r="F139" s="19" t="n"/>
      <c r="G139" s="18" t="n"/>
      <c r="H139" s="18" t="n"/>
      <c r="I139" s="18" t="n"/>
      <c r="J139" s="20" t="n"/>
      <c r="K139" s="21" t="n"/>
      <c r="L139" s="21" t="n"/>
      <c r="M139" s="18" t="n"/>
      <c r="N139" s="22">
        <f>IF($B139="","",CHOOSE(WEEKDAY($B139),"الأحد","الاثنين","الثلاثاء","الأربعاء","الخميس","الجمعة","السبت"))</f>
        <v/>
      </c>
      <c r="O139" s="23">
        <f>IF(OR($K139="",$L139=""),"",HYPERLINK("https://maps.google.com/?q="&amp;$K139&amp;","&amp;$L139,"عرض الموقع"))</f>
        <v/>
      </c>
      <c r="P139" s="23">
        <f>IF(OR($B139="",N($J139)=0),"",HYPERLINK(PhotoDir&amp;"/"&amp;YEAR($B139)&amp;"-"&amp;TEXT(MONTH($B139),"00")&amp;"-"&amp;TEXT(DAY($B139),"00")&amp;"_"&amp;$D139,"فتح الصور ("&amp;$J139&amp;")"))</f>
        <v/>
      </c>
      <c r="Q139" s="24">
        <f>IF($B139="","",MONTH($B139))</f>
        <v/>
      </c>
      <c r="R139" s="24">
        <f>IF($B139="","",YEAR($B139))</f>
        <v/>
      </c>
      <c r="S139" s="25">
        <f>IF($B139="","",$B139-WEEKDAY($B139,3))</f>
        <v/>
      </c>
      <c r="T139" s="24">
        <f>IF($B139="",0,IF(COUNTIFS($B$5:$B139,$B139,$D$5:$D139,$D139)=1,1,0))</f>
        <v/>
      </c>
      <c r="U139" s="24">
        <f>IF($B139="",0,IF(COUNTIFS($B$5:$B139,$B139,$C$5:$C139,$C139)=1,1,0))</f>
        <v/>
      </c>
      <c r="V139" s="24">
        <f>IF(OR($B139="",$G139="",$G139="لا توجد مشاهدات"),0,1)</f>
        <v/>
      </c>
      <c r="W139" s="24">
        <f>IF(AND($B139&lt;&gt;"",$I139="تم تحرير مخالفة"),1,0)</f>
        <v/>
      </c>
      <c r="X139" s="24">
        <f>IF($B139="","",IF($S139=WkStart,COUNTIF($S$5:$S139,WkStart),""))</f>
        <v/>
      </c>
    </row>
    <row r="140">
      <c r="A140" s="16">
        <f>IF($B140="","",ROW()-4)</f>
        <v/>
      </c>
      <c r="B140" s="17" t="n"/>
      <c r="C140" s="18" t="n"/>
      <c r="D140" s="18" t="n"/>
      <c r="E140" s="19" t="n"/>
      <c r="F140" s="19" t="n"/>
      <c r="G140" s="18" t="n"/>
      <c r="H140" s="18" t="n"/>
      <c r="I140" s="18" t="n"/>
      <c r="J140" s="20" t="n"/>
      <c r="K140" s="21" t="n"/>
      <c r="L140" s="21" t="n"/>
      <c r="M140" s="18" t="n"/>
      <c r="N140" s="22">
        <f>IF($B140="","",CHOOSE(WEEKDAY($B140),"الأحد","الاثنين","الثلاثاء","الأربعاء","الخميس","الجمعة","السبت"))</f>
        <v/>
      </c>
      <c r="O140" s="23">
        <f>IF(OR($K140="",$L140=""),"",HYPERLINK("https://maps.google.com/?q="&amp;$K140&amp;","&amp;$L140,"عرض الموقع"))</f>
        <v/>
      </c>
      <c r="P140" s="23">
        <f>IF(OR($B140="",N($J140)=0),"",HYPERLINK(PhotoDir&amp;"/"&amp;YEAR($B140)&amp;"-"&amp;TEXT(MONTH($B140),"00")&amp;"-"&amp;TEXT(DAY($B140),"00")&amp;"_"&amp;$D140,"فتح الصور ("&amp;$J140&amp;")"))</f>
        <v/>
      </c>
      <c r="Q140" s="24">
        <f>IF($B140="","",MONTH($B140))</f>
        <v/>
      </c>
      <c r="R140" s="24">
        <f>IF($B140="","",YEAR($B140))</f>
        <v/>
      </c>
      <c r="S140" s="25">
        <f>IF($B140="","",$B140-WEEKDAY($B140,3))</f>
        <v/>
      </c>
      <c r="T140" s="24">
        <f>IF($B140="",0,IF(COUNTIFS($B$5:$B140,$B140,$D$5:$D140,$D140)=1,1,0))</f>
        <v/>
      </c>
      <c r="U140" s="24">
        <f>IF($B140="",0,IF(COUNTIFS($B$5:$B140,$B140,$C$5:$C140,$C140)=1,1,0))</f>
        <v/>
      </c>
      <c r="V140" s="24">
        <f>IF(OR($B140="",$G140="",$G140="لا توجد مشاهدات"),0,1)</f>
        <v/>
      </c>
      <c r="W140" s="24">
        <f>IF(AND($B140&lt;&gt;"",$I140="تم تحرير مخالفة"),1,0)</f>
        <v/>
      </c>
      <c r="X140" s="24">
        <f>IF($B140="","",IF($S140=WkStart,COUNTIF($S$5:$S140,WkStart),""))</f>
        <v/>
      </c>
    </row>
    <row r="141">
      <c r="A141" s="16">
        <f>IF($B141="","",ROW()-4)</f>
        <v/>
      </c>
      <c r="B141" s="17" t="n"/>
      <c r="C141" s="18" t="n"/>
      <c r="D141" s="18" t="n"/>
      <c r="E141" s="19" t="n"/>
      <c r="F141" s="19" t="n"/>
      <c r="G141" s="18" t="n"/>
      <c r="H141" s="18" t="n"/>
      <c r="I141" s="18" t="n"/>
      <c r="J141" s="20" t="n"/>
      <c r="K141" s="21" t="n"/>
      <c r="L141" s="21" t="n"/>
      <c r="M141" s="18" t="n"/>
      <c r="N141" s="22">
        <f>IF($B141="","",CHOOSE(WEEKDAY($B141),"الأحد","الاثنين","الثلاثاء","الأربعاء","الخميس","الجمعة","السبت"))</f>
        <v/>
      </c>
      <c r="O141" s="23">
        <f>IF(OR($K141="",$L141=""),"",HYPERLINK("https://maps.google.com/?q="&amp;$K141&amp;","&amp;$L141,"عرض الموقع"))</f>
        <v/>
      </c>
      <c r="P141" s="23">
        <f>IF(OR($B141="",N($J141)=0),"",HYPERLINK(PhotoDir&amp;"/"&amp;YEAR($B141)&amp;"-"&amp;TEXT(MONTH($B141),"00")&amp;"-"&amp;TEXT(DAY($B141),"00")&amp;"_"&amp;$D141,"فتح الصور ("&amp;$J141&amp;")"))</f>
        <v/>
      </c>
      <c r="Q141" s="24">
        <f>IF($B141="","",MONTH($B141))</f>
        <v/>
      </c>
      <c r="R141" s="24">
        <f>IF($B141="","",YEAR($B141))</f>
        <v/>
      </c>
      <c r="S141" s="25">
        <f>IF($B141="","",$B141-WEEKDAY($B141,3))</f>
        <v/>
      </c>
      <c r="T141" s="24">
        <f>IF($B141="",0,IF(COUNTIFS($B$5:$B141,$B141,$D$5:$D141,$D141)=1,1,0))</f>
        <v/>
      </c>
      <c r="U141" s="24">
        <f>IF($B141="",0,IF(COUNTIFS($B$5:$B141,$B141,$C$5:$C141,$C141)=1,1,0))</f>
        <v/>
      </c>
      <c r="V141" s="24">
        <f>IF(OR($B141="",$G141="",$G141="لا توجد مشاهدات"),0,1)</f>
        <v/>
      </c>
      <c r="W141" s="24">
        <f>IF(AND($B141&lt;&gt;"",$I141="تم تحرير مخالفة"),1,0)</f>
        <v/>
      </c>
      <c r="X141" s="24">
        <f>IF($B141="","",IF($S141=WkStart,COUNTIF($S$5:$S141,WkStart),""))</f>
        <v/>
      </c>
    </row>
    <row r="142">
      <c r="A142" s="16">
        <f>IF($B142="","",ROW()-4)</f>
        <v/>
      </c>
      <c r="B142" s="17" t="n"/>
      <c r="C142" s="18" t="n"/>
      <c r="D142" s="18" t="n"/>
      <c r="E142" s="19" t="n"/>
      <c r="F142" s="19" t="n"/>
      <c r="G142" s="18" t="n"/>
      <c r="H142" s="18" t="n"/>
      <c r="I142" s="18" t="n"/>
      <c r="J142" s="20" t="n"/>
      <c r="K142" s="21" t="n"/>
      <c r="L142" s="21" t="n"/>
      <c r="M142" s="18" t="n"/>
      <c r="N142" s="22">
        <f>IF($B142="","",CHOOSE(WEEKDAY($B142),"الأحد","الاثنين","الثلاثاء","الأربعاء","الخميس","الجمعة","السبت"))</f>
        <v/>
      </c>
      <c r="O142" s="23">
        <f>IF(OR($K142="",$L142=""),"",HYPERLINK("https://maps.google.com/?q="&amp;$K142&amp;","&amp;$L142,"عرض الموقع"))</f>
        <v/>
      </c>
      <c r="P142" s="23">
        <f>IF(OR($B142="",N($J142)=0),"",HYPERLINK(PhotoDir&amp;"/"&amp;YEAR($B142)&amp;"-"&amp;TEXT(MONTH($B142),"00")&amp;"-"&amp;TEXT(DAY($B142),"00")&amp;"_"&amp;$D142,"فتح الصور ("&amp;$J142&amp;")"))</f>
        <v/>
      </c>
      <c r="Q142" s="24">
        <f>IF($B142="","",MONTH($B142))</f>
        <v/>
      </c>
      <c r="R142" s="24">
        <f>IF($B142="","",YEAR($B142))</f>
        <v/>
      </c>
      <c r="S142" s="25">
        <f>IF($B142="","",$B142-WEEKDAY($B142,3))</f>
        <v/>
      </c>
      <c r="T142" s="24">
        <f>IF($B142="",0,IF(COUNTIFS($B$5:$B142,$B142,$D$5:$D142,$D142)=1,1,0))</f>
        <v/>
      </c>
      <c r="U142" s="24">
        <f>IF($B142="",0,IF(COUNTIFS($B$5:$B142,$B142,$C$5:$C142,$C142)=1,1,0))</f>
        <v/>
      </c>
      <c r="V142" s="24">
        <f>IF(OR($B142="",$G142="",$G142="لا توجد مشاهدات"),0,1)</f>
        <v/>
      </c>
      <c r="W142" s="24">
        <f>IF(AND($B142&lt;&gt;"",$I142="تم تحرير مخالفة"),1,0)</f>
        <v/>
      </c>
      <c r="X142" s="24">
        <f>IF($B142="","",IF($S142=WkStart,COUNTIF($S$5:$S142,WkStart),""))</f>
        <v/>
      </c>
    </row>
    <row r="143">
      <c r="A143" s="16">
        <f>IF($B143="","",ROW()-4)</f>
        <v/>
      </c>
      <c r="B143" s="17" t="n"/>
      <c r="C143" s="18" t="n"/>
      <c r="D143" s="18" t="n"/>
      <c r="E143" s="19" t="n"/>
      <c r="F143" s="19" t="n"/>
      <c r="G143" s="18" t="n"/>
      <c r="H143" s="18" t="n"/>
      <c r="I143" s="18" t="n"/>
      <c r="J143" s="20" t="n"/>
      <c r="K143" s="21" t="n"/>
      <c r="L143" s="21" t="n"/>
      <c r="M143" s="18" t="n"/>
      <c r="N143" s="22">
        <f>IF($B143="","",CHOOSE(WEEKDAY($B143),"الأحد","الاثنين","الثلاثاء","الأربعاء","الخميس","الجمعة","السبت"))</f>
        <v/>
      </c>
      <c r="O143" s="23">
        <f>IF(OR($K143="",$L143=""),"",HYPERLINK("https://maps.google.com/?q="&amp;$K143&amp;","&amp;$L143,"عرض الموقع"))</f>
        <v/>
      </c>
      <c r="P143" s="23">
        <f>IF(OR($B143="",N($J143)=0),"",HYPERLINK(PhotoDir&amp;"/"&amp;YEAR($B143)&amp;"-"&amp;TEXT(MONTH($B143),"00")&amp;"-"&amp;TEXT(DAY($B143),"00")&amp;"_"&amp;$D143,"فتح الصور ("&amp;$J143&amp;")"))</f>
        <v/>
      </c>
      <c r="Q143" s="24">
        <f>IF($B143="","",MONTH($B143))</f>
        <v/>
      </c>
      <c r="R143" s="24">
        <f>IF($B143="","",YEAR($B143))</f>
        <v/>
      </c>
      <c r="S143" s="25">
        <f>IF($B143="","",$B143-WEEKDAY($B143,3))</f>
        <v/>
      </c>
      <c r="T143" s="24">
        <f>IF($B143="",0,IF(COUNTIFS($B$5:$B143,$B143,$D$5:$D143,$D143)=1,1,0))</f>
        <v/>
      </c>
      <c r="U143" s="24">
        <f>IF($B143="",0,IF(COUNTIFS($B$5:$B143,$B143,$C$5:$C143,$C143)=1,1,0))</f>
        <v/>
      </c>
      <c r="V143" s="24">
        <f>IF(OR($B143="",$G143="",$G143="لا توجد مشاهدات"),0,1)</f>
        <v/>
      </c>
      <c r="W143" s="24">
        <f>IF(AND($B143&lt;&gt;"",$I143="تم تحرير مخالفة"),1,0)</f>
        <v/>
      </c>
      <c r="X143" s="24">
        <f>IF($B143="","",IF($S143=WkStart,COUNTIF($S$5:$S143,WkStart),""))</f>
        <v/>
      </c>
    </row>
    <row r="144">
      <c r="A144" s="16">
        <f>IF($B144="","",ROW()-4)</f>
        <v/>
      </c>
      <c r="B144" s="17" t="n"/>
      <c r="C144" s="18" t="n"/>
      <c r="D144" s="18" t="n"/>
      <c r="E144" s="19" t="n"/>
      <c r="F144" s="19" t="n"/>
      <c r="G144" s="18" t="n"/>
      <c r="H144" s="18" t="n"/>
      <c r="I144" s="18" t="n"/>
      <c r="J144" s="20" t="n"/>
      <c r="K144" s="21" t="n"/>
      <c r="L144" s="21" t="n"/>
      <c r="M144" s="18" t="n"/>
      <c r="N144" s="22">
        <f>IF($B144="","",CHOOSE(WEEKDAY($B144),"الأحد","الاثنين","الثلاثاء","الأربعاء","الخميس","الجمعة","السبت"))</f>
        <v/>
      </c>
      <c r="O144" s="23">
        <f>IF(OR($K144="",$L144=""),"",HYPERLINK("https://maps.google.com/?q="&amp;$K144&amp;","&amp;$L144,"عرض الموقع"))</f>
        <v/>
      </c>
      <c r="P144" s="23">
        <f>IF(OR($B144="",N($J144)=0),"",HYPERLINK(PhotoDir&amp;"/"&amp;YEAR($B144)&amp;"-"&amp;TEXT(MONTH($B144),"00")&amp;"-"&amp;TEXT(DAY($B144),"00")&amp;"_"&amp;$D144,"فتح الصور ("&amp;$J144&amp;")"))</f>
        <v/>
      </c>
      <c r="Q144" s="24">
        <f>IF($B144="","",MONTH($B144))</f>
        <v/>
      </c>
      <c r="R144" s="24">
        <f>IF($B144="","",YEAR($B144))</f>
        <v/>
      </c>
      <c r="S144" s="25">
        <f>IF($B144="","",$B144-WEEKDAY($B144,3))</f>
        <v/>
      </c>
      <c r="T144" s="24">
        <f>IF($B144="",0,IF(COUNTIFS($B$5:$B144,$B144,$D$5:$D144,$D144)=1,1,0))</f>
        <v/>
      </c>
      <c r="U144" s="24">
        <f>IF($B144="",0,IF(COUNTIFS($B$5:$B144,$B144,$C$5:$C144,$C144)=1,1,0))</f>
        <v/>
      </c>
      <c r="V144" s="24">
        <f>IF(OR($B144="",$G144="",$G144="لا توجد مشاهدات"),0,1)</f>
        <v/>
      </c>
      <c r="W144" s="24">
        <f>IF(AND($B144&lt;&gt;"",$I144="تم تحرير مخالفة"),1,0)</f>
        <v/>
      </c>
      <c r="X144" s="24">
        <f>IF($B144="","",IF($S144=WkStart,COUNTIF($S$5:$S144,WkStart),""))</f>
        <v/>
      </c>
    </row>
    <row r="145">
      <c r="A145" s="16">
        <f>IF($B145="","",ROW()-4)</f>
        <v/>
      </c>
      <c r="B145" s="17" t="n"/>
      <c r="C145" s="18" t="n"/>
      <c r="D145" s="18" t="n"/>
      <c r="E145" s="19" t="n"/>
      <c r="F145" s="19" t="n"/>
      <c r="G145" s="18" t="n"/>
      <c r="H145" s="18" t="n"/>
      <c r="I145" s="18" t="n"/>
      <c r="J145" s="20" t="n"/>
      <c r="K145" s="21" t="n"/>
      <c r="L145" s="21" t="n"/>
      <c r="M145" s="18" t="n"/>
      <c r="N145" s="22">
        <f>IF($B145="","",CHOOSE(WEEKDAY($B145),"الأحد","الاثنين","الثلاثاء","الأربعاء","الخميس","الجمعة","السبت"))</f>
        <v/>
      </c>
      <c r="O145" s="23">
        <f>IF(OR($K145="",$L145=""),"",HYPERLINK("https://maps.google.com/?q="&amp;$K145&amp;","&amp;$L145,"عرض الموقع"))</f>
        <v/>
      </c>
      <c r="P145" s="23">
        <f>IF(OR($B145="",N($J145)=0),"",HYPERLINK(PhotoDir&amp;"/"&amp;YEAR($B145)&amp;"-"&amp;TEXT(MONTH($B145),"00")&amp;"-"&amp;TEXT(DAY($B145),"00")&amp;"_"&amp;$D145,"فتح الصور ("&amp;$J145&amp;")"))</f>
        <v/>
      </c>
      <c r="Q145" s="24">
        <f>IF($B145="","",MONTH($B145))</f>
        <v/>
      </c>
      <c r="R145" s="24">
        <f>IF($B145="","",YEAR($B145))</f>
        <v/>
      </c>
      <c r="S145" s="25">
        <f>IF($B145="","",$B145-WEEKDAY($B145,3))</f>
        <v/>
      </c>
      <c r="T145" s="24">
        <f>IF($B145="",0,IF(COUNTIFS($B$5:$B145,$B145,$D$5:$D145,$D145)=1,1,0))</f>
        <v/>
      </c>
      <c r="U145" s="24">
        <f>IF($B145="",0,IF(COUNTIFS($B$5:$B145,$B145,$C$5:$C145,$C145)=1,1,0))</f>
        <v/>
      </c>
      <c r="V145" s="24">
        <f>IF(OR($B145="",$G145="",$G145="لا توجد مشاهدات"),0,1)</f>
        <v/>
      </c>
      <c r="W145" s="24">
        <f>IF(AND($B145&lt;&gt;"",$I145="تم تحرير مخالفة"),1,0)</f>
        <v/>
      </c>
      <c r="X145" s="24">
        <f>IF($B145="","",IF($S145=WkStart,COUNTIF($S$5:$S145,WkStart),""))</f>
        <v/>
      </c>
    </row>
    <row r="146">
      <c r="A146" s="16">
        <f>IF($B146="","",ROW()-4)</f>
        <v/>
      </c>
      <c r="B146" s="17" t="n"/>
      <c r="C146" s="18" t="n"/>
      <c r="D146" s="18" t="n"/>
      <c r="E146" s="19" t="n"/>
      <c r="F146" s="19" t="n"/>
      <c r="G146" s="18" t="n"/>
      <c r="H146" s="18" t="n"/>
      <c r="I146" s="18" t="n"/>
      <c r="J146" s="20" t="n"/>
      <c r="K146" s="21" t="n"/>
      <c r="L146" s="21" t="n"/>
      <c r="M146" s="18" t="n"/>
      <c r="N146" s="22">
        <f>IF($B146="","",CHOOSE(WEEKDAY($B146),"الأحد","الاثنين","الثلاثاء","الأربعاء","الخميس","الجمعة","السبت"))</f>
        <v/>
      </c>
      <c r="O146" s="23">
        <f>IF(OR($K146="",$L146=""),"",HYPERLINK("https://maps.google.com/?q="&amp;$K146&amp;","&amp;$L146,"عرض الموقع"))</f>
        <v/>
      </c>
      <c r="P146" s="23">
        <f>IF(OR($B146="",N($J146)=0),"",HYPERLINK(PhotoDir&amp;"/"&amp;YEAR($B146)&amp;"-"&amp;TEXT(MONTH($B146),"00")&amp;"-"&amp;TEXT(DAY($B146),"00")&amp;"_"&amp;$D146,"فتح الصور ("&amp;$J146&amp;")"))</f>
        <v/>
      </c>
      <c r="Q146" s="24">
        <f>IF($B146="","",MONTH($B146))</f>
        <v/>
      </c>
      <c r="R146" s="24">
        <f>IF($B146="","",YEAR($B146))</f>
        <v/>
      </c>
      <c r="S146" s="25">
        <f>IF($B146="","",$B146-WEEKDAY($B146,3))</f>
        <v/>
      </c>
      <c r="T146" s="24">
        <f>IF($B146="",0,IF(COUNTIFS($B$5:$B146,$B146,$D$5:$D146,$D146)=1,1,0))</f>
        <v/>
      </c>
      <c r="U146" s="24">
        <f>IF($B146="",0,IF(COUNTIFS($B$5:$B146,$B146,$C$5:$C146,$C146)=1,1,0))</f>
        <v/>
      </c>
      <c r="V146" s="24">
        <f>IF(OR($B146="",$G146="",$G146="لا توجد مشاهدات"),0,1)</f>
        <v/>
      </c>
      <c r="W146" s="24">
        <f>IF(AND($B146&lt;&gt;"",$I146="تم تحرير مخالفة"),1,0)</f>
        <v/>
      </c>
      <c r="X146" s="24">
        <f>IF($B146="","",IF($S146=WkStart,COUNTIF($S$5:$S146,WkStart),""))</f>
        <v/>
      </c>
    </row>
    <row r="147">
      <c r="A147" s="16">
        <f>IF($B147="","",ROW()-4)</f>
        <v/>
      </c>
      <c r="B147" s="17" t="n"/>
      <c r="C147" s="18" t="n"/>
      <c r="D147" s="18" t="n"/>
      <c r="E147" s="19" t="n"/>
      <c r="F147" s="19" t="n"/>
      <c r="G147" s="18" t="n"/>
      <c r="H147" s="18" t="n"/>
      <c r="I147" s="18" t="n"/>
      <c r="J147" s="20" t="n"/>
      <c r="K147" s="21" t="n"/>
      <c r="L147" s="21" t="n"/>
      <c r="M147" s="18" t="n"/>
      <c r="N147" s="22">
        <f>IF($B147="","",CHOOSE(WEEKDAY($B147),"الأحد","الاثنين","الثلاثاء","الأربعاء","الخميس","الجمعة","السبت"))</f>
        <v/>
      </c>
      <c r="O147" s="23">
        <f>IF(OR($K147="",$L147=""),"",HYPERLINK("https://maps.google.com/?q="&amp;$K147&amp;","&amp;$L147,"عرض الموقع"))</f>
        <v/>
      </c>
      <c r="P147" s="23">
        <f>IF(OR($B147="",N($J147)=0),"",HYPERLINK(PhotoDir&amp;"/"&amp;YEAR($B147)&amp;"-"&amp;TEXT(MONTH($B147),"00")&amp;"-"&amp;TEXT(DAY($B147),"00")&amp;"_"&amp;$D147,"فتح الصور ("&amp;$J147&amp;")"))</f>
        <v/>
      </c>
      <c r="Q147" s="24">
        <f>IF($B147="","",MONTH($B147))</f>
        <v/>
      </c>
      <c r="R147" s="24">
        <f>IF($B147="","",YEAR($B147))</f>
        <v/>
      </c>
      <c r="S147" s="25">
        <f>IF($B147="","",$B147-WEEKDAY($B147,3))</f>
        <v/>
      </c>
      <c r="T147" s="24">
        <f>IF($B147="",0,IF(COUNTIFS($B$5:$B147,$B147,$D$5:$D147,$D147)=1,1,0))</f>
        <v/>
      </c>
      <c r="U147" s="24">
        <f>IF($B147="",0,IF(COUNTIFS($B$5:$B147,$B147,$C$5:$C147,$C147)=1,1,0))</f>
        <v/>
      </c>
      <c r="V147" s="24">
        <f>IF(OR($B147="",$G147="",$G147="لا توجد مشاهدات"),0,1)</f>
        <v/>
      </c>
      <c r="W147" s="24">
        <f>IF(AND($B147&lt;&gt;"",$I147="تم تحرير مخالفة"),1,0)</f>
        <v/>
      </c>
      <c r="X147" s="24">
        <f>IF($B147="","",IF($S147=WkStart,COUNTIF($S$5:$S147,WkStart),""))</f>
        <v/>
      </c>
    </row>
    <row r="148">
      <c r="A148" s="16">
        <f>IF($B148="","",ROW()-4)</f>
        <v/>
      </c>
      <c r="B148" s="17" t="n"/>
      <c r="C148" s="18" t="n"/>
      <c r="D148" s="18" t="n"/>
      <c r="E148" s="19" t="n"/>
      <c r="F148" s="19" t="n"/>
      <c r="G148" s="18" t="n"/>
      <c r="H148" s="18" t="n"/>
      <c r="I148" s="18" t="n"/>
      <c r="J148" s="20" t="n"/>
      <c r="K148" s="21" t="n"/>
      <c r="L148" s="21" t="n"/>
      <c r="M148" s="18" t="n"/>
      <c r="N148" s="22">
        <f>IF($B148="","",CHOOSE(WEEKDAY($B148),"الأحد","الاثنين","الثلاثاء","الأربعاء","الخميس","الجمعة","السبت"))</f>
        <v/>
      </c>
      <c r="O148" s="23">
        <f>IF(OR($K148="",$L148=""),"",HYPERLINK("https://maps.google.com/?q="&amp;$K148&amp;","&amp;$L148,"عرض الموقع"))</f>
        <v/>
      </c>
      <c r="P148" s="23">
        <f>IF(OR($B148="",N($J148)=0),"",HYPERLINK(PhotoDir&amp;"/"&amp;YEAR($B148)&amp;"-"&amp;TEXT(MONTH($B148),"00")&amp;"-"&amp;TEXT(DAY($B148),"00")&amp;"_"&amp;$D148,"فتح الصور ("&amp;$J148&amp;")"))</f>
        <v/>
      </c>
      <c r="Q148" s="24">
        <f>IF($B148="","",MONTH($B148))</f>
        <v/>
      </c>
      <c r="R148" s="24">
        <f>IF($B148="","",YEAR($B148))</f>
        <v/>
      </c>
      <c r="S148" s="25">
        <f>IF($B148="","",$B148-WEEKDAY($B148,3))</f>
        <v/>
      </c>
      <c r="T148" s="24">
        <f>IF($B148="",0,IF(COUNTIFS($B$5:$B148,$B148,$D$5:$D148,$D148)=1,1,0))</f>
        <v/>
      </c>
      <c r="U148" s="24">
        <f>IF($B148="",0,IF(COUNTIFS($B$5:$B148,$B148,$C$5:$C148,$C148)=1,1,0))</f>
        <v/>
      </c>
      <c r="V148" s="24">
        <f>IF(OR($B148="",$G148="",$G148="لا توجد مشاهدات"),0,1)</f>
        <v/>
      </c>
      <c r="W148" s="24">
        <f>IF(AND($B148&lt;&gt;"",$I148="تم تحرير مخالفة"),1,0)</f>
        <v/>
      </c>
      <c r="X148" s="24">
        <f>IF($B148="","",IF($S148=WkStart,COUNTIF($S$5:$S148,WkStart),""))</f>
        <v/>
      </c>
    </row>
    <row r="149">
      <c r="A149" s="16">
        <f>IF($B149="","",ROW()-4)</f>
        <v/>
      </c>
      <c r="B149" s="17" t="n"/>
      <c r="C149" s="18" t="n"/>
      <c r="D149" s="18" t="n"/>
      <c r="E149" s="19" t="n"/>
      <c r="F149" s="19" t="n"/>
      <c r="G149" s="18" t="n"/>
      <c r="H149" s="18" t="n"/>
      <c r="I149" s="18" t="n"/>
      <c r="J149" s="20" t="n"/>
      <c r="K149" s="21" t="n"/>
      <c r="L149" s="21" t="n"/>
      <c r="M149" s="18" t="n"/>
      <c r="N149" s="22">
        <f>IF($B149="","",CHOOSE(WEEKDAY($B149),"الأحد","الاثنين","الثلاثاء","الأربعاء","الخميس","الجمعة","السبت"))</f>
        <v/>
      </c>
      <c r="O149" s="23">
        <f>IF(OR($K149="",$L149=""),"",HYPERLINK("https://maps.google.com/?q="&amp;$K149&amp;","&amp;$L149,"عرض الموقع"))</f>
        <v/>
      </c>
      <c r="P149" s="23">
        <f>IF(OR($B149="",N($J149)=0),"",HYPERLINK(PhotoDir&amp;"/"&amp;YEAR($B149)&amp;"-"&amp;TEXT(MONTH($B149),"00")&amp;"-"&amp;TEXT(DAY($B149),"00")&amp;"_"&amp;$D149,"فتح الصور ("&amp;$J149&amp;")"))</f>
        <v/>
      </c>
      <c r="Q149" s="24">
        <f>IF($B149="","",MONTH($B149))</f>
        <v/>
      </c>
      <c r="R149" s="24">
        <f>IF($B149="","",YEAR($B149))</f>
        <v/>
      </c>
      <c r="S149" s="25">
        <f>IF($B149="","",$B149-WEEKDAY($B149,3))</f>
        <v/>
      </c>
      <c r="T149" s="24">
        <f>IF($B149="",0,IF(COUNTIFS($B$5:$B149,$B149,$D$5:$D149,$D149)=1,1,0))</f>
        <v/>
      </c>
      <c r="U149" s="24">
        <f>IF($B149="",0,IF(COUNTIFS($B$5:$B149,$B149,$C$5:$C149,$C149)=1,1,0))</f>
        <v/>
      </c>
      <c r="V149" s="24">
        <f>IF(OR($B149="",$G149="",$G149="لا توجد مشاهدات"),0,1)</f>
        <v/>
      </c>
      <c r="W149" s="24">
        <f>IF(AND($B149&lt;&gt;"",$I149="تم تحرير مخالفة"),1,0)</f>
        <v/>
      </c>
      <c r="X149" s="24">
        <f>IF($B149="","",IF($S149=WkStart,COUNTIF($S$5:$S149,WkStart),""))</f>
        <v/>
      </c>
    </row>
    <row r="150">
      <c r="A150" s="16">
        <f>IF($B150="","",ROW()-4)</f>
        <v/>
      </c>
      <c r="B150" s="17" t="n"/>
      <c r="C150" s="18" t="n"/>
      <c r="D150" s="18" t="n"/>
      <c r="E150" s="19" t="n"/>
      <c r="F150" s="19" t="n"/>
      <c r="G150" s="18" t="n"/>
      <c r="H150" s="18" t="n"/>
      <c r="I150" s="18" t="n"/>
      <c r="J150" s="20" t="n"/>
      <c r="K150" s="21" t="n"/>
      <c r="L150" s="21" t="n"/>
      <c r="M150" s="18" t="n"/>
      <c r="N150" s="22">
        <f>IF($B150="","",CHOOSE(WEEKDAY($B150),"الأحد","الاثنين","الثلاثاء","الأربعاء","الخميس","الجمعة","السبت"))</f>
        <v/>
      </c>
      <c r="O150" s="23">
        <f>IF(OR($K150="",$L150=""),"",HYPERLINK("https://maps.google.com/?q="&amp;$K150&amp;","&amp;$L150,"عرض الموقع"))</f>
        <v/>
      </c>
      <c r="P150" s="23">
        <f>IF(OR($B150="",N($J150)=0),"",HYPERLINK(PhotoDir&amp;"/"&amp;YEAR($B150)&amp;"-"&amp;TEXT(MONTH($B150),"00")&amp;"-"&amp;TEXT(DAY($B150),"00")&amp;"_"&amp;$D150,"فتح الصور ("&amp;$J150&amp;")"))</f>
        <v/>
      </c>
      <c r="Q150" s="24">
        <f>IF($B150="","",MONTH($B150))</f>
        <v/>
      </c>
      <c r="R150" s="24">
        <f>IF($B150="","",YEAR($B150))</f>
        <v/>
      </c>
      <c r="S150" s="25">
        <f>IF($B150="","",$B150-WEEKDAY($B150,3))</f>
        <v/>
      </c>
      <c r="T150" s="24">
        <f>IF($B150="",0,IF(COUNTIFS($B$5:$B150,$B150,$D$5:$D150,$D150)=1,1,0))</f>
        <v/>
      </c>
      <c r="U150" s="24">
        <f>IF($B150="",0,IF(COUNTIFS($B$5:$B150,$B150,$C$5:$C150,$C150)=1,1,0))</f>
        <v/>
      </c>
      <c r="V150" s="24">
        <f>IF(OR($B150="",$G150="",$G150="لا توجد مشاهدات"),0,1)</f>
        <v/>
      </c>
      <c r="W150" s="24">
        <f>IF(AND($B150&lt;&gt;"",$I150="تم تحرير مخالفة"),1,0)</f>
        <v/>
      </c>
      <c r="X150" s="24">
        <f>IF($B150="","",IF($S150=WkStart,COUNTIF($S$5:$S150,WkStart),""))</f>
        <v/>
      </c>
    </row>
    <row r="151">
      <c r="A151" s="16">
        <f>IF($B151="","",ROW()-4)</f>
        <v/>
      </c>
      <c r="B151" s="17" t="n"/>
      <c r="C151" s="18" t="n"/>
      <c r="D151" s="18" t="n"/>
      <c r="E151" s="19" t="n"/>
      <c r="F151" s="19" t="n"/>
      <c r="G151" s="18" t="n"/>
      <c r="H151" s="18" t="n"/>
      <c r="I151" s="18" t="n"/>
      <c r="J151" s="20" t="n"/>
      <c r="K151" s="21" t="n"/>
      <c r="L151" s="21" t="n"/>
      <c r="M151" s="18" t="n"/>
      <c r="N151" s="22">
        <f>IF($B151="","",CHOOSE(WEEKDAY($B151),"الأحد","الاثنين","الثلاثاء","الأربعاء","الخميس","الجمعة","السبت"))</f>
        <v/>
      </c>
      <c r="O151" s="23">
        <f>IF(OR($K151="",$L151=""),"",HYPERLINK("https://maps.google.com/?q="&amp;$K151&amp;","&amp;$L151,"عرض الموقع"))</f>
        <v/>
      </c>
      <c r="P151" s="23">
        <f>IF(OR($B151="",N($J151)=0),"",HYPERLINK(PhotoDir&amp;"/"&amp;YEAR($B151)&amp;"-"&amp;TEXT(MONTH($B151),"00")&amp;"-"&amp;TEXT(DAY($B151),"00")&amp;"_"&amp;$D151,"فتح الصور ("&amp;$J151&amp;")"))</f>
        <v/>
      </c>
      <c r="Q151" s="24">
        <f>IF($B151="","",MONTH($B151))</f>
        <v/>
      </c>
      <c r="R151" s="24">
        <f>IF($B151="","",YEAR($B151))</f>
        <v/>
      </c>
      <c r="S151" s="25">
        <f>IF($B151="","",$B151-WEEKDAY($B151,3))</f>
        <v/>
      </c>
      <c r="T151" s="24">
        <f>IF($B151="",0,IF(COUNTIFS($B$5:$B151,$B151,$D$5:$D151,$D151)=1,1,0))</f>
        <v/>
      </c>
      <c r="U151" s="24">
        <f>IF($B151="",0,IF(COUNTIFS($B$5:$B151,$B151,$C$5:$C151,$C151)=1,1,0))</f>
        <v/>
      </c>
      <c r="V151" s="24">
        <f>IF(OR($B151="",$G151="",$G151="لا توجد مشاهدات"),0,1)</f>
        <v/>
      </c>
      <c r="W151" s="24">
        <f>IF(AND($B151&lt;&gt;"",$I151="تم تحرير مخالفة"),1,0)</f>
        <v/>
      </c>
      <c r="X151" s="24">
        <f>IF($B151="","",IF($S151=WkStart,COUNTIF($S$5:$S151,WkStart),""))</f>
        <v/>
      </c>
    </row>
    <row r="152">
      <c r="A152" s="16">
        <f>IF($B152="","",ROW()-4)</f>
        <v/>
      </c>
      <c r="B152" s="17" t="n"/>
      <c r="C152" s="18" t="n"/>
      <c r="D152" s="18" t="n"/>
      <c r="E152" s="19" t="n"/>
      <c r="F152" s="19" t="n"/>
      <c r="G152" s="18" t="n"/>
      <c r="H152" s="18" t="n"/>
      <c r="I152" s="18" t="n"/>
      <c r="J152" s="20" t="n"/>
      <c r="K152" s="21" t="n"/>
      <c r="L152" s="21" t="n"/>
      <c r="M152" s="18" t="n"/>
      <c r="N152" s="22">
        <f>IF($B152="","",CHOOSE(WEEKDAY($B152),"الأحد","الاثنين","الثلاثاء","الأربعاء","الخميس","الجمعة","السبت"))</f>
        <v/>
      </c>
      <c r="O152" s="23">
        <f>IF(OR($K152="",$L152=""),"",HYPERLINK("https://maps.google.com/?q="&amp;$K152&amp;","&amp;$L152,"عرض الموقع"))</f>
        <v/>
      </c>
      <c r="P152" s="23">
        <f>IF(OR($B152="",N($J152)=0),"",HYPERLINK(PhotoDir&amp;"/"&amp;YEAR($B152)&amp;"-"&amp;TEXT(MONTH($B152),"00")&amp;"-"&amp;TEXT(DAY($B152),"00")&amp;"_"&amp;$D152,"فتح الصور ("&amp;$J152&amp;")"))</f>
        <v/>
      </c>
      <c r="Q152" s="24">
        <f>IF($B152="","",MONTH($B152))</f>
        <v/>
      </c>
      <c r="R152" s="24">
        <f>IF($B152="","",YEAR($B152))</f>
        <v/>
      </c>
      <c r="S152" s="25">
        <f>IF($B152="","",$B152-WEEKDAY($B152,3))</f>
        <v/>
      </c>
      <c r="T152" s="24">
        <f>IF($B152="",0,IF(COUNTIFS($B$5:$B152,$B152,$D$5:$D152,$D152)=1,1,0))</f>
        <v/>
      </c>
      <c r="U152" s="24">
        <f>IF($B152="",0,IF(COUNTIFS($B$5:$B152,$B152,$C$5:$C152,$C152)=1,1,0))</f>
        <v/>
      </c>
      <c r="V152" s="24">
        <f>IF(OR($B152="",$G152="",$G152="لا توجد مشاهدات"),0,1)</f>
        <v/>
      </c>
      <c r="W152" s="24">
        <f>IF(AND($B152&lt;&gt;"",$I152="تم تحرير مخالفة"),1,0)</f>
        <v/>
      </c>
      <c r="X152" s="24">
        <f>IF($B152="","",IF($S152=WkStart,COUNTIF($S$5:$S152,WkStart),""))</f>
        <v/>
      </c>
    </row>
    <row r="153">
      <c r="A153" s="16">
        <f>IF($B153="","",ROW()-4)</f>
        <v/>
      </c>
      <c r="B153" s="17" t="n"/>
      <c r="C153" s="18" t="n"/>
      <c r="D153" s="18" t="n"/>
      <c r="E153" s="19" t="n"/>
      <c r="F153" s="19" t="n"/>
      <c r="G153" s="18" t="n"/>
      <c r="H153" s="18" t="n"/>
      <c r="I153" s="18" t="n"/>
      <c r="J153" s="20" t="n"/>
      <c r="K153" s="21" t="n"/>
      <c r="L153" s="21" t="n"/>
      <c r="M153" s="18" t="n"/>
      <c r="N153" s="22">
        <f>IF($B153="","",CHOOSE(WEEKDAY($B153),"الأحد","الاثنين","الثلاثاء","الأربعاء","الخميس","الجمعة","السبت"))</f>
        <v/>
      </c>
      <c r="O153" s="23">
        <f>IF(OR($K153="",$L153=""),"",HYPERLINK("https://maps.google.com/?q="&amp;$K153&amp;","&amp;$L153,"عرض الموقع"))</f>
        <v/>
      </c>
      <c r="P153" s="23">
        <f>IF(OR($B153="",N($J153)=0),"",HYPERLINK(PhotoDir&amp;"/"&amp;YEAR($B153)&amp;"-"&amp;TEXT(MONTH($B153),"00")&amp;"-"&amp;TEXT(DAY($B153),"00")&amp;"_"&amp;$D153,"فتح الصور ("&amp;$J153&amp;")"))</f>
        <v/>
      </c>
      <c r="Q153" s="24">
        <f>IF($B153="","",MONTH($B153))</f>
        <v/>
      </c>
      <c r="R153" s="24">
        <f>IF($B153="","",YEAR($B153))</f>
        <v/>
      </c>
      <c r="S153" s="25">
        <f>IF($B153="","",$B153-WEEKDAY($B153,3))</f>
        <v/>
      </c>
      <c r="T153" s="24">
        <f>IF($B153="",0,IF(COUNTIFS($B$5:$B153,$B153,$D$5:$D153,$D153)=1,1,0))</f>
        <v/>
      </c>
      <c r="U153" s="24">
        <f>IF($B153="",0,IF(COUNTIFS($B$5:$B153,$B153,$C$5:$C153,$C153)=1,1,0))</f>
        <v/>
      </c>
      <c r="V153" s="24">
        <f>IF(OR($B153="",$G153="",$G153="لا توجد مشاهدات"),0,1)</f>
        <v/>
      </c>
      <c r="W153" s="24">
        <f>IF(AND($B153&lt;&gt;"",$I153="تم تحرير مخالفة"),1,0)</f>
        <v/>
      </c>
      <c r="X153" s="24">
        <f>IF($B153="","",IF($S153=WkStart,COUNTIF($S$5:$S153,WkStart),""))</f>
        <v/>
      </c>
    </row>
    <row r="154">
      <c r="A154" s="16">
        <f>IF($B154="","",ROW()-4)</f>
        <v/>
      </c>
      <c r="B154" s="17" t="n"/>
      <c r="C154" s="18" t="n"/>
      <c r="D154" s="18" t="n"/>
      <c r="E154" s="19" t="n"/>
      <c r="F154" s="19" t="n"/>
      <c r="G154" s="18" t="n"/>
      <c r="H154" s="18" t="n"/>
      <c r="I154" s="18" t="n"/>
      <c r="J154" s="20" t="n"/>
      <c r="K154" s="21" t="n"/>
      <c r="L154" s="21" t="n"/>
      <c r="M154" s="18" t="n"/>
      <c r="N154" s="22">
        <f>IF($B154="","",CHOOSE(WEEKDAY($B154),"الأحد","الاثنين","الثلاثاء","الأربعاء","الخميس","الجمعة","السبت"))</f>
        <v/>
      </c>
      <c r="O154" s="23">
        <f>IF(OR($K154="",$L154=""),"",HYPERLINK("https://maps.google.com/?q="&amp;$K154&amp;","&amp;$L154,"عرض الموقع"))</f>
        <v/>
      </c>
      <c r="P154" s="23">
        <f>IF(OR($B154="",N($J154)=0),"",HYPERLINK(PhotoDir&amp;"/"&amp;YEAR($B154)&amp;"-"&amp;TEXT(MONTH($B154),"00")&amp;"-"&amp;TEXT(DAY($B154),"00")&amp;"_"&amp;$D154,"فتح الصور ("&amp;$J154&amp;")"))</f>
        <v/>
      </c>
      <c r="Q154" s="24">
        <f>IF($B154="","",MONTH($B154))</f>
        <v/>
      </c>
      <c r="R154" s="24">
        <f>IF($B154="","",YEAR($B154))</f>
        <v/>
      </c>
      <c r="S154" s="25">
        <f>IF($B154="","",$B154-WEEKDAY($B154,3))</f>
        <v/>
      </c>
      <c r="T154" s="24">
        <f>IF($B154="",0,IF(COUNTIFS($B$5:$B154,$B154,$D$5:$D154,$D154)=1,1,0))</f>
        <v/>
      </c>
      <c r="U154" s="24">
        <f>IF($B154="",0,IF(COUNTIFS($B$5:$B154,$B154,$C$5:$C154,$C154)=1,1,0))</f>
        <v/>
      </c>
      <c r="V154" s="24">
        <f>IF(OR($B154="",$G154="",$G154="لا توجد مشاهدات"),0,1)</f>
        <v/>
      </c>
      <c r="W154" s="24">
        <f>IF(AND($B154&lt;&gt;"",$I154="تم تحرير مخالفة"),1,0)</f>
        <v/>
      </c>
      <c r="X154" s="24">
        <f>IF($B154="","",IF($S154=WkStart,COUNTIF($S$5:$S154,WkStart),""))</f>
        <v/>
      </c>
    </row>
    <row r="155">
      <c r="A155" s="16">
        <f>IF($B155="","",ROW()-4)</f>
        <v/>
      </c>
      <c r="B155" s="17" t="n"/>
      <c r="C155" s="18" t="n"/>
      <c r="D155" s="18" t="n"/>
      <c r="E155" s="19" t="n"/>
      <c r="F155" s="19" t="n"/>
      <c r="G155" s="18" t="n"/>
      <c r="H155" s="18" t="n"/>
      <c r="I155" s="18" t="n"/>
      <c r="J155" s="20" t="n"/>
      <c r="K155" s="21" t="n"/>
      <c r="L155" s="21" t="n"/>
      <c r="M155" s="18" t="n"/>
      <c r="N155" s="22">
        <f>IF($B155="","",CHOOSE(WEEKDAY($B155),"الأحد","الاثنين","الثلاثاء","الأربعاء","الخميس","الجمعة","السبت"))</f>
        <v/>
      </c>
      <c r="O155" s="23">
        <f>IF(OR($K155="",$L155=""),"",HYPERLINK("https://maps.google.com/?q="&amp;$K155&amp;","&amp;$L155,"عرض الموقع"))</f>
        <v/>
      </c>
      <c r="P155" s="23">
        <f>IF(OR($B155="",N($J155)=0),"",HYPERLINK(PhotoDir&amp;"/"&amp;YEAR($B155)&amp;"-"&amp;TEXT(MONTH($B155),"00")&amp;"-"&amp;TEXT(DAY($B155),"00")&amp;"_"&amp;$D155,"فتح الصور ("&amp;$J155&amp;")"))</f>
        <v/>
      </c>
      <c r="Q155" s="24">
        <f>IF($B155="","",MONTH($B155))</f>
        <v/>
      </c>
      <c r="R155" s="24">
        <f>IF($B155="","",YEAR($B155))</f>
        <v/>
      </c>
      <c r="S155" s="25">
        <f>IF($B155="","",$B155-WEEKDAY($B155,3))</f>
        <v/>
      </c>
      <c r="T155" s="24">
        <f>IF($B155="",0,IF(COUNTIFS($B$5:$B155,$B155,$D$5:$D155,$D155)=1,1,0))</f>
        <v/>
      </c>
      <c r="U155" s="24">
        <f>IF($B155="",0,IF(COUNTIFS($B$5:$B155,$B155,$C$5:$C155,$C155)=1,1,0))</f>
        <v/>
      </c>
      <c r="V155" s="24">
        <f>IF(OR($B155="",$G155="",$G155="لا توجد مشاهدات"),0,1)</f>
        <v/>
      </c>
      <c r="W155" s="24">
        <f>IF(AND($B155&lt;&gt;"",$I155="تم تحرير مخالفة"),1,0)</f>
        <v/>
      </c>
      <c r="X155" s="24">
        <f>IF($B155="","",IF($S155=WkStart,COUNTIF($S$5:$S155,WkStart),""))</f>
        <v/>
      </c>
    </row>
    <row r="156">
      <c r="A156" s="16">
        <f>IF($B156="","",ROW()-4)</f>
        <v/>
      </c>
      <c r="B156" s="17" t="n"/>
      <c r="C156" s="18" t="n"/>
      <c r="D156" s="18" t="n"/>
      <c r="E156" s="19" t="n"/>
      <c r="F156" s="19" t="n"/>
      <c r="G156" s="18" t="n"/>
      <c r="H156" s="18" t="n"/>
      <c r="I156" s="18" t="n"/>
      <c r="J156" s="20" t="n"/>
      <c r="K156" s="21" t="n"/>
      <c r="L156" s="21" t="n"/>
      <c r="M156" s="18" t="n"/>
      <c r="N156" s="22">
        <f>IF($B156="","",CHOOSE(WEEKDAY($B156),"الأحد","الاثنين","الثلاثاء","الأربعاء","الخميس","الجمعة","السبت"))</f>
        <v/>
      </c>
      <c r="O156" s="23">
        <f>IF(OR($K156="",$L156=""),"",HYPERLINK("https://maps.google.com/?q="&amp;$K156&amp;","&amp;$L156,"عرض الموقع"))</f>
        <v/>
      </c>
      <c r="P156" s="23">
        <f>IF(OR($B156="",N($J156)=0),"",HYPERLINK(PhotoDir&amp;"/"&amp;YEAR($B156)&amp;"-"&amp;TEXT(MONTH($B156),"00")&amp;"-"&amp;TEXT(DAY($B156),"00")&amp;"_"&amp;$D156,"فتح الصور ("&amp;$J156&amp;")"))</f>
        <v/>
      </c>
      <c r="Q156" s="24">
        <f>IF($B156="","",MONTH($B156))</f>
        <v/>
      </c>
      <c r="R156" s="24">
        <f>IF($B156="","",YEAR($B156))</f>
        <v/>
      </c>
      <c r="S156" s="25">
        <f>IF($B156="","",$B156-WEEKDAY($B156,3))</f>
        <v/>
      </c>
      <c r="T156" s="24">
        <f>IF($B156="",0,IF(COUNTIFS($B$5:$B156,$B156,$D$5:$D156,$D156)=1,1,0))</f>
        <v/>
      </c>
      <c r="U156" s="24">
        <f>IF($B156="",0,IF(COUNTIFS($B$5:$B156,$B156,$C$5:$C156,$C156)=1,1,0))</f>
        <v/>
      </c>
      <c r="V156" s="24">
        <f>IF(OR($B156="",$G156="",$G156="لا توجد مشاهدات"),0,1)</f>
        <v/>
      </c>
      <c r="W156" s="24">
        <f>IF(AND($B156&lt;&gt;"",$I156="تم تحرير مخالفة"),1,0)</f>
        <v/>
      </c>
      <c r="X156" s="24">
        <f>IF($B156="","",IF($S156=WkStart,COUNTIF($S$5:$S156,WkStart),""))</f>
        <v/>
      </c>
    </row>
    <row r="157">
      <c r="A157" s="16">
        <f>IF($B157="","",ROW()-4)</f>
        <v/>
      </c>
      <c r="B157" s="17" t="n"/>
      <c r="C157" s="18" t="n"/>
      <c r="D157" s="18" t="n"/>
      <c r="E157" s="19" t="n"/>
      <c r="F157" s="19" t="n"/>
      <c r="G157" s="18" t="n"/>
      <c r="H157" s="18" t="n"/>
      <c r="I157" s="18" t="n"/>
      <c r="J157" s="20" t="n"/>
      <c r="K157" s="21" t="n"/>
      <c r="L157" s="21" t="n"/>
      <c r="M157" s="18" t="n"/>
      <c r="N157" s="22">
        <f>IF($B157="","",CHOOSE(WEEKDAY($B157),"الأحد","الاثنين","الثلاثاء","الأربعاء","الخميس","الجمعة","السبت"))</f>
        <v/>
      </c>
      <c r="O157" s="23">
        <f>IF(OR($K157="",$L157=""),"",HYPERLINK("https://maps.google.com/?q="&amp;$K157&amp;","&amp;$L157,"عرض الموقع"))</f>
        <v/>
      </c>
      <c r="P157" s="23">
        <f>IF(OR($B157="",N($J157)=0),"",HYPERLINK(PhotoDir&amp;"/"&amp;YEAR($B157)&amp;"-"&amp;TEXT(MONTH($B157),"00")&amp;"-"&amp;TEXT(DAY($B157),"00")&amp;"_"&amp;$D157,"فتح الصور ("&amp;$J157&amp;")"))</f>
        <v/>
      </c>
      <c r="Q157" s="24">
        <f>IF($B157="","",MONTH($B157))</f>
        <v/>
      </c>
      <c r="R157" s="24">
        <f>IF($B157="","",YEAR($B157))</f>
        <v/>
      </c>
      <c r="S157" s="25">
        <f>IF($B157="","",$B157-WEEKDAY($B157,3))</f>
        <v/>
      </c>
      <c r="T157" s="24">
        <f>IF($B157="",0,IF(COUNTIFS($B$5:$B157,$B157,$D$5:$D157,$D157)=1,1,0))</f>
        <v/>
      </c>
      <c r="U157" s="24">
        <f>IF($B157="",0,IF(COUNTIFS($B$5:$B157,$B157,$C$5:$C157,$C157)=1,1,0))</f>
        <v/>
      </c>
      <c r="V157" s="24">
        <f>IF(OR($B157="",$G157="",$G157="لا توجد مشاهدات"),0,1)</f>
        <v/>
      </c>
      <c r="W157" s="24">
        <f>IF(AND($B157&lt;&gt;"",$I157="تم تحرير مخالفة"),1,0)</f>
        <v/>
      </c>
      <c r="X157" s="24">
        <f>IF($B157="","",IF($S157=WkStart,COUNTIF($S$5:$S157,WkStart),""))</f>
        <v/>
      </c>
    </row>
    <row r="158">
      <c r="A158" s="16">
        <f>IF($B158="","",ROW()-4)</f>
        <v/>
      </c>
      <c r="B158" s="17" t="n"/>
      <c r="C158" s="18" t="n"/>
      <c r="D158" s="18" t="n"/>
      <c r="E158" s="19" t="n"/>
      <c r="F158" s="19" t="n"/>
      <c r="G158" s="18" t="n"/>
      <c r="H158" s="18" t="n"/>
      <c r="I158" s="18" t="n"/>
      <c r="J158" s="20" t="n"/>
      <c r="K158" s="21" t="n"/>
      <c r="L158" s="21" t="n"/>
      <c r="M158" s="18" t="n"/>
      <c r="N158" s="22">
        <f>IF($B158="","",CHOOSE(WEEKDAY($B158),"الأحد","الاثنين","الثلاثاء","الأربعاء","الخميس","الجمعة","السبت"))</f>
        <v/>
      </c>
      <c r="O158" s="23">
        <f>IF(OR($K158="",$L158=""),"",HYPERLINK("https://maps.google.com/?q="&amp;$K158&amp;","&amp;$L158,"عرض الموقع"))</f>
        <v/>
      </c>
      <c r="P158" s="23">
        <f>IF(OR($B158="",N($J158)=0),"",HYPERLINK(PhotoDir&amp;"/"&amp;YEAR($B158)&amp;"-"&amp;TEXT(MONTH($B158),"00")&amp;"-"&amp;TEXT(DAY($B158),"00")&amp;"_"&amp;$D158,"فتح الصور ("&amp;$J158&amp;")"))</f>
        <v/>
      </c>
      <c r="Q158" s="24">
        <f>IF($B158="","",MONTH($B158))</f>
        <v/>
      </c>
      <c r="R158" s="24">
        <f>IF($B158="","",YEAR($B158))</f>
        <v/>
      </c>
      <c r="S158" s="25">
        <f>IF($B158="","",$B158-WEEKDAY($B158,3))</f>
        <v/>
      </c>
      <c r="T158" s="24">
        <f>IF($B158="",0,IF(COUNTIFS($B$5:$B158,$B158,$D$5:$D158,$D158)=1,1,0))</f>
        <v/>
      </c>
      <c r="U158" s="24">
        <f>IF($B158="",0,IF(COUNTIFS($B$5:$B158,$B158,$C$5:$C158,$C158)=1,1,0))</f>
        <v/>
      </c>
      <c r="V158" s="24">
        <f>IF(OR($B158="",$G158="",$G158="لا توجد مشاهدات"),0,1)</f>
        <v/>
      </c>
      <c r="W158" s="24">
        <f>IF(AND($B158&lt;&gt;"",$I158="تم تحرير مخالفة"),1,0)</f>
        <v/>
      </c>
      <c r="X158" s="24">
        <f>IF($B158="","",IF($S158=WkStart,COUNTIF($S$5:$S158,WkStart),""))</f>
        <v/>
      </c>
    </row>
    <row r="159">
      <c r="A159" s="16">
        <f>IF($B159="","",ROW()-4)</f>
        <v/>
      </c>
      <c r="B159" s="17" t="n"/>
      <c r="C159" s="18" t="n"/>
      <c r="D159" s="18" t="n"/>
      <c r="E159" s="19" t="n"/>
      <c r="F159" s="19" t="n"/>
      <c r="G159" s="18" t="n"/>
      <c r="H159" s="18" t="n"/>
      <c r="I159" s="18" t="n"/>
      <c r="J159" s="20" t="n"/>
      <c r="K159" s="21" t="n"/>
      <c r="L159" s="21" t="n"/>
      <c r="M159" s="18" t="n"/>
      <c r="N159" s="22">
        <f>IF($B159="","",CHOOSE(WEEKDAY($B159),"الأحد","الاثنين","الثلاثاء","الأربعاء","الخميس","الجمعة","السبت"))</f>
        <v/>
      </c>
      <c r="O159" s="23">
        <f>IF(OR($K159="",$L159=""),"",HYPERLINK("https://maps.google.com/?q="&amp;$K159&amp;","&amp;$L159,"عرض الموقع"))</f>
        <v/>
      </c>
      <c r="P159" s="23">
        <f>IF(OR($B159="",N($J159)=0),"",HYPERLINK(PhotoDir&amp;"/"&amp;YEAR($B159)&amp;"-"&amp;TEXT(MONTH($B159),"00")&amp;"-"&amp;TEXT(DAY($B159),"00")&amp;"_"&amp;$D159,"فتح الصور ("&amp;$J159&amp;")"))</f>
        <v/>
      </c>
      <c r="Q159" s="24">
        <f>IF($B159="","",MONTH($B159))</f>
        <v/>
      </c>
      <c r="R159" s="24">
        <f>IF($B159="","",YEAR($B159))</f>
        <v/>
      </c>
      <c r="S159" s="25">
        <f>IF($B159="","",$B159-WEEKDAY($B159,3))</f>
        <v/>
      </c>
      <c r="T159" s="24">
        <f>IF($B159="",0,IF(COUNTIFS($B$5:$B159,$B159,$D$5:$D159,$D159)=1,1,0))</f>
        <v/>
      </c>
      <c r="U159" s="24">
        <f>IF($B159="",0,IF(COUNTIFS($B$5:$B159,$B159,$C$5:$C159,$C159)=1,1,0))</f>
        <v/>
      </c>
      <c r="V159" s="24">
        <f>IF(OR($B159="",$G159="",$G159="لا توجد مشاهدات"),0,1)</f>
        <v/>
      </c>
      <c r="W159" s="24">
        <f>IF(AND($B159&lt;&gt;"",$I159="تم تحرير مخالفة"),1,0)</f>
        <v/>
      </c>
      <c r="X159" s="24">
        <f>IF($B159="","",IF($S159=WkStart,COUNTIF($S$5:$S159,WkStart),""))</f>
        <v/>
      </c>
    </row>
    <row r="160">
      <c r="A160" s="16">
        <f>IF($B160="","",ROW()-4)</f>
        <v/>
      </c>
      <c r="B160" s="17" t="n"/>
      <c r="C160" s="18" t="n"/>
      <c r="D160" s="18" t="n"/>
      <c r="E160" s="19" t="n"/>
      <c r="F160" s="19" t="n"/>
      <c r="G160" s="18" t="n"/>
      <c r="H160" s="18" t="n"/>
      <c r="I160" s="18" t="n"/>
      <c r="J160" s="20" t="n"/>
      <c r="K160" s="21" t="n"/>
      <c r="L160" s="21" t="n"/>
      <c r="M160" s="18" t="n"/>
      <c r="N160" s="22">
        <f>IF($B160="","",CHOOSE(WEEKDAY($B160),"الأحد","الاثنين","الثلاثاء","الأربعاء","الخميس","الجمعة","السبت"))</f>
        <v/>
      </c>
      <c r="O160" s="23">
        <f>IF(OR($K160="",$L160=""),"",HYPERLINK("https://maps.google.com/?q="&amp;$K160&amp;","&amp;$L160,"عرض الموقع"))</f>
        <v/>
      </c>
      <c r="P160" s="23">
        <f>IF(OR($B160="",N($J160)=0),"",HYPERLINK(PhotoDir&amp;"/"&amp;YEAR($B160)&amp;"-"&amp;TEXT(MONTH($B160),"00")&amp;"-"&amp;TEXT(DAY($B160),"00")&amp;"_"&amp;$D160,"فتح الصور ("&amp;$J160&amp;")"))</f>
        <v/>
      </c>
      <c r="Q160" s="24">
        <f>IF($B160="","",MONTH($B160))</f>
        <v/>
      </c>
      <c r="R160" s="24">
        <f>IF($B160="","",YEAR($B160))</f>
        <v/>
      </c>
      <c r="S160" s="25">
        <f>IF($B160="","",$B160-WEEKDAY($B160,3))</f>
        <v/>
      </c>
      <c r="T160" s="24">
        <f>IF($B160="",0,IF(COUNTIFS($B$5:$B160,$B160,$D$5:$D160,$D160)=1,1,0))</f>
        <v/>
      </c>
      <c r="U160" s="24">
        <f>IF($B160="",0,IF(COUNTIFS($B$5:$B160,$B160,$C$5:$C160,$C160)=1,1,0))</f>
        <v/>
      </c>
      <c r="V160" s="24">
        <f>IF(OR($B160="",$G160="",$G160="لا توجد مشاهدات"),0,1)</f>
        <v/>
      </c>
      <c r="W160" s="24">
        <f>IF(AND($B160&lt;&gt;"",$I160="تم تحرير مخالفة"),1,0)</f>
        <v/>
      </c>
      <c r="X160" s="24">
        <f>IF($B160="","",IF($S160=WkStart,COUNTIF($S$5:$S160,WkStart),""))</f>
        <v/>
      </c>
    </row>
    <row r="161">
      <c r="A161" s="16">
        <f>IF($B161="","",ROW()-4)</f>
        <v/>
      </c>
      <c r="B161" s="17" t="n"/>
      <c r="C161" s="18" t="n"/>
      <c r="D161" s="18" t="n"/>
      <c r="E161" s="19" t="n"/>
      <c r="F161" s="19" t="n"/>
      <c r="G161" s="18" t="n"/>
      <c r="H161" s="18" t="n"/>
      <c r="I161" s="18" t="n"/>
      <c r="J161" s="20" t="n"/>
      <c r="K161" s="21" t="n"/>
      <c r="L161" s="21" t="n"/>
      <c r="M161" s="18" t="n"/>
      <c r="N161" s="22">
        <f>IF($B161="","",CHOOSE(WEEKDAY($B161),"الأحد","الاثنين","الثلاثاء","الأربعاء","الخميس","الجمعة","السبت"))</f>
        <v/>
      </c>
      <c r="O161" s="23">
        <f>IF(OR($K161="",$L161=""),"",HYPERLINK("https://maps.google.com/?q="&amp;$K161&amp;","&amp;$L161,"عرض الموقع"))</f>
        <v/>
      </c>
      <c r="P161" s="23">
        <f>IF(OR($B161="",N($J161)=0),"",HYPERLINK(PhotoDir&amp;"/"&amp;YEAR($B161)&amp;"-"&amp;TEXT(MONTH($B161),"00")&amp;"-"&amp;TEXT(DAY($B161),"00")&amp;"_"&amp;$D161,"فتح الصور ("&amp;$J161&amp;")"))</f>
        <v/>
      </c>
      <c r="Q161" s="24">
        <f>IF($B161="","",MONTH($B161))</f>
        <v/>
      </c>
      <c r="R161" s="24">
        <f>IF($B161="","",YEAR($B161))</f>
        <v/>
      </c>
      <c r="S161" s="25">
        <f>IF($B161="","",$B161-WEEKDAY($B161,3))</f>
        <v/>
      </c>
      <c r="T161" s="24">
        <f>IF($B161="",0,IF(COUNTIFS($B$5:$B161,$B161,$D$5:$D161,$D161)=1,1,0))</f>
        <v/>
      </c>
      <c r="U161" s="24">
        <f>IF($B161="",0,IF(COUNTIFS($B$5:$B161,$B161,$C$5:$C161,$C161)=1,1,0))</f>
        <v/>
      </c>
      <c r="V161" s="24">
        <f>IF(OR($B161="",$G161="",$G161="لا توجد مشاهدات"),0,1)</f>
        <v/>
      </c>
      <c r="W161" s="24">
        <f>IF(AND($B161&lt;&gt;"",$I161="تم تحرير مخالفة"),1,0)</f>
        <v/>
      </c>
      <c r="X161" s="24">
        <f>IF($B161="","",IF($S161=WkStart,COUNTIF($S$5:$S161,WkStart),""))</f>
        <v/>
      </c>
    </row>
    <row r="162">
      <c r="A162" s="16">
        <f>IF($B162="","",ROW()-4)</f>
        <v/>
      </c>
      <c r="B162" s="17" t="n"/>
      <c r="C162" s="18" t="n"/>
      <c r="D162" s="18" t="n"/>
      <c r="E162" s="19" t="n"/>
      <c r="F162" s="19" t="n"/>
      <c r="G162" s="18" t="n"/>
      <c r="H162" s="18" t="n"/>
      <c r="I162" s="18" t="n"/>
      <c r="J162" s="20" t="n"/>
      <c r="K162" s="21" t="n"/>
      <c r="L162" s="21" t="n"/>
      <c r="M162" s="18" t="n"/>
      <c r="N162" s="22">
        <f>IF($B162="","",CHOOSE(WEEKDAY($B162),"الأحد","الاثنين","الثلاثاء","الأربعاء","الخميس","الجمعة","السبت"))</f>
        <v/>
      </c>
      <c r="O162" s="23">
        <f>IF(OR($K162="",$L162=""),"",HYPERLINK("https://maps.google.com/?q="&amp;$K162&amp;","&amp;$L162,"عرض الموقع"))</f>
        <v/>
      </c>
      <c r="P162" s="23">
        <f>IF(OR($B162="",N($J162)=0),"",HYPERLINK(PhotoDir&amp;"/"&amp;YEAR($B162)&amp;"-"&amp;TEXT(MONTH($B162),"00")&amp;"-"&amp;TEXT(DAY($B162),"00")&amp;"_"&amp;$D162,"فتح الصور ("&amp;$J162&amp;")"))</f>
        <v/>
      </c>
      <c r="Q162" s="24">
        <f>IF($B162="","",MONTH($B162))</f>
        <v/>
      </c>
      <c r="R162" s="24">
        <f>IF($B162="","",YEAR($B162))</f>
        <v/>
      </c>
      <c r="S162" s="25">
        <f>IF($B162="","",$B162-WEEKDAY($B162,3))</f>
        <v/>
      </c>
      <c r="T162" s="24">
        <f>IF($B162="",0,IF(COUNTIFS($B$5:$B162,$B162,$D$5:$D162,$D162)=1,1,0))</f>
        <v/>
      </c>
      <c r="U162" s="24">
        <f>IF($B162="",0,IF(COUNTIFS($B$5:$B162,$B162,$C$5:$C162,$C162)=1,1,0))</f>
        <v/>
      </c>
      <c r="V162" s="24">
        <f>IF(OR($B162="",$G162="",$G162="لا توجد مشاهدات"),0,1)</f>
        <v/>
      </c>
      <c r="W162" s="24">
        <f>IF(AND($B162&lt;&gt;"",$I162="تم تحرير مخالفة"),1,0)</f>
        <v/>
      </c>
      <c r="X162" s="24">
        <f>IF($B162="","",IF($S162=WkStart,COUNTIF($S$5:$S162,WkStart),""))</f>
        <v/>
      </c>
    </row>
    <row r="163">
      <c r="A163" s="16">
        <f>IF($B163="","",ROW()-4)</f>
        <v/>
      </c>
      <c r="B163" s="17" t="n"/>
      <c r="C163" s="18" t="n"/>
      <c r="D163" s="18" t="n"/>
      <c r="E163" s="19" t="n"/>
      <c r="F163" s="19" t="n"/>
      <c r="G163" s="18" t="n"/>
      <c r="H163" s="18" t="n"/>
      <c r="I163" s="18" t="n"/>
      <c r="J163" s="20" t="n"/>
      <c r="K163" s="21" t="n"/>
      <c r="L163" s="21" t="n"/>
      <c r="M163" s="18" t="n"/>
      <c r="N163" s="22">
        <f>IF($B163="","",CHOOSE(WEEKDAY($B163),"الأحد","الاثنين","الثلاثاء","الأربعاء","الخميس","الجمعة","السبت"))</f>
        <v/>
      </c>
      <c r="O163" s="23">
        <f>IF(OR($K163="",$L163=""),"",HYPERLINK("https://maps.google.com/?q="&amp;$K163&amp;","&amp;$L163,"عرض الموقع"))</f>
        <v/>
      </c>
      <c r="P163" s="23">
        <f>IF(OR($B163="",N($J163)=0),"",HYPERLINK(PhotoDir&amp;"/"&amp;YEAR($B163)&amp;"-"&amp;TEXT(MONTH($B163),"00")&amp;"-"&amp;TEXT(DAY($B163),"00")&amp;"_"&amp;$D163,"فتح الصور ("&amp;$J163&amp;")"))</f>
        <v/>
      </c>
      <c r="Q163" s="24">
        <f>IF($B163="","",MONTH($B163))</f>
        <v/>
      </c>
      <c r="R163" s="24">
        <f>IF($B163="","",YEAR($B163))</f>
        <v/>
      </c>
      <c r="S163" s="25">
        <f>IF($B163="","",$B163-WEEKDAY($B163,3))</f>
        <v/>
      </c>
      <c r="T163" s="24">
        <f>IF($B163="",0,IF(COUNTIFS($B$5:$B163,$B163,$D$5:$D163,$D163)=1,1,0))</f>
        <v/>
      </c>
      <c r="U163" s="24">
        <f>IF($B163="",0,IF(COUNTIFS($B$5:$B163,$B163,$C$5:$C163,$C163)=1,1,0))</f>
        <v/>
      </c>
      <c r="V163" s="24">
        <f>IF(OR($B163="",$G163="",$G163="لا توجد مشاهدات"),0,1)</f>
        <v/>
      </c>
      <c r="W163" s="24">
        <f>IF(AND($B163&lt;&gt;"",$I163="تم تحرير مخالفة"),1,0)</f>
        <v/>
      </c>
      <c r="X163" s="24">
        <f>IF($B163="","",IF($S163=WkStart,COUNTIF($S$5:$S163,WkStart),""))</f>
        <v/>
      </c>
    </row>
    <row r="164">
      <c r="A164" s="16">
        <f>IF($B164="","",ROW()-4)</f>
        <v/>
      </c>
      <c r="B164" s="17" t="n"/>
      <c r="C164" s="18" t="n"/>
      <c r="D164" s="18" t="n"/>
      <c r="E164" s="19" t="n"/>
      <c r="F164" s="19" t="n"/>
      <c r="G164" s="18" t="n"/>
      <c r="H164" s="18" t="n"/>
      <c r="I164" s="18" t="n"/>
      <c r="J164" s="20" t="n"/>
      <c r="K164" s="21" t="n"/>
      <c r="L164" s="21" t="n"/>
      <c r="M164" s="18" t="n"/>
      <c r="N164" s="22">
        <f>IF($B164="","",CHOOSE(WEEKDAY($B164),"الأحد","الاثنين","الثلاثاء","الأربعاء","الخميس","الجمعة","السبت"))</f>
        <v/>
      </c>
      <c r="O164" s="23">
        <f>IF(OR($K164="",$L164=""),"",HYPERLINK("https://maps.google.com/?q="&amp;$K164&amp;","&amp;$L164,"عرض الموقع"))</f>
        <v/>
      </c>
      <c r="P164" s="23">
        <f>IF(OR($B164="",N($J164)=0),"",HYPERLINK(PhotoDir&amp;"/"&amp;YEAR($B164)&amp;"-"&amp;TEXT(MONTH($B164),"00")&amp;"-"&amp;TEXT(DAY($B164),"00")&amp;"_"&amp;$D164,"فتح الصور ("&amp;$J164&amp;")"))</f>
        <v/>
      </c>
      <c r="Q164" s="24">
        <f>IF($B164="","",MONTH($B164))</f>
        <v/>
      </c>
      <c r="R164" s="24">
        <f>IF($B164="","",YEAR($B164))</f>
        <v/>
      </c>
      <c r="S164" s="25">
        <f>IF($B164="","",$B164-WEEKDAY($B164,3))</f>
        <v/>
      </c>
      <c r="T164" s="24">
        <f>IF($B164="",0,IF(COUNTIFS($B$5:$B164,$B164,$D$5:$D164,$D164)=1,1,0))</f>
        <v/>
      </c>
      <c r="U164" s="24">
        <f>IF($B164="",0,IF(COUNTIFS($B$5:$B164,$B164,$C$5:$C164,$C164)=1,1,0))</f>
        <v/>
      </c>
      <c r="V164" s="24">
        <f>IF(OR($B164="",$G164="",$G164="لا توجد مشاهدات"),0,1)</f>
        <v/>
      </c>
      <c r="W164" s="24">
        <f>IF(AND($B164&lt;&gt;"",$I164="تم تحرير مخالفة"),1,0)</f>
        <v/>
      </c>
      <c r="X164" s="24">
        <f>IF($B164="","",IF($S164=WkStart,COUNTIF($S$5:$S164,WkStart),""))</f>
        <v/>
      </c>
    </row>
    <row r="165">
      <c r="A165" s="16">
        <f>IF($B165="","",ROW()-4)</f>
        <v/>
      </c>
      <c r="B165" s="17" t="n"/>
      <c r="C165" s="18" t="n"/>
      <c r="D165" s="18" t="n"/>
      <c r="E165" s="19" t="n"/>
      <c r="F165" s="19" t="n"/>
      <c r="G165" s="18" t="n"/>
      <c r="H165" s="18" t="n"/>
      <c r="I165" s="18" t="n"/>
      <c r="J165" s="20" t="n"/>
      <c r="K165" s="21" t="n"/>
      <c r="L165" s="21" t="n"/>
      <c r="M165" s="18" t="n"/>
      <c r="N165" s="22">
        <f>IF($B165="","",CHOOSE(WEEKDAY($B165),"الأحد","الاثنين","الثلاثاء","الأربعاء","الخميس","الجمعة","السبت"))</f>
        <v/>
      </c>
      <c r="O165" s="23">
        <f>IF(OR($K165="",$L165=""),"",HYPERLINK("https://maps.google.com/?q="&amp;$K165&amp;","&amp;$L165,"عرض الموقع"))</f>
        <v/>
      </c>
      <c r="P165" s="23">
        <f>IF(OR($B165="",N($J165)=0),"",HYPERLINK(PhotoDir&amp;"/"&amp;YEAR($B165)&amp;"-"&amp;TEXT(MONTH($B165),"00")&amp;"-"&amp;TEXT(DAY($B165),"00")&amp;"_"&amp;$D165,"فتح الصور ("&amp;$J165&amp;")"))</f>
        <v/>
      </c>
      <c r="Q165" s="24">
        <f>IF($B165="","",MONTH($B165))</f>
        <v/>
      </c>
      <c r="R165" s="24">
        <f>IF($B165="","",YEAR($B165))</f>
        <v/>
      </c>
      <c r="S165" s="25">
        <f>IF($B165="","",$B165-WEEKDAY($B165,3))</f>
        <v/>
      </c>
      <c r="T165" s="24">
        <f>IF($B165="",0,IF(COUNTIFS($B$5:$B165,$B165,$D$5:$D165,$D165)=1,1,0))</f>
        <v/>
      </c>
      <c r="U165" s="24">
        <f>IF($B165="",0,IF(COUNTIFS($B$5:$B165,$B165,$C$5:$C165,$C165)=1,1,0))</f>
        <v/>
      </c>
      <c r="V165" s="24">
        <f>IF(OR($B165="",$G165="",$G165="لا توجد مشاهدات"),0,1)</f>
        <v/>
      </c>
      <c r="W165" s="24">
        <f>IF(AND($B165&lt;&gt;"",$I165="تم تحرير مخالفة"),1,0)</f>
        <v/>
      </c>
      <c r="X165" s="24">
        <f>IF($B165="","",IF($S165=WkStart,COUNTIF($S$5:$S165,WkStart),""))</f>
        <v/>
      </c>
    </row>
    <row r="166">
      <c r="A166" s="16">
        <f>IF($B166="","",ROW()-4)</f>
        <v/>
      </c>
      <c r="B166" s="17" t="n"/>
      <c r="C166" s="18" t="n"/>
      <c r="D166" s="18" t="n"/>
      <c r="E166" s="19" t="n"/>
      <c r="F166" s="19" t="n"/>
      <c r="G166" s="18" t="n"/>
      <c r="H166" s="18" t="n"/>
      <c r="I166" s="18" t="n"/>
      <c r="J166" s="20" t="n"/>
      <c r="K166" s="21" t="n"/>
      <c r="L166" s="21" t="n"/>
      <c r="M166" s="18" t="n"/>
      <c r="N166" s="22">
        <f>IF($B166="","",CHOOSE(WEEKDAY($B166),"الأحد","الاثنين","الثلاثاء","الأربعاء","الخميس","الجمعة","السبت"))</f>
        <v/>
      </c>
      <c r="O166" s="23">
        <f>IF(OR($K166="",$L166=""),"",HYPERLINK("https://maps.google.com/?q="&amp;$K166&amp;","&amp;$L166,"عرض الموقع"))</f>
        <v/>
      </c>
      <c r="P166" s="23">
        <f>IF(OR($B166="",N($J166)=0),"",HYPERLINK(PhotoDir&amp;"/"&amp;YEAR($B166)&amp;"-"&amp;TEXT(MONTH($B166),"00")&amp;"-"&amp;TEXT(DAY($B166),"00")&amp;"_"&amp;$D166,"فتح الصور ("&amp;$J166&amp;")"))</f>
        <v/>
      </c>
      <c r="Q166" s="24">
        <f>IF($B166="","",MONTH($B166))</f>
        <v/>
      </c>
      <c r="R166" s="24">
        <f>IF($B166="","",YEAR($B166))</f>
        <v/>
      </c>
      <c r="S166" s="25">
        <f>IF($B166="","",$B166-WEEKDAY($B166,3))</f>
        <v/>
      </c>
      <c r="T166" s="24">
        <f>IF($B166="",0,IF(COUNTIFS($B$5:$B166,$B166,$D$5:$D166,$D166)=1,1,0))</f>
        <v/>
      </c>
      <c r="U166" s="24">
        <f>IF($B166="",0,IF(COUNTIFS($B$5:$B166,$B166,$C$5:$C166,$C166)=1,1,0))</f>
        <v/>
      </c>
      <c r="V166" s="24">
        <f>IF(OR($B166="",$G166="",$G166="لا توجد مشاهدات"),0,1)</f>
        <v/>
      </c>
      <c r="W166" s="24">
        <f>IF(AND($B166&lt;&gt;"",$I166="تم تحرير مخالفة"),1,0)</f>
        <v/>
      </c>
      <c r="X166" s="24">
        <f>IF($B166="","",IF($S166=WkStart,COUNTIF($S$5:$S166,WkStart),""))</f>
        <v/>
      </c>
    </row>
    <row r="167">
      <c r="A167" s="16">
        <f>IF($B167="","",ROW()-4)</f>
        <v/>
      </c>
      <c r="B167" s="17" t="n"/>
      <c r="C167" s="18" t="n"/>
      <c r="D167" s="18" t="n"/>
      <c r="E167" s="19" t="n"/>
      <c r="F167" s="19" t="n"/>
      <c r="G167" s="18" t="n"/>
      <c r="H167" s="18" t="n"/>
      <c r="I167" s="18" t="n"/>
      <c r="J167" s="20" t="n"/>
      <c r="K167" s="21" t="n"/>
      <c r="L167" s="21" t="n"/>
      <c r="M167" s="18" t="n"/>
      <c r="N167" s="22">
        <f>IF($B167="","",CHOOSE(WEEKDAY($B167),"الأحد","الاثنين","الثلاثاء","الأربعاء","الخميس","الجمعة","السبت"))</f>
        <v/>
      </c>
      <c r="O167" s="23">
        <f>IF(OR($K167="",$L167=""),"",HYPERLINK("https://maps.google.com/?q="&amp;$K167&amp;","&amp;$L167,"عرض الموقع"))</f>
        <v/>
      </c>
      <c r="P167" s="23">
        <f>IF(OR($B167="",N($J167)=0),"",HYPERLINK(PhotoDir&amp;"/"&amp;YEAR($B167)&amp;"-"&amp;TEXT(MONTH($B167),"00")&amp;"-"&amp;TEXT(DAY($B167),"00")&amp;"_"&amp;$D167,"فتح الصور ("&amp;$J167&amp;")"))</f>
        <v/>
      </c>
      <c r="Q167" s="24">
        <f>IF($B167="","",MONTH($B167))</f>
        <v/>
      </c>
      <c r="R167" s="24">
        <f>IF($B167="","",YEAR($B167))</f>
        <v/>
      </c>
      <c r="S167" s="25">
        <f>IF($B167="","",$B167-WEEKDAY($B167,3))</f>
        <v/>
      </c>
      <c r="T167" s="24">
        <f>IF($B167="",0,IF(COUNTIFS($B$5:$B167,$B167,$D$5:$D167,$D167)=1,1,0))</f>
        <v/>
      </c>
      <c r="U167" s="24">
        <f>IF($B167="",0,IF(COUNTIFS($B$5:$B167,$B167,$C$5:$C167,$C167)=1,1,0))</f>
        <v/>
      </c>
      <c r="V167" s="24">
        <f>IF(OR($B167="",$G167="",$G167="لا توجد مشاهدات"),0,1)</f>
        <v/>
      </c>
      <c r="W167" s="24">
        <f>IF(AND($B167&lt;&gt;"",$I167="تم تحرير مخالفة"),1,0)</f>
        <v/>
      </c>
      <c r="X167" s="24">
        <f>IF($B167="","",IF($S167=WkStart,COUNTIF($S$5:$S167,WkStart),""))</f>
        <v/>
      </c>
    </row>
    <row r="168">
      <c r="A168" s="16">
        <f>IF($B168="","",ROW()-4)</f>
        <v/>
      </c>
      <c r="B168" s="17" t="n"/>
      <c r="C168" s="18" t="n"/>
      <c r="D168" s="18" t="n"/>
      <c r="E168" s="19" t="n"/>
      <c r="F168" s="19" t="n"/>
      <c r="G168" s="18" t="n"/>
      <c r="H168" s="18" t="n"/>
      <c r="I168" s="18" t="n"/>
      <c r="J168" s="20" t="n"/>
      <c r="K168" s="21" t="n"/>
      <c r="L168" s="21" t="n"/>
      <c r="M168" s="18" t="n"/>
      <c r="N168" s="22">
        <f>IF($B168="","",CHOOSE(WEEKDAY($B168),"الأحد","الاثنين","الثلاثاء","الأربعاء","الخميس","الجمعة","السبت"))</f>
        <v/>
      </c>
      <c r="O168" s="23">
        <f>IF(OR($K168="",$L168=""),"",HYPERLINK("https://maps.google.com/?q="&amp;$K168&amp;","&amp;$L168,"عرض الموقع"))</f>
        <v/>
      </c>
      <c r="P168" s="23">
        <f>IF(OR($B168="",N($J168)=0),"",HYPERLINK(PhotoDir&amp;"/"&amp;YEAR($B168)&amp;"-"&amp;TEXT(MONTH($B168),"00")&amp;"-"&amp;TEXT(DAY($B168),"00")&amp;"_"&amp;$D168,"فتح الصور ("&amp;$J168&amp;")"))</f>
        <v/>
      </c>
      <c r="Q168" s="24">
        <f>IF($B168="","",MONTH($B168))</f>
        <v/>
      </c>
      <c r="R168" s="24">
        <f>IF($B168="","",YEAR($B168))</f>
        <v/>
      </c>
      <c r="S168" s="25">
        <f>IF($B168="","",$B168-WEEKDAY($B168,3))</f>
        <v/>
      </c>
      <c r="T168" s="24">
        <f>IF($B168="",0,IF(COUNTIFS($B$5:$B168,$B168,$D$5:$D168,$D168)=1,1,0))</f>
        <v/>
      </c>
      <c r="U168" s="24">
        <f>IF($B168="",0,IF(COUNTIFS($B$5:$B168,$B168,$C$5:$C168,$C168)=1,1,0))</f>
        <v/>
      </c>
      <c r="V168" s="24">
        <f>IF(OR($B168="",$G168="",$G168="لا توجد مشاهدات"),0,1)</f>
        <v/>
      </c>
      <c r="W168" s="24">
        <f>IF(AND($B168&lt;&gt;"",$I168="تم تحرير مخالفة"),1,0)</f>
        <v/>
      </c>
      <c r="X168" s="24">
        <f>IF($B168="","",IF($S168=WkStart,COUNTIF($S$5:$S168,WkStart),""))</f>
        <v/>
      </c>
    </row>
    <row r="169">
      <c r="A169" s="16">
        <f>IF($B169="","",ROW()-4)</f>
        <v/>
      </c>
      <c r="B169" s="17" t="n"/>
      <c r="C169" s="18" t="n"/>
      <c r="D169" s="18" t="n"/>
      <c r="E169" s="19" t="n"/>
      <c r="F169" s="19" t="n"/>
      <c r="G169" s="18" t="n"/>
      <c r="H169" s="18" t="n"/>
      <c r="I169" s="18" t="n"/>
      <c r="J169" s="20" t="n"/>
      <c r="K169" s="21" t="n"/>
      <c r="L169" s="21" t="n"/>
      <c r="M169" s="18" t="n"/>
      <c r="N169" s="22">
        <f>IF($B169="","",CHOOSE(WEEKDAY($B169),"الأحد","الاثنين","الثلاثاء","الأربعاء","الخميس","الجمعة","السبت"))</f>
        <v/>
      </c>
      <c r="O169" s="23">
        <f>IF(OR($K169="",$L169=""),"",HYPERLINK("https://maps.google.com/?q="&amp;$K169&amp;","&amp;$L169,"عرض الموقع"))</f>
        <v/>
      </c>
      <c r="P169" s="23">
        <f>IF(OR($B169="",N($J169)=0),"",HYPERLINK(PhotoDir&amp;"/"&amp;YEAR($B169)&amp;"-"&amp;TEXT(MONTH($B169),"00")&amp;"-"&amp;TEXT(DAY($B169),"00")&amp;"_"&amp;$D169,"فتح الصور ("&amp;$J169&amp;")"))</f>
        <v/>
      </c>
      <c r="Q169" s="24">
        <f>IF($B169="","",MONTH($B169))</f>
        <v/>
      </c>
      <c r="R169" s="24">
        <f>IF($B169="","",YEAR($B169))</f>
        <v/>
      </c>
      <c r="S169" s="25">
        <f>IF($B169="","",$B169-WEEKDAY($B169,3))</f>
        <v/>
      </c>
      <c r="T169" s="24">
        <f>IF($B169="",0,IF(COUNTIFS($B$5:$B169,$B169,$D$5:$D169,$D169)=1,1,0))</f>
        <v/>
      </c>
      <c r="U169" s="24">
        <f>IF($B169="",0,IF(COUNTIFS($B$5:$B169,$B169,$C$5:$C169,$C169)=1,1,0))</f>
        <v/>
      </c>
      <c r="V169" s="24">
        <f>IF(OR($B169="",$G169="",$G169="لا توجد مشاهدات"),0,1)</f>
        <v/>
      </c>
      <c r="W169" s="24">
        <f>IF(AND($B169&lt;&gt;"",$I169="تم تحرير مخالفة"),1,0)</f>
        <v/>
      </c>
      <c r="X169" s="24">
        <f>IF($B169="","",IF($S169=WkStart,COUNTIF($S$5:$S169,WkStart),""))</f>
        <v/>
      </c>
    </row>
    <row r="170">
      <c r="A170" s="16">
        <f>IF($B170="","",ROW()-4)</f>
        <v/>
      </c>
      <c r="B170" s="17" t="n"/>
      <c r="C170" s="18" t="n"/>
      <c r="D170" s="18" t="n"/>
      <c r="E170" s="19" t="n"/>
      <c r="F170" s="19" t="n"/>
      <c r="G170" s="18" t="n"/>
      <c r="H170" s="18" t="n"/>
      <c r="I170" s="18" t="n"/>
      <c r="J170" s="20" t="n"/>
      <c r="K170" s="21" t="n"/>
      <c r="L170" s="21" t="n"/>
      <c r="M170" s="18" t="n"/>
      <c r="N170" s="22">
        <f>IF($B170="","",CHOOSE(WEEKDAY($B170),"الأحد","الاثنين","الثلاثاء","الأربعاء","الخميس","الجمعة","السبت"))</f>
        <v/>
      </c>
      <c r="O170" s="23">
        <f>IF(OR($K170="",$L170=""),"",HYPERLINK("https://maps.google.com/?q="&amp;$K170&amp;","&amp;$L170,"عرض الموقع"))</f>
        <v/>
      </c>
      <c r="P170" s="23">
        <f>IF(OR($B170="",N($J170)=0),"",HYPERLINK(PhotoDir&amp;"/"&amp;YEAR($B170)&amp;"-"&amp;TEXT(MONTH($B170),"00")&amp;"-"&amp;TEXT(DAY($B170),"00")&amp;"_"&amp;$D170,"فتح الصور ("&amp;$J170&amp;")"))</f>
        <v/>
      </c>
      <c r="Q170" s="24">
        <f>IF($B170="","",MONTH($B170))</f>
        <v/>
      </c>
      <c r="R170" s="24">
        <f>IF($B170="","",YEAR($B170))</f>
        <v/>
      </c>
      <c r="S170" s="25">
        <f>IF($B170="","",$B170-WEEKDAY($B170,3))</f>
        <v/>
      </c>
      <c r="T170" s="24">
        <f>IF($B170="",0,IF(COUNTIFS($B$5:$B170,$B170,$D$5:$D170,$D170)=1,1,0))</f>
        <v/>
      </c>
      <c r="U170" s="24">
        <f>IF($B170="",0,IF(COUNTIFS($B$5:$B170,$B170,$C$5:$C170,$C170)=1,1,0))</f>
        <v/>
      </c>
      <c r="V170" s="24">
        <f>IF(OR($B170="",$G170="",$G170="لا توجد مشاهدات"),0,1)</f>
        <v/>
      </c>
      <c r="W170" s="24">
        <f>IF(AND($B170&lt;&gt;"",$I170="تم تحرير مخالفة"),1,0)</f>
        <v/>
      </c>
      <c r="X170" s="24">
        <f>IF($B170="","",IF($S170=WkStart,COUNTIF($S$5:$S170,WkStart),""))</f>
        <v/>
      </c>
    </row>
    <row r="171">
      <c r="A171" s="16">
        <f>IF($B171="","",ROW()-4)</f>
        <v/>
      </c>
      <c r="B171" s="17" t="n"/>
      <c r="C171" s="18" t="n"/>
      <c r="D171" s="18" t="n"/>
      <c r="E171" s="19" t="n"/>
      <c r="F171" s="19" t="n"/>
      <c r="G171" s="18" t="n"/>
      <c r="H171" s="18" t="n"/>
      <c r="I171" s="18" t="n"/>
      <c r="J171" s="20" t="n"/>
      <c r="K171" s="21" t="n"/>
      <c r="L171" s="21" t="n"/>
      <c r="M171" s="18" t="n"/>
      <c r="N171" s="22">
        <f>IF($B171="","",CHOOSE(WEEKDAY($B171),"الأحد","الاثنين","الثلاثاء","الأربعاء","الخميس","الجمعة","السبت"))</f>
        <v/>
      </c>
      <c r="O171" s="23">
        <f>IF(OR($K171="",$L171=""),"",HYPERLINK("https://maps.google.com/?q="&amp;$K171&amp;","&amp;$L171,"عرض الموقع"))</f>
        <v/>
      </c>
      <c r="P171" s="23">
        <f>IF(OR($B171="",N($J171)=0),"",HYPERLINK(PhotoDir&amp;"/"&amp;YEAR($B171)&amp;"-"&amp;TEXT(MONTH($B171),"00")&amp;"-"&amp;TEXT(DAY($B171),"00")&amp;"_"&amp;$D171,"فتح الصور ("&amp;$J171&amp;")"))</f>
        <v/>
      </c>
      <c r="Q171" s="24">
        <f>IF($B171="","",MONTH($B171))</f>
        <v/>
      </c>
      <c r="R171" s="24">
        <f>IF($B171="","",YEAR($B171))</f>
        <v/>
      </c>
      <c r="S171" s="25">
        <f>IF($B171="","",$B171-WEEKDAY($B171,3))</f>
        <v/>
      </c>
      <c r="T171" s="24">
        <f>IF($B171="",0,IF(COUNTIFS($B$5:$B171,$B171,$D$5:$D171,$D171)=1,1,0))</f>
        <v/>
      </c>
      <c r="U171" s="24">
        <f>IF($B171="",0,IF(COUNTIFS($B$5:$B171,$B171,$C$5:$C171,$C171)=1,1,0))</f>
        <v/>
      </c>
      <c r="V171" s="24">
        <f>IF(OR($B171="",$G171="",$G171="لا توجد مشاهدات"),0,1)</f>
        <v/>
      </c>
      <c r="W171" s="24">
        <f>IF(AND($B171&lt;&gt;"",$I171="تم تحرير مخالفة"),1,0)</f>
        <v/>
      </c>
      <c r="X171" s="24">
        <f>IF($B171="","",IF($S171=WkStart,COUNTIF($S$5:$S171,WkStart),""))</f>
        <v/>
      </c>
    </row>
    <row r="172">
      <c r="A172" s="16">
        <f>IF($B172="","",ROW()-4)</f>
        <v/>
      </c>
      <c r="B172" s="17" t="n"/>
      <c r="C172" s="18" t="n"/>
      <c r="D172" s="18" t="n"/>
      <c r="E172" s="19" t="n"/>
      <c r="F172" s="19" t="n"/>
      <c r="G172" s="18" t="n"/>
      <c r="H172" s="18" t="n"/>
      <c r="I172" s="18" t="n"/>
      <c r="J172" s="20" t="n"/>
      <c r="K172" s="21" t="n"/>
      <c r="L172" s="21" t="n"/>
      <c r="M172" s="18" t="n"/>
      <c r="N172" s="22">
        <f>IF($B172="","",CHOOSE(WEEKDAY($B172),"الأحد","الاثنين","الثلاثاء","الأربعاء","الخميس","الجمعة","السبت"))</f>
        <v/>
      </c>
      <c r="O172" s="23">
        <f>IF(OR($K172="",$L172=""),"",HYPERLINK("https://maps.google.com/?q="&amp;$K172&amp;","&amp;$L172,"عرض الموقع"))</f>
        <v/>
      </c>
      <c r="P172" s="23">
        <f>IF(OR($B172="",N($J172)=0),"",HYPERLINK(PhotoDir&amp;"/"&amp;YEAR($B172)&amp;"-"&amp;TEXT(MONTH($B172),"00")&amp;"-"&amp;TEXT(DAY($B172),"00")&amp;"_"&amp;$D172,"فتح الصور ("&amp;$J172&amp;")"))</f>
        <v/>
      </c>
      <c r="Q172" s="24">
        <f>IF($B172="","",MONTH($B172))</f>
        <v/>
      </c>
      <c r="R172" s="24">
        <f>IF($B172="","",YEAR($B172))</f>
        <v/>
      </c>
      <c r="S172" s="25">
        <f>IF($B172="","",$B172-WEEKDAY($B172,3))</f>
        <v/>
      </c>
      <c r="T172" s="24">
        <f>IF($B172="",0,IF(COUNTIFS($B$5:$B172,$B172,$D$5:$D172,$D172)=1,1,0))</f>
        <v/>
      </c>
      <c r="U172" s="24">
        <f>IF($B172="",0,IF(COUNTIFS($B$5:$B172,$B172,$C$5:$C172,$C172)=1,1,0))</f>
        <v/>
      </c>
      <c r="V172" s="24">
        <f>IF(OR($B172="",$G172="",$G172="لا توجد مشاهدات"),0,1)</f>
        <v/>
      </c>
      <c r="W172" s="24">
        <f>IF(AND($B172&lt;&gt;"",$I172="تم تحرير مخالفة"),1,0)</f>
        <v/>
      </c>
      <c r="X172" s="24">
        <f>IF($B172="","",IF($S172=WkStart,COUNTIF($S$5:$S172,WkStart),""))</f>
        <v/>
      </c>
    </row>
    <row r="173">
      <c r="A173" s="16">
        <f>IF($B173="","",ROW()-4)</f>
        <v/>
      </c>
      <c r="B173" s="17" t="n"/>
      <c r="C173" s="18" t="n"/>
      <c r="D173" s="18" t="n"/>
      <c r="E173" s="19" t="n"/>
      <c r="F173" s="19" t="n"/>
      <c r="G173" s="18" t="n"/>
      <c r="H173" s="18" t="n"/>
      <c r="I173" s="18" t="n"/>
      <c r="J173" s="20" t="n"/>
      <c r="K173" s="21" t="n"/>
      <c r="L173" s="21" t="n"/>
      <c r="M173" s="18" t="n"/>
      <c r="N173" s="22">
        <f>IF($B173="","",CHOOSE(WEEKDAY($B173),"الأحد","الاثنين","الثلاثاء","الأربعاء","الخميس","الجمعة","السبت"))</f>
        <v/>
      </c>
      <c r="O173" s="23">
        <f>IF(OR($K173="",$L173=""),"",HYPERLINK("https://maps.google.com/?q="&amp;$K173&amp;","&amp;$L173,"عرض الموقع"))</f>
        <v/>
      </c>
      <c r="P173" s="23">
        <f>IF(OR($B173="",N($J173)=0),"",HYPERLINK(PhotoDir&amp;"/"&amp;YEAR($B173)&amp;"-"&amp;TEXT(MONTH($B173),"00")&amp;"-"&amp;TEXT(DAY($B173),"00")&amp;"_"&amp;$D173,"فتح الصور ("&amp;$J173&amp;")"))</f>
        <v/>
      </c>
      <c r="Q173" s="24">
        <f>IF($B173="","",MONTH($B173))</f>
        <v/>
      </c>
      <c r="R173" s="24">
        <f>IF($B173="","",YEAR($B173))</f>
        <v/>
      </c>
      <c r="S173" s="25">
        <f>IF($B173="","",$B173-WEEKDAY($B173,3))</f>
        <v/>
      </c>
      <c r="T173" s="24">
        <f>IF($B173="",0,IF(COUNTIFS($B$5:$B173,$B173,$D$5:$D173,$D173)=1,1,0))</f>
        <v/>
      </c>
      <c r="U173" s="24">
        <f>IF($B173="",0,IF(COUNTIFS($B$5:$B173,$B173,$C$5:$C173,$C173)=1,1,0))</f>
        <v/>
      </c>
      <c r="V173" s="24">
        <f>IF(OR($B173="",$G173="",$G173="لا توجد مشاهدات"),0,1)</f>
        <v/>
      </c>
      <c r="W173" s="24">
        <f>IF(AND($B173&lt;&gt;"",$I173="تم تحرير مخالفة"),1,0)</f>
        <v/>
      </c>
      <c r="X173" s="24">
        <f>IF($B173="","",IF($S173=WkStart,COUNTIF($S$5:$S173,WkStart),""))</f>
        <v/>
      </c>
    </row>
    <row r="174">
      <c r="A174" s="16">
        <f>IF($B174="","",ROW()-4)</f>
        <v/>
      </c>
      <c r="B174" s="17" t="n"/>
      <c r="C174" s="18" t="n"/>
      <c r="D174" s="18" t="n"/>
      <c r="E174" s="19" t="n"/>
      <c r="F174" s="19" t="n"/>
      <c r="G174" s="18" t="n"/>
      <c r="H174" s="18" t="n"/>
      <c r="I174" s="18" t="n"/>
      <c r="J174" s="20" t="n"/>
      <c r="K174" s="21" t="n"/>
      <c r="L174" s="21" t="n"/>
      <c r="M174" s="18" t="n"/>
      <c r="N174" s="22">
        <f>IF($B174="","",CHOOSE(WEEKDAY($B174),"الأحد","الاثنين","الثلاثاء","الأربعاء","الخميس","الجمعة","السبت"))</f>
        <v/>
      </c>
      <c r="O174" s="23">
        <f>IF(OR($K174="",$L174=""),"",HYPERLINK("https://maps.google.com/?q="&amp;$K174&amp;","&amp;$L174,"عرض الموقع"))</f>
        <v/>
      </c>
      <c r="P174" s="23">
        <f>IF(OR($B174="",N($J174)=0),"",HYPERLINK(PhotoDir&amp;"/"&amp;YEAR($B174)&amp;"-"&amp;TEXT(MONTH($B174),"00")&amp;"-"&amp;TEXT(DAY($B174),"00")&amp;"_"&amp;$D174,"فتح الصور ("&amp;$J174&amp;")"))</f>
        <v/>
      </c>
      <c r="Q174" s="24">
        <f>IF($B174="","",MONTH($B174))</f>
        <v/>
      </c>
      <c r="R174" s="24">
        <f>IF($B174="","",YEAR($B174))</f>
        <v/>
      </c>
      <c r="S174" s="25">
        <f>IF($B174="","",$B174-WEEKDAY($B174,3))</f>
        <v/>
      </c>
      <c r="T174" s="24">
        <f>IF($B174="",0,IF(COUNTIFS($B$5:$B174,$B174,$D$5:$D174,$D174)=1,1,0))</f>
        <v/>
      </c>
      <c r="U174" s="24">
        <f>IF($B174="",0,IF(COUNTIFS($B$5:$B174,$B174,$C$5:$C174,$C174)=1,1,0))</f>
        <v/>
      </c>
      <c r="V174" s="24">
        <f>IF(OR($B174="",$G174="",$G174="لا توجد مشاهدات"),0,1)</f>
        <v/>
      </c>
      <c r="W174" s="24">
        <f>IF(AND($B174&lt;&gt;"",$I174="تم تحرير مخالفة"),1,0)</f>
        <v/>
      </c>
      <c r="X174" s="24">
        <f>IF($B174="","",IF($S174=WkStart,COUNTIF($S$5:$S174,WkStart),""))</f>
        <v/>
      </c>
    </row>
    <row r="175">
      <c r="A175" s="16">
        <f>IF($B175="","",ROW()-4)</f>
        <v/>
      </c>
      <c r="B175" s="17" t="n"/>
      <c r="C175" s="18" t="n"/>
      <c r="D175" s="18" t="n"/>
      <c r="E175" s="19" t="n"/>
      <c r="F175" s="19" t="n"/>
      <c r="G175" s="18" t="n"/>
      <c r="H175" s="18" t="n"/>
      <c r="I175" s="18" t="n"/>
      <c r="J175" s="20" t="n"/>
      <c r="K175" s="21" t="n"/>
      <c r="L175" s="21" t="n"/>
      <c r="M175" s="18" t="n"/>
      <c r="N175" s="22">
        <f>IF($B175="","",CHOOSE(WEEKDAY($B175),"الأحد","الاثنين","الثلاثاء","الأربعاء","الخميس","الجمعة","السبت"))</f>
        <v/>
      </c>
      <c r="O175" s="23">
        <f>IF(OR($K175="",$L175=""),"",HYPERLINK("https://maps.google.com/?q="&amp;$K175&amp;","&amp;$L175,"عرض الموقع"))</f>
        <v/>
      </c>
      <c r="P175" s="23">
        <f>IF(OR($B175="",N($J175)=0),"",HYPERLINK(PhotoDir&amp;"/"&amp;YEAR($B175)&amp;"-"&amp;TEXT(MONTH($B175),"00")&amp;"-"&amp;TEXT(DAY($B175),"00")&amp;"_"&amp;$D175,"فتح الصور ("&amp;$J175&amp;")"))</f>
        <v/>
      </c>
      <c r="Q175" s="24">
        <f>IF($B175="","",MONTH($B175))</f>
        <v/>
      </c>
      <c r="R175" s="24">
        <f>IF($B175="","",YEAR($B175))</f>
        <v/>
      </c>
      <c r="S175" s="25">
        <f>IF($B175="","",$B175-WEEKDAY($B175,3))</f>
        <v/>
      </c>
      <c r="T175" s="24">
        <f>IF($B175="",0,IF(COUNTIFS($B$5:$B175,$B175,$D$5:$D175,$D175)=1,1,0))</f>
        <v/>
      </c>
      <c r="U175" s="24">
        <f>IF($B175="",0,IF(COUNTIFS($B$5:$B175,$B175,$C$5:$C175,$C175)=1,1,0))</f>
        <v/>
      </c>
      <c r="V175" s="24">
        <f>IF(OR($B175="",$G175="",$G175="لا توجد مشاهدات"),0,1)</f>
        <v/>
      </c>
      <c r="W175" s="24">
        <f>IF(AND($B175&lt;&gt;"",$I175="تم تحرير مخالفة"),1,0)</f>
        <v/>
      </c>
      <c r="X175" s="24">
        <f>IF($B175="","",IF($S175=WkStart,COUNTIF($S$5:$S175,WkStart),""))</f>
        <v/>
      </c>
    </row>
    <row r="176">
      <c r="A176" s="16">
        <f>IF($B176="","",ROW()-4)</f>
        <v/>
      </c>
      <c r="B176" s="17" t="n"/>
      <c r="C176" s="18" t="n"/>
      <c r="D176" s="18" t="n"/>
      <c r="E176" s="19" t="n"/>
      <c r="F176" s="19" t="n"/>
      <c r="G176" s="18" t="n"/>
      <c r="H176" s="18" t="n"/>
      <c r="I176" s="18" t="n"/>
      <c r="J176" s="20" t="n"/>
      <c r="K176" s="21" t="n"/>
      <c r="L176" s="21" t="n"/>
      <c r="M176" s="18" t="n"/>
      <c r="N176" s="22">
        <f>IF($B176="","",CHOOSE(WEEKDAY($B176),"الأحد","الاثنين","الثلاثاء","الأربعاء","الخميس","الجمعة","السبت"))</f>
        <v/>
      </c>
      <c r="O176" s="23">
        <f>IF(OR($K176="",$L176=""),"",HYPERLINK("https://maps.google.com/?q="&amp;$K176&amp;","&amp;$L176,"عرض الموقع"))</f>
        <v/>
      </c>
      <c r="P176" s="23">
        <f>IF(OR($B176="",N($J176)=0),"",HYPERLINK(PhotoDir&amp;"/"&amp;YEAR($B176)&amp;"-"&amp;TEXT(MONTH($B176),"00")&amp;"-"&amp;TEXT(DAY($B176),"00")&amp;"_"&amp;$D176,"فتح الصور ("&amp;$J176&amp;")"))</f>
        <v/>
      </c>
      <c r="Q176" s="24">
        <f>IF($B176="","",MONTH($B176))</f>
        <v/>
      </c>
      <c r="R176" s="24">
        <f>IF($B176="","",YEAR($B176))</f>
        <v/>
      </c>
      <c r="S176" s="25">
        <f>IF($B176="","",$B176-WEEKDAY($B176,3))</f>
        <v/>
      </c>
      <c r="T176" s="24">
        <f>IF($B176="",0,IF(COUNTIFS($B$5:$B176,$B176,$D$5:$D176,$D176)=1,1,0))</f>
        <v/>
      </c>
      <c r="U176" s="24">
        <f>IF($B176="",0,IF(COUNTIFS($B$5:$B176,$B176,$C$5:$C176,$C176)=1,1,0))</f>
        <v/>
      </c>
      <c r="V176" s="24">
        <f>IF(OR($B176="",$G176="",$G176="لا توجد مشاهدات"),0,1)</f>
        <v/>
      </c>
      <c r="W176" s="24">
        <f>IF(AND($B176&lt;&gt;"",$I176="تم تحرير مخالفة"),1,0)</f>
        <v/>
      </c>
      <c r="X176" s="24">
        <f>IF($B176="","",IF($S176=WkStart,COUNTIF($S$5:$S176,WkStart),""))</f>
        <v/>
      </c>
    </row>
    <row r="177">
      <c r="A177" s="16">
        <f>IF($B177="","",ROW()-4)</f>
        <v/>
      </c>
      <c r="B177" s="17" t="n"/>
      <c r="C177" s="18" t="n"/>
      <c r="D177" s="18" t="n"/>
      <c r="E177" s="19" t="n"/>
      <c r="F177" s="19" t="n"/>
      <c r="G177" s="18" t="n"/>
      <c r="H177" s="18" t="n"/>
      <c r="I177" s="18" t="n"/>
      <c r="J177" s="20" t="n"/>
      <c r="K177" s="21" t="n"/>
      <c r="L177" s="21" t="n"/>
      <c r="M177" s="18" t="n"/>
      <c r="N177" s="22">
        <f>IF($B177="","",CHOOSE(WEEKDAY($B177),"الأحد","الاثنين","الثلاثاء","الأربعاء","الخميس","الجمعة","السبت"))</f>
        <v/>
      </c>
      <c r="O177" s="23">
        <f>IF(OR($K177="",$L177=""),"",HYPERLINK("https://maps.google.com/?q="&amp;$K177&amp;","&amp;$L177,"عرض الموقع"))</f>
        <v/>
      </c>
      <c r="P177" s="23">
        <f>IF(OR($B177="",N($J177)=0),"",HYPERLINK(PhotoDir&amp;"/"&amp;YEAR($B177)&amp;"-"&amp;TEXT(MONTH($B177),"00")&amp;"-"&amp;TEXT(DAY($B177),"00")&amp;"_"&amp;$D177,"فتح الصور ("&amp;$J177&amp;")"))</f>
        <v/>
      </c>
      <c r="Q177" s="24">
        <f>IF($B177="","",MONTH($B177))</f>
        <v/>
      </c>
      <c r="R177" s="24">
        <f>IF($B177="","",YEAR($B177))</f>
        <v/>
      </c>
      <c r="S177" s="25">
        <f>IF($B177="","",$B177-WEEKDAY($B177,3))</f>
        <v/>
      </c>
      <c r="T177" s="24">
        <f>IF($B177="",0,IF(COUNTIFS($B$5:$B177,$B177,$D$5:$D177,$D177)=1,1,0))</f>
        <v/>
      </c>
      <c r="U177" s="24">
        <f>IF($B177="",0,IF(COUNTIFS($B$5:$B177,$B177,$C$5:$C177,$C177)=1,1,0))</f>
        <v/>
      </c>
      <c r="V177" s="24">
        <f>IF(OR($B177="",$G177="",$G177="لا توجد مشاهدات"),0,1)</f>
        <v/>
      </c>
      <c r="W177" s="24">
        <f>IF(AND($B177&lt;&gt;"",$I177="تم تحرير مخالفة"),1,0)</f>
        <v/>
      </c>
      <c r="X177" s="24">
        <f>IF($B177="","",IF($S177=WkStart,COUNTIF($S$5:$S177,WkStart),""))</f>
        <v/>
      </c>
    </row>
    <row r="178">
      <c r="A178" s="16">
        <f>IF($B178="","",ROW()-4)</f>
        <v/>
      </c>
      <c r="B178" s="17" t="n"/>
      <c r="C178" s="18" t="n"/>
      <c r="D178" s="18" t="n"/>
      <c r="E178" s="19" t="n"/>
      <c r="F178" s="19" t="n"/>
      <c r="G178" s="18" t="n"/>
      <c r="H178" s="18" t="n"/>
      <c r="I178" s="18" t="n"/>
      <c r="J178" s="20" t="n"/>
      <c r="K178" s="21" t="n"/>
      <c r="L178" s="21" t="n"/>
      <c r="M178" s="18" t="n"/>
      <c r="N178" s="22">
        <f>IF($B178="","",CHOOSE(WEEKDAY($B178),"الأحد","الاثنين","الثلاثاء","الأربعاء","الخميس","الجمعة","السبت"))</f>
        <v/>
      </c>
      <c r="O178" s="23">
        <f>IF(OR($K178="",$L178=""),"",HYPERLINK("https://maps.google.com/?q="&amp;$K178&amp;","&amp;$L178,"عرض الموقع"))</f>
        <v/>
      </c>
      <c r="P178" s="23">
        <f>IF(OR($B178="",N($J178)=0),"",HYPERLINK(PhotoDir&amp;"/"&amp;YEAR($B178)&amp;"-"&amp;TEXT(MONTH($B178),"00")&amp;"-"&amp;TEXT(DAY($B178),"00")&amp;"_"&amp;$D178,"فتح الصور ("&amp;$J178&amp;")"))</f>
        <v/>
      </c>
      <c r="Q178" s="24">
        <f>IF($B178="","",MONTH($B178))</f>
        <v/>
      </c>
      <c r="R178" s="24">
        <f>IF($B178="","",YEAR($B178))</f>
        <v/>
      </c>
      <c r="S178" s="25">
        <f>IF($B178="","",$B178-WEEKDAY($B178,3))</f>
        <v/>
      </c>
      <c r="T178" s="24">
        <f>IF($B178="",0,IF(COUNTIFS($B$5:$B178,$B178,$D$5:$D178,$D178)=1,1,0))</f>
        <v/>
      </c>
      <c r="U178" s="24">
        <f>IF($B178="",0,IF(COUNTIFS($B$5:$B178,$B178,$C$5:$C178,$C178)=1,1,0))</f>
        <v/>
      </c>
      <c r="V178" s="24">
        <f>IF(OR($B178="",$G178="",$G178="لا توجد مشاهدات"),0,1)</f>
        <v/>
      </c>
      <c r="W178" s="24">
        <f>IF(AND($B178&lt;&gt;"",$I178="تم تحرير مخالفة"),1,0)</f>
        <v/>
      </c>
      <c r="X178" s="24">
        <f>IF($B178="","",IF($S178=WkStart,COUNTIF($S$5:$S178,WkStart),""))</f>
        <v/>
      </c>
    </row>
    <row r="179">
      <c r="A179" s="16">
        <f>IF($B179="","",ROW()-4)</f>
        <v/>
      </c>
      <c r="B179" s="17" t="n"/>
      <c r="C179" s="18" t="n"/>
      <c r="D179" s="18" t="n"/>
      <c r="E179" s="19" t="n"/>
      <c r="F179" s="19" t="n"/>
      <c r="G179" s="18" t="n"/>
      <c r="H179" s="18" t="n"/>
      <c r="I179" s="18" t="n"/>
      <c r="J179" s="20" t="n"/>
      <c r="K179" s="21" t="n"/>
      <c r="L179" s="21" t="n"/>
      <c r="M179" s="18" t="n"/>
      <c r="N179" s="22">
        <f>IF($B179="","",CHOOSE(WEEKDAY($B179),"الأحد","الاثنين","الثلاثاء","الأربعاء","الخميس","الجمعة","السبت"))</f>
        <v/>
      </c>
      <c r="O179" s="23">
        <f>IF(OR($K179="",$L179=""),"",HYPERLINK("https://maps.google.com/?q="&amp;$K179&amp;","&amp;$L179,"عرض الموقع"))</f>
        <v/>
      </c>
      <c r="P179" s="23">
        <f>IF(OR($B179="",N($J179)=0),"",HYPERLINK(PhotoDir&amp;"/"&amp;YEAR($B179)&amp;"-"&amp;TEXT(MONTH($B179),"00")&amp;"-"&amp;TEXT(DAY($B179),"00")&amp;"_"&amp;$D179,"فتح الصور ("&amp;$J179&amp;")"))</f>
        <v/>
      </c>
      <c r="Q179" s="24">
        <f>IF($B179="","",MONTH($B179))</f>
        <v/>
      </c>
      <c r="R179" s="24">
        <f>IF($B179="","",YEAR($B179))</f>
        <v/>
      </c>
      <c r="S179" s="25">
        <f>IF($B179="","",$B179-WEEKDAY($B179,3))</f>
        <v/>
      </c>
      <c r="T179" s="24">
        <f>IF($B179="",0,IF(COUNTIFS($B$5:$B179,$B179,$D$5:$D179,$D179)=1,1,0))</f>
        <v/>
      </c>
      <c r="U179" s="24">
        <f>IF($B179="",0,IF(COUNTIFS($B$5:$B179,$B179,$C$5:$C179,$C179)=1,1,0))</f>
        <v/>
      </c>
      <c r="V179" s="24">
        <f>IF(OR($B179="",$G179="",$G179="لا توجد مشاهدات"),0,1)</f>
        <v/>
      </c>
      <c r="W179" s="24">
        <f>IF(AND($B179&lt;&gt;"",$I179="تم تحرير مخالفة"),1,0)</f>
        <v/>
      </c>
      <c r="X179" s="24">
        <f>IF($B179="","",IF($S179=WkStart,COUNTIF($S$5:$S179,WkStart),""))</f>
        <v/>
      </c>
    </row>
    <row r="180">
      <c r="A180" s="16">
        <f>IF($B180="","",ROW()-4)</f>
        <v/>
      </c>
      <c r="B180" s="17" t="n"/>
      <c r="C180" s="18" t="n"/>
      <c r="D180" s="18" t="n"/>
      <c r="E180" s="19" t="n"/>
      <c r="F180" s="19" t="n"/>
      <c r="G180" s="18" t="n"/>
      <c r="H180" s="18" t="n"/>
      <c r="I180" s="18" t="n"/>
      <c r="J180" s="20" t="n"/>
      <c r="K180" s="21" t="n"/>
      <c r="L180" s="21" t="n"/>
      <c r="M180" s="18" t="n"/>
      <c r="N180" s="22">
        <f>IF($B180="","",CHOOSE(WEEKDAY($B180),"الأحد","الاثنين","الثلاثاء","الأربعاء","الخميس","الجمعة","السبت"))</f>
        <v/>
      </c>
      <c r="O180" s="23">
        <f>IF(OR($K180="",$L180=""),"",HYPERLINK("https://maps.google.com/?q="&amp;$K180&amp;","&amp;$L180,"عرض الموقع"))</f>
        <v/>
      </c>
      <c r="P180" s="23">
        <f>IF(OR($B180="",N($J180)=0),"",HYPERLINK(PhotoDir&amp;"/"&amp;YEAR($B180)&amp;"-"&amp;TEXT(MONTH($B180),"00")&amp;"-"&amp;TEXT(DAY($B180),"00")&amp;"_"&amp;$D180,"فتح الصور ("&amp;$J180&amp;")"))</f>
        <v/>
      </c>
      <c r="Q180" s="24">
        <f>IF($B180="","",MONTH($B180))</f>
        <v/>
      </c>
      <c r="R180" s="24">
        <f>IF($B180="","",YEAR($B180))</f>
        <v/>
      </c>
      <c r="S180" s="25">
        <f>IF($B180="","",$B180-WEEKDAY($B180,3))</f>
        <v/>
      </c>
      <c r="T180" s="24">
        <f>IF($B180="",0,IF(COUNTIFS($B$5:$B180,$B180,$D$5:$D180,$D180)=1,1,0))</f>
        <v/>
      </c>
      <c r="U180" s="24">
        <f>IF($B180="",0,IF(COUNTIFS($B$5:$B180,$B180,$C$5:$C180,$C180)=1,1,0))</f>
        <v/>
      </c>
      <c r="V180" s="24">
        <f>IF(OR($B180="",$G180="",$G180="لا توجد مشاهدات"),0,1)</f>
        <v/>
      </c>
      <c r="W180" s="24">
        <f>IF(AND($B180&lt;&gt;"",$I180="تم تحرير مخالفة"),1,0)</f>
        <v/>
      </c>
      <c r="X180" s="24">
        <f>IF($B180="","",IF($S180=WkStart,COUNTIF($S$5:$S180,WkStart),""))</f>
        <v/>
      </c>
    </row>
    <row r="181">
      <c r="A181" s="16">
        <f>IF($B181="","",ROW()-4)</f>
        <v/>
      </c>
      <c r="B181" s="17" t="n"/>
      <c r="C181" s="18" t="n"/>
      <c r="D181" s="18" t="n"/>
      <c r="E181" s="19" t="n"/>
      <c r="F181" s="19" t="n"/>
      <c r="G181" s="18" t="n"/>
      <c r="H181" s="18" t="n"/>
      <c r="I181" s="18" t="n"/>
      <c r="J181" s="20" t="n"/>
      <c r="K181" s="21" t="n"/>
      <c r="L181" s="21" t="n"/>
      <c r="M181" s="18" t="n"/>
      <c r="N181" s="22">
        <f>IF($B181="","",CHOOSE(WEEKDAY($B181),"الأحد","الاثنين","الثلاثاء","الأربعاء","الخميس","الجمعة","السبت"))</f>
        <v/>
      </c>
      <c r="O181" s="23">
        <f>IF(OR($K181="",$L181=""),"",HYPERLINK("https://maps.google.com/?q="&amp;$K181&amp;","&amp;$L181,"عرض الموقع"))</f>
        <v/>
      </c>
      <c r="P181" s="23">
        <f>IF(OR($B181="",N($J181)=0),"",HYPERLINK(PhotoDir&amp;"/"&amp;YEAR($B181)&amp;"-"&amp;TEXT(MONTH($B181),"00")&amp;"-"&amp;TEXT(DAY($B181),"00")&amp;"_"&amp;$D181,"فتح الصور ("&amp;$J181&amp;")"))</f>
        <v/>
      </c>
      <c r="Q181" s="24">
        <f>IF($B181="","",MONTH($B181))</f>
        <v/>
      </c>
      <c r="R181" s="24">
        <f>IF($B181="","",YEAR($B181))</f>
        <v/>
      </c>
      <c r="S181" s="25">
        <f>IF($B181="","",$B181-WEEKDAY($B181,3))</f>
        <v/>
      </c>
      <c r="T181" s="24">
        <f>IF($B181="",0,IF(COUNTIFS($B$5:$B181,$B181,$D$5:$D181,$D181)=1,1,0))</f>
        <v/>
      </c>
      <c r="U181" s="24">
        <f>IF($B181="",0,IF(COUNTIFS($B$5:$B181,$B181,$C$5:$C181,$C181)=1,1,0))</f>
        <v/>
      </c>
      <c r="V181" s="24">
        <f>IF(OR($B181="",$G181="",$G181="لا توجد مشاهدات"),0,1)</f>
        <v/>
      </c>
      <c r="W181" s="24">
        <f>IF(AND($B181&lt;&gt;"",$I181="تم تحرير مخالفة"),1,0)</f>
        <v/>
      </c>
      <c r="X181" s="24">
        <f>IF($B181="","",IF($S181=WkStart,COUNTIF($S$5:$S181,WkStart),""))</f>
        <v/>
      </c>
    </row>
    <row r="182">
      <c r="A182" s="16">
        <f>IF($B182="","",ROW()-4)</f>
        <v/>
      </c>
      <c r="B182" s="17" t="n"/>
      <c r="C182" s="18" t="n"/>
      <c r="D182" s="18" t="n"/>
      <c r="E182" s="19" t="n"/>
      <c r="F182" s="19" t="n"/>
      <c r="G182" s="18" t="n"/>
      <c r="H182" s="18" t="n"/>
      <c r="I182" s="18" t="n"/>
      <c r="J182" s="20" t="n"/>
      <c r="K182" s="21" t="n"/>
      <c r="L182" s="21" t="n"/>
      <c r="M182" s="18" t="n"/>
      <c r="N182" s="22">
        <f>IF($B182="","",CHOOSE(WEEKDAY($B182),"الأحد","الاثنين","الثلاثاء","الأربعاء","الخميس","الجمعة","السبت"))</f>
        <v/>
      </c>
      <c r="O182" s="23">
        <f>IF(OR($K182="",$L182=""),"",HYPERLINK("https://maps.google.com/?q="&amp;$K182&amp;","&amp;$L182,"عرض الموقع"))</f>
        <v/>
      </c>
      <c r="P182" s="23">
        <f>IF(OR($B182="",N($J182)=0),"",HYPERLINK(PhotoDir&amp;"/"&amp;YEAR($B182)&amp;"-"&amp;TEXT(MONTH($B182),"00")&amp;"-"&amp;TEXT(DAY($B182),"00")&amp;"_"&amp;$D182,"فتح الصور ("&amp;$J182&amp;")"))</f>
        <v/>
      </c>
      <c r="Q182" s="24">
        <f>IF($B182="","",MONTH($B182))</f>
        <v/>
      </c>
      <c r="R182" s="24">
        <f>IF($B182="","",YEAR($B182))</f>
        <v/>
      </c>
      <c r="S182" s="25">
        <f>IF($B182="","",$B182-WEEKDAY($B182,3))</f>
        <v/>
      </c>
      <c r="T182" s="24">
        <f>IF($B182="",0,IF(COUNTIFS($B$5:$B182,$B182,$D$5:$D182,$D182)=1,1,0))</f>
        <v/>
      </c>
      <c r="U182" s="24">
        <f>IF($B182="",0,IF(COUNTIFS($B$5:$B182,$B182,$C$5:$C182,$C182)=1,1,0))</f>
        <v/>
      </c>
      <c r="V182" s="24">
        <f>IF(OR($B182="",$G182="",$G182="لا توجد مشاهدات"),0,1)</f>
        <v/>
      </c>
      <c r="W182" s="24">
        <f>IF(AND($B182&lt;&gt;"",$I182="تم تحرير مخالفة"),1,0)</f>
        <v/>
      </c>
      <c r="X182" s="24">
        <f>IF($B182="","",IF($S182=WkStart,COUNTIF($S$5:$S182,WkStart),""))</f>
        <v/>
      </c>
    </row>
    <row r="183">
      <c r="A183" s="16">
        <f>IF($B183="","",ROW()-4)</f>
        <v/>
      </c>
      <c r="B183" s="17" t="n"/>
      <c r="C183" s="18" t="n"/>
      <c r="D183" s="18" t="n"/>
      <c r="E183" s="19" t="n"/>
      <c r="F183" s="19" t="n"/>
      <c r="G183" s="18" t="n"/>
      <c r="H183" s="18" t="n"/>
      <c r="I183" s="18" t="n"/>
      <c r="J183" s="20" t="n"/>
      <c r="K183" s="21" t="n"/>
      <c r="L183" s="21" t="n"/>
      <c r="M183" s="18" t="n"/>
      <c r="N183" s="22">
        <f>IF($B183="","",CHOOSE(WEEKDAY($B183),"الأحد","الاثنين","الثلاثاء","الأربعاء","الخميس","الجمعة","السبت"))</f>
        <v/>
      </c>
      <c r="O183" s="23">
        <f>IF(OR($K183="",$L183=""),"",HYPERLINK("https://maps.google.com/?q="&amp;$K183&amp;","&amp;$L183,"عرض الموقع"))</f>
        <v/>
      </c>
      <c r="P183" s="23">
        <f>IF(OR($B183="",N($J183)=0),"",HYPERLINK(PhotoDir&amp;"/"&amp;YEAR($B183)&amp;"-"&amp;TEXT(MONTH($B183),"00")&amp;"-"&amp;TEXT(DAY($B183),"00")&amp;"_"&amp;$D183,"فتح الصور ("&amp;$J183&amp;")"))</f>
        <v/>
      </c>
      <c r="Q183" s="24">
        <f>IF($B183="","",MONTH($B183))</f>
        <v/>
      </c>
      <c r="R183" s="24">
        <f>IF($B183="","",YEAR($B183))</f>
        <v/>
      </c>
      <c r="S183" s="25">
        <f>IF($B183="","",$B183-WEEKDAY($B183,3))</f>
        <v/>
      </c>
      <c r="T183" s="24">
        <f>IF($B183="",0,IF(COUNTIFS($B$5:$B183,$B183,$D$5:$D183,$D183)=1,1,0))</f>
        <v/>
      </c>
      <c r="U183" s="24">
        <f>IF($B183="",0,IF(COUNTIFS($B$5:$B183,$B183,$C$5:$C183,$C183)=1,1,0))</f>
        <v/>
      </c>
      <c r="V183" s="24">
        <f>IF(OR($B183="",$G183="",$G183="لا توجد مشاهدات"),0,1)</f>
        <v/>
      </c>
      <c r="W183" s="24">
        <f>IF(AND($B183&lt;&gt;"",$I183="تم تحرير مخالفة"),1,0)</f>
        <v/>
      </c>
      <c r="X183" s="24">
        <f>IF($B183="","",IF($S183=WkStart,COUNTIF($S$5:$S183,WkStart),""))</f>
        <v/>
      </c>
    </row>
    <row r="184">
      <c r="A184" s="16">
        <f>IF($B184="","",ROW()-4)</f>
        <v/>
      </c>
      <c r="B184" s="17" t="n"/>
      <c r="C184" s="18" t="n"/>
      <c r="D184" s="18" t="n"/>
      <c r="E184" s="19" t="n"/>
      <c r="F184" s="19" t="n"/>
      <c r="G184" s="18" t="n"/>
      <c r="H184" s="18" t="n"/>
      <c r="I184" s="18" t="n"/>
      <c r="J184" s="20" t="n"/>
      <c r="K184" s="21" t="n"/>
      <c r="L184" s="21" t="n"/>
      <c r="M184" s="18" t="n"/>
      <c r="N184" s="22">
        <f>IF($B184="","",CHOOSE(WEEKDAY($B184),"الأحد","الاثنين","الثلاثاء","الأربعاء","الخميس","الجمعة","السبت"))</f>
        <v/>
      </c>
      <c r="O184" s="23">
        <f>IF(OR($K184="",$L184=""),"",HYPERLINK("https://maps.google.com/?q="&amp;$K184&amp;","&amp;$L184,"عرض الموقع"))</f>
        <v/>
      </c>
      <c r="P184" s="23">
        <f>IF(OR($B184="",N($J184)=0),"",HYPERLINK(PhotoDir&amp;"/"&amp;YEAR($B184)&amp;"-"&amp;TEXT(MONTH($B184),"00")&amp;"-"&amp;TEXT(DAY($B184),"00")&amp;"_"&amp;$D184,"فتح الصور ("&amp;$J184&amp;")"))</f>
        <v/>
      </c>
      <c r="Q184" s="24">
        <f>IF($B184="","",MONTH($B184))</f>
        <v/>
      </c>
      <c r="R184" s="24">
        <f>IF($B184="","",YEAR($B184))</f>
        <v/>
      </c>
      <c r="S184" s="25">
        <f>IF($B184="","",$B184-WEEKDAY($B184,3))</f>
        <v/>
      </c>
      <c r="T184" s="24">
        <f>IF($B184="",0,IF(COUNTIFS($B$5:$B184,$B184,$D$5:$D184,$D184)=1,1,0))</f>
        <v/>
      </c>
      <c r="U184" s="24">
        <f>IF($B184="",0,IF(COUNTIFS($B$5:$B184,$B184,$C$5:$C184,$C184)=1,1,0))</f>
        <v/>
      </c>
      <c r="V184" s="24">
        <f>IF(OR($B184="",$G184="",$G184="لا توجد مشاهدات"),0,1)</f>
        <v/>
      </c>
      <c r="W184" s="24">
        <f>IF(AND($B184&lt;&gt;"",$I184="تم تحرير مخالفة"),1,0)</f>
        <v/>
      </c>
      <c r="X184" s="24">
        <f>IF($B184="","",IF($S184=WkStart,COUNTIF($S$5:$S184,WkStart),""))</f>
        <v/>
      </c>
    </row>
    <row r="185">
      <c r="A185" s="16">
        <f>IF($B185="","",ROW()-4)</f>
        <v/>
      </c>
      <c r="B185" s="17" t="n"/>
      <c r="C185" s="18" t="n"/>
      <c r="D185" s="18" t="n"/>
      <c r="E185" s="19" t="n"/>
      <c r="F185" s="19" t="n"/>
      <c r="G185" s="18" t="n"/>
      <c r="H185" s="18" t="n"/>
      <c r="I185" s="18" t="n"/>
      <c r="J185" s="20" t="n"/>
      <c r="K185" s="21" t="n"/>
      <c r="L185" s="21" t="n"/>
      <c r="M185" s="18" t="n"/>
      <c r="N185" s="22">
        <f>IF($B185="","",CHOOSE(WEEKDAY($B185),"الأحد","الاثنين","الثلاثاء","الأربعاء","الخميس","الجمعة","السبت"))</f>
        <v/>
      </c>
      <c r="O185" s="23">
        <f>IF(OR($K185="",$L185=""),"",HYPERLINK("https://maps.google.com/?q="&amp;$K185&amp;","&amp;$L185,"عرض الموقع"))</f>
        <v/>
      </c>
      <c r="P185" s="23">
        <f>IF(OR($B185="",N($J185)=0),"",HYPERLINK(PhotoDir&amp;"/"&amp;YEAR($B185)&amp;"-"&amp;TEXT(MONTH($B185),"00")&amp;"-"&amp;TEXT(DAY($B185),"00")&amp;"_"&amp;$D185,"فتح الصور ("&amp;$J185&amp;")"))</f>
        <v/>
      </c>
      <c r="Q185" s="24">
        <f>IF($B185="","",MONTH($B185))</f>
        <v/>
      </c>
      <c r="R185" s="24">
        <f>IF($B185="","",YEAR($B185))</f>
        <v/>
      </c>
      <c r="S185" s="25">
        <f>IF($B185="","",$B185-WEEKDAY($B185,3))</f>
        <v/>
      </c>
      <c r="T185" s="24">
        <f>IF($B185="",0,IF(COUNTIFS($B$5:$B185,$B185,$D$5:$D185,$D185)=1,1,0))</f>
        <v/>
      </c>
      <c r="U185" s="24">
        <f>IF($B185="",0,IF(COUNTIFS($B$5:$B185,$B185,$C$5:$C185,$C185)=1,1,0))</f>
        <v/>
      </c>
      <c r="V185" s="24">
        <f>IF(OR($B185="",$G185="",$G185="لا توجد مشاهدات"),0,1)</f>
        <v/>
      </c>
      <c r="W185" s="24">
        <f>IF(AND($B185&lt;&gt;"",$I185="تم تحرير مخالفة"),1,0)</f>
        <v/>
      </c>
      <c r="X185" s="24">
        <f>IF($B185="","",IF($S185=WkStart,COUNTIF($S$5:$S185,WkStart),""))</f>
        <v/>
      </c>
    </row>
    <row r="186">
      <c r="A186" s="16">
        <f>IF($B186="","",ROW()-4)</f>
        <v/>
      </c>
      <c r="B186" s="17" t="n"/>
      <c r="C186" s="18" t="n"/>
      <c r="D186" s="18" t="n"/>
      <c r="E186" s="19" t="n"/>
      <c r="F186" s="19" t="n"/>
      <c r="G186" s="18" t="n"/>
      <c r="H186" s="18" t="n"/>
      <c r="I186" s="18" t="n"/>
      <c r="J186" s="20" t="n"/>
      <c r="K186" s="21" t="n"/>
      <c r="L186" s="21" t="n"/>
      <c r="M186" s="18" t="n"/>
      <c r="N186" s="22">
        <f>IF($B186="","",CHOOSE(WEEKDAY($B186),"الأحد","الاثنين","الثلاثاء","الأربعاء","الخميس","الجمعة","السبت"))</f>
        <v/>
      </c>
      <c r="O186" s="23">
        <f>IF(OR($K186="",$L186=""),"",HYPERLINK("https://maps.google.com/?q="&amp;$K186&amp;","&amp;$L186,"عرض الموقع"))</f>
        <v/>
      </c>
      <c r="P186" s="23">
        <f>IF(OR($B186="",N($J186)=0),"",HYPERLINK(PhotoDir&amp;"/"&amp;YEAR($B186)&amp;"-"&amp;TEXT(MONTH($B186),"00")&amp;"-"&amp;TEXT(DAY($B186),"00")&amp;"_"&amp;$D186,"فتح الصور ("&amp;$J186&amp;")"))</f>
        <v/>
      </c>
      <c r="Q186" s="24">
        <f>IF($B186="","",MONTH($B186))</f>
        <v/>
      </c>
      <c r="R186" s="24">
        <f>IF($B186="","",YEAR($B186))</f>
        <v/>
      </c>
      <c r="S186" s="25">
        <f>IF($B186="","",$B186-WEEKDAY($B186,3))</f>
        <v/>
      </c>
      <c r="T186" s="24">
        <f>IF($B186="",0,IF(COUNTIFS($B$5:$B186,$B186,$D$5:$D186,$D186)=1,1,0))</f>
        <v/>
      </c>
      <c r="U186" s="24">
        <f>IF($B186="",0,IF(COUNTIFS($B$5:$B186,$B186,$C$5:$C186,$C186)=1,1,0))</f>
        <v/>
      </c>
      <c r="V186" s="24">
        <f>IF(OR($B186="",$G186="",$G186="لا توجد مشاهدات"),0,1)</f>
        <v/>
      </c>
      <c r="W186" s="24">
        <f>IF(AND($B186&lt;&gt;"",$I186="تم تحرير مخالفة"),1,0)</f>
        <v/>
      </c>
      <c r="X186" s="24">
        <f>IF($B186="","",IF($S186=WkStart,COUNTIF($S$5:$S186,WkStart),""))</f>
        <v/>
      </c>
    </row>
    <row r="187">
      <c r="A187" s="16">
        <f>IF($B187="","",ROW()-4)</f>
        <v/>
      </c>
      <c r="B187" s="17" t="n"/>
      <c r="C187" s="18" t="n"/>
      <c r="D187" s="18" t="n"/>
      <c r="E187" s="19" t="n"/>
      <c r="F187" s="19" t="n"/>
      <c r="G187" s="18" t="n"/>
      <c r="H187" s="18" t="n"/>
      <c r="I187" s="18" t="n"/>
      <c r="J187" s="20" t="n"/>
      <c r="K187" s="21" t="n"/>
      <c r="L187" s="21" t="n"/>
      <c r="M187" s="18" t="n"/>
      <c r="N187" s="22">
        <f>IF($B187="","",CHOOSE(WEEKDAY($B187),"الأحد","الاثنين","الثلاثاء","الأربعاء","الخميس","الجمعة","السبت"))</f>
        <v/>
      </c>
      <c r="O187" s="23">
        <f>IF(OR($K187="",$L187=""),"",HYPERLINK("https://maps.google.com/?q="&amp;$K187&amp;","&amp;$L187,"عرض الموقع"))</f>
        <v/>
      </c>
      <c r="P187" s="23">
        <f>IF(OR($B187="",N($J187)=0),"",HYPERLINK(PhotoDir&amp;"/"&amp;YEAR($B187)&amp;"-"&amp;TEXT(MONTH($B187),"00")&amp;"-"&amp;TEXT(DAY($B187),"00")&amp;"_"&amp;$D187,"فتح الصور ("&amp;$J187&amp;")"))</f>
        <v/>
      </c>
      <c r="Q187" s="24">
        <f>IF($B187="","",MONTH($B187))</f>
        <v/>
      </c>
      <c r="R187" s="24">
        <f>IF($B187="","",YEAR($B187))</f>
        <v/>
      </c>
      <c r="S187" s="25">
        <f>IF($B187="","",$B187-WEEKDAY($B187,3))</f>
        <v/>
      </c>
      <c r="T187" s="24">
        <f>IF($B187="",0,IF(COUNTIFS($B$5:$B187,$B187,$D$5:$D187,$D187)=1,1,0))</f>
        <v/>
      </c>
      <c r="U187" s="24">
        <f>IF($B187="",0,IF(COUNTIFS($B$5:$B187,$B187,$C$5:$C187,$C187)=1,1,0))</f>
        <v/>
      </c>
      <c r="V187" s="24">
        <f>IF(OR($B187="",$G187="",$G187="لا توجد مشاهدات"),0,1)</f>
        <v/>
      </c>
      <c r="W187" s="24">
        <f>IF(AND($B187&lt;&gt;"",$I187="تم تحرير مخالفة"),1,0)</f>
        <v/>
      </c>
      <c r="X187" s="24">
        <f>IF($B187="","",IF($S187=WkStart,COUNTIF($S$5:$S187,WkStart),""))</f>
        <v/>
      </c>
    </row>
    <row r="188">
      <c r="A188" s="16">
        <f>IF($B188="","",ROW()-4)</f>
        <v/>
      </c>
      <c r="B188" s="17" t="n"/>
      <c r="C188" s="18" t="n"/>
      <c r="D188" s="18" t="n"/>
      <c r="E188" s="19" t="n"/>
      <c r="F188" s="19" t="n"/>
      <c r="G188" s="18" t="n"/>
      <c r="H188" s="18" t="n"/>
      <c r="I188" s="18" t="n"/>
      <c r="J188" s="20" t="n"/>
      <c r="K188" s="21" t="n"/>
      <c r="L188" s="21" t="n"/>
      <c r="M188" s="18" t="n"/>
      <c r="N188" s="22">
        <f>IF($B188="","",CHOOSE(WEEKDAY($B188),"الأحد","الاثنين","الثلاثاء","الأربعاء","الخميس","الجمعة","السبت"))</f>
        <v/>
      </c>
      <c r="O188" s="23">
        <f>IF(OR($K188="",$L188=""),"",HYPERLINK("https://maps.google.com/?q="&amp;$K188&amp;","&amp;$L188,"عرض الموقع"))</f>
        <v/>
      </c>
      <c r="P188" s="23">
        <f>IF(OR($B188="",N($J188)=0),"",HYPERLINK(PhotoDir&amp;"/"&amp;YEAR($B188)&amp;"-"&amp;TEXT(MONTH($B188),"00")&amp;"-"&amp;TEXT(DAY($B188),"00")&amp;"_"&amp;$D188,"فتح الصور ("&amp;$J188&amp;")"))</f>
        <v/>
      </c>
      <c r="Q188" s="24">
        <f>IF($B188="","",MONTH($B188))</f>
        <v/>
      </c>
      <c r="R188" s="24">
        <f>IF($B188="","",YEAR($B188))</f>
        <v/>
      </c>
      <c r="S188" s="25">
        <f>IF($B188="","",$B188-WEEKDAY($B188,3))</f>
        <v/>
      </c>
      <c r="T188" s="24">
        <f>IF($B188="",0,IF(COUNTIFS($B$5:$B188,$B188,$D$5:$D188,$D188)=1,1,0))</f>
        <v/>
      </c>
      <c r="U188" s="24">
        <f>IF($B188="",0,IF(COUNTIFS($B$5:$B188,$B188,$C$5:$C188,$C188)=1,1,0))</f>
        <v/>
      </c>
      <c r="V188" s="24">
        <f>IF(OR($B188="",$G188="",$G188="لا توجد مشاهدات"),0,1)</f>
        <v/>
      </c>
      <c r="W188" s="24">
        <f>IF(AND($B188&lt;&gt;"",$I188="تم تحرير مخالفة"),1,0)</f>
        <v/>
      </c>
      <c r="X188" s="24">
        <f>IF($B188="","",IF($S188=WkStart,COUNTIF($S$5:$S188,WkStart),""))</f>
        <v/>
      </c>
    </row>
    <row r="189">
      <c r="A189" s="16">
        <f>IF($B189="","",ROW()-4)</f>
        <v/>
      </c>
      <c r="B189" s="17" t="n"/>
      <c r="C189" s="18" t="n"/>
      <c r="D189" s="18" t="n"/>
      <c r="E189" s="19" t="n"/>
      <c r="F189" s="19" t="n"/>
      <c r="G189" s="18" t="n"/>
      <c r="H189" s="18" t="n"/>
      <c r="I189" s="18" t="n"/>
      <c r="J189" s="20" t="n"/>
      <c r="K189" s="21" t="n"/>
      <c r="L189" s="21" t="n"/>
      <c r="M189" s="18" t="n"/>
      <c r="N189" s="22">
        <f>IF($B189="","",CHOOSE(WEEKDAY($B189),"الأحد","الاثنين","الثلاثاء","الأربعاء","الخميس","الجمعة","السبت"))</f>
        <v/>
      </c>
      <c r="O189" s="23">
        <f>IF(OR($K189="",$L189=""),"",HYPERLINK("https://maps.google.com/?q="&amp;$K189&amp;","&amp;$L189,"عرض الموقع"))</f>
        <v/>
      </c>
      <c r="P189" s="23">
        <f>IF(OR($B189="",N($J189)=0),"",HYPERLINK(PhotoDir&amp;"/"&amp;YEAR($B189)&amp;"-"&amp;TEXT(MONTH($B189),"00")&amp;"-"&amp;TEXT(DAY($B189),"00")&amp;"_"&amp;$D189,"فتح الصور ("&amp;$J189&amp;")"))</f>
        <v/>
      </c>
      <c r="Q189" s="24">
        <f>IF($B189="","",MONTH($B189))</f>
        <v/>
      </c>
      <c r="R189" s="24">
        <f>IF($B189="","",YEAR($B189))</f>
        <v/>
      </c>
      <c r="S189" s="25">
        <f>IF($B189="","",$B189-WEEKDAY($B189,3))</f>
        <v/>
      </c>
      <c r="T189" s="24">
        <f>IF($B189="",0,IF(COUNTIFS($B$5:$B189,$B189,$D$5:$D189,$D189)=1,1,0))</f>
        <v/>
      </c>
      <c r="U189" s="24">
        <f>IF($B189="",0,IF(COUNTIFS($B$5:$B189,$B189,$C$5:$C189,$C189)=1,1,0))</f>
        <v/>
      </c>
      <c r="V189" s="24">
        <f>IF(OR($B189="",$G189="",$G189="لا توجد مشاهدات"),0,1)</f>
        <v/>
      </c>
      <c r="W189" s="24">
        <f>IF(AND($B189&lt;&gt;"",$I189="تم تحرير مخالفة"),1,0)</f>
        <v/>
      </c>
      <c r="X189" s="24">
        <f>IF($B189="","",IF($S189=WkStart,COUNTIF($S$5:$S189,WkStart),""))</f>
        <v/>
      </c>
    </row>
    <row r="190">
      <c r="A190" s="16">
        <f>IF($B190="","",ROW()-4)</f>
        <v/>
      </c>
      <c r="B190" s="17" t="n"/>
      <c r="C190" s="18" t="n"/>
      <c r="D190" s="18" t="n"/>
      <c r="E190" s="19" t="n"/>
      <c r="F190" s="19" t="n"/>
      <c r="G190" s="18" t="n"/>
      <c r="H190" s="18" t="n"/>
      <c r="I190" s="18" t="n"/>
      <c r="J190" s="20" t="n"/>
      <c r="K190" s="21" t="n"/>
      <c r="L190" s="21" t="n"/>
      <c r="M190" s="18" t="n"/>
      <c r="N190" s="22">
        <f>IF($B190="","",CHOOSE(WEEKDAY($B190),"الأحد","الاثنين","الثلاثاء","الأربعاء","الخميس","الجمعة","السبت"))</f>
        <v/>
      </c>
      <c r="O190" s="23">
        <f>IF(OR($K190="",$L190=""),"",HYPERLINK("https://maps.google.com/?q="&amp;$K190&amp;","&amp;$L190,"عرض الموقع"))</f>
        <v/>
      </c>
      <c r="P190" s="23">
        <f>IF(OR($B190="",N($J190)=0),"",HYPERLINK(PhotoDir&amp;"/"&amp;YEAR($B190)&amp;"-"&amp;TEXT(MONTH($B190),"00")&amp;"-"&amp;TEXT(DAY($B190),"00")&amp;"_"&amp;$D190,"فتح الصور ("&amp;$J190&amp;")"))</f>
        <v/>
      </c>
      <c r="Q190" s="24">
        <f>IF($B190="","",MONTH($B190))</f>
        <v/>
      </c>
      <c r="R190" s="24">
        <f>IF($B190="","",YEAR($B190))</f>
        <v/>
      </c>
      <c r="S190" s="25">
        <f>IF($B190="","",$B190-WEEKDAY($B190,3))</f>
        <v/>
      </c>
      <c r="T190" s="24">
        <f>IF($B190="",0,IF(COUNTIFS($B$5:$B190,$B190,$D$5:$D190,$D190)=1,1,0))</f>
        <v/>
      </c>
      <c r="U190" s="24">
        <f>IF($B190="",0,IF(COUNTIFS($B$5:$B190,$B190,$C$5:$C190,$C190)=1,1,0))</f>
        <v/>
      </c>
      <c r="V190" s="24">
        <f>IF(OR($B190="",$G190="",$G190="لا توجد مشاهدات"),0,1)</f>
        <v/>
      </c>
      <c r="W190" s="24">
        <f>IF(AND($B190&lt;&gt;"",$I190="تم تحرير مخالفة"),1,0)</f>
        <v/>
      </c>
      <c r="X190" s="24">
        <f>IF($B190="","",IF($S190=WkStart,COUNTIF($S$5:$S190,WkStart),""))</f>
        <v/>
      </c>
    </row>
    <row r="191">
      <c r="A191" s="16">
        <f>IF($B191="","",ROW()-4)</f>
        <v/>
      </c>
      <c r="B191" s="17" t="n"/>
      <c r="C191" s="18" t="n"/>
      <c r="D191" s="18" t="n"/>
      <c r="E191" s="19" t="n"/>
      <c r="F191" s="19" t="n"/>
      <c r="G191" s="18" t="n"/>
      <c r="H191" s="18" t="n"/>
      <c r="I191" s="18" t="n"/>
      <c r="J191" s="20" t="n"/>
      <c r="K191" s="21" t="n"/>
      <c r="L191" s="21" t="n"/>
      <c r="M191" s="18" t="n"/>
      <c r="N191" s="22">
        <f>IF($B191="","",CHOOSE(WEEKDAY($B191),"الأحد","الاثنين","الثلاثاء","الأربعاء","الخميس","الجمعة","السبت"))</f>
        <v/>
      </c>
      <c r="O191" s="23">
        <f>IF(OR($K191="",$L191=""),"",HYPERLINK("https://maps.google.com/?q="&amp;$K191&amp;","&amp;$L191,"عرض الموقع"))</f>
        <v/>
      </c>
      <c r="P191" s="23">
        <f>IF(OR($B191="",N($J191)=0),"",HYPERLINK(PhotoDir&amp;"/"&amp;YEAR($B191)&amp;"-"&amp;TEXT(MONTH($B191),"00")&amp;"-"&amp;TEXT(DAY($B191),"00")&amp;"_"&amp;$D191,"فتح الصور ("&amp;$J191&amp;")"))</f>
        <v/>
      </c>
      <c r="Q191" s="24">
        <f>IF($B191="","",MONTH($B191))</f>
        <v/>
      </c>
      <c r="R191" s="24">
        <f>IF($B191="","",YEAR($B191))</f>
        <v/>
      </c>
      <c r="S191" s="25">
        <f>IF($B191="","",$B191-WEEKDAY($B191,3))</f>
        <v/>
      </c>
      <c r="T191" s="24">
        <f>IF($B191="",0,IF(COUNTIFS($B$5:$B191,$B191,$D$5:$D191,$D191)=1,1,0))</f>
        <v/>
      </c>
      <c r="U191" s="24">
        <f>IF($B191="",0,IF(COUNTIFS($B$5:$B191,$B191,$C$5:$C191,$C191)=1,1,0))</f>
        <v/>
      </c>
      <c r="V191" s="24">
        <f>IF(OR($B191="",$G191="",$G191="لا توجد مشاهدات"),0,1)</f>
        <v/>
      </c>
      <c r="W191" s="24">
        <f>IF(AND($B191&lt;&gt;"",$I191="تم تحرير مخالفة"),1,0)</f>
        <v/>
      </c>
      <c r="X191" s="24">
        <f>IF($B191="","",IF($S191=WkStart,COUNTIF($S$5:$S191,WkStart),""))</f>
        <v/>
      </c>
    </row>
    <row r="192">
      <c r="A192" s="16">
        <f>IF($B192="","",ROW()-4)</f>
        <v/>
      </c>
      <c r="B192" s="17" t="n"/>
      <c r="C192" s="18" t="n"/>
      <c r="D192" s="18" t="n"/>
      <c r="E192" s="19" t="n"/>
      <c r="F192" s="19" t="n"/>
      <c r="G192" s="18" t="n"/>
      <c r="H192" s="18" t="n"/>
      <c r="I192" s="18" t="n"/>
      <c r="J192" s="20" t="n"/>
      <c r="K192" s="21" t="n"/>
      <c r="L192" s="21" t="n"/>
      <c r="M192" s="18" t="n"/>
      <c r="N192" s="22">
        <f>IF($B192="","",CHOOSE(WEEKDAY($B192),"الأحد","الاثنين","الثلاثاء","الأربعاء","الخميس","الجمعة","السبت"))</f>
        <v/>
      </c>
      <c r="O192" s="23">
        <f>IF(OR($K192="",$L192=""),"",HYPERLINK("https://maps.google.com/?q="&amp;$K192&amp;","&amp;$L192,"عرض الموقع"))</f>
        <v/>
      </c>
      <c r="P192" s="23">
        <f>IF(OR($B192="",N($J192)=0),"",HYPERLINK(PhotoDir&amp;"/"&amp;YEAR($B192)&amp;"-"&amp;TEXT(MONTH($B192),"00")&amp;"-"&amp;TEXT(DAY($B192),"00")&amp;"_"&amp;$D192,"فتح الصور ("&amp;$J192&amp;")"))</f>
        <v/>
      </c>
      <c r="Q192" s="24">
        <f>IF($B192="","",MONTH($B192))</f>
        <v/>
      </c>
      <c r="R192" s="24">
        <f>IF($B192="","",YEAR($B192))</f>
        <v/>
      </c>
      <c r="S192" s="25">
        <f>IF($B192="","",$B192-WEEKDAY($B192,3))</f>
        <v/>
      </c>
      <c r="T192" s="24">
        <f>IF($B192="",0,IF(COUNTIFS($B$5:$B192,$B192,$D$5:$D192,$D192)=1,1,0))</f>
        <v/>
      </c>
      <c r="U192" s="24">
        <f>IF($B192="",0,IF(COUNTIFS($B$5:$B192,$B192,$C$5:$C192,$C192)=1,1,0))</f>
        <v/>
      </c>
      <c r="V192" s="24">
        <f>IF(OR($B192="",$G192="",$G192="لا توجد مشاهدات"),0,1)</f>
        <v/>
      </c>
      <c r="W192" s="24">
        <f>IF(AND($B192&lt;&gt;"",$I192="تم تحرير مخالفة"),1,0)</f>
        <v/>
      </c>
      <c r="X192" s="24">
        <f>IF($B192="","",IF($S192=WkStart,COUNTIF($S$5:$S192,WkStart),""))</f>
        <v/>
      </c>
    </row>
    <row r="193">
      <c r="A193" s="16">
        <f>IF($B193="","",ROW()-4)</f>
        <v/>
      </c>
      <c r="B193" s="17" t="n"/>
      <c r="C193" s="18" t="n"/>
      <c r="D193" s="18" t="n"/>
      <c r="E193" s="19" t="n"/>
      <c r="F193" s="19" t="n"/>
      <c r="G193" s="18" t="n"/>
      <c r="H193" s="18" t="n"/>
      <c r="I193" s="18" t="n"/>
      <c r="J193" s="20" t="n"/>
      <c r="K193" s="21" t="n"/>
      <c r="L193" s="21" t="n"/>
      <c r="M193" s="18" t="n"/>
      <c r="N193" s="22">
        <f>IF($B193="","",CHOOSE(WEEKDAY($B193),"الأحد","الاثنين","الثلاثاء","الأربعاء","الخميس","الجمعة","السبت"))</f>
        <v/>
      </c>
      <c r="O193" s="23">
        <f>IF(OR($K193="",$L193=""),"",HYPERLINK("https://maps.google.com/?q="&amp;$K193&amp;","&amp;$L193,"عرض الموقع"))</f>
        <v/>
      </c>
      <c r="P193" s="23">
        <f>IF(OR($B193="",N($J193)=0),"",HYPERLINK(PhotoDir&amp;"/"&amp;YEAR($B193)&amp;"-"&amp;TEXT(MONTH($B193),"00")&amp;"-"&amp;TEXT(DAY($B193),"00")&amp;"_"&amp;$D193,"فتح الصور ("&amp;$J193&amp;")"))</f>
        <v/>
      </c>
      <c r="Q193" s="24">
        <f>IF($B193="","",MONTH($B193))</f>
        <v/>
      </c>
      <c r="R193" s="24">
        <f>IF($B193="","",YEAR($B193))</f>
        <v/>
      </c>
      <c r="S193" s="25">
        <f>IF($B193="","",$B193-WEEKDAY($B193,3))</f>
        <v/>
      </c>
      <c r="T193" s="24">
        <f>IF($B193="",0,IF(COUNTIFS($B$5:$B193,$B193,$D$5:$D193,$D193)=1,1,0))</f>
        <v/>
      </c>
      <c r="U193" s="24">
        <f>IF($B193="",0,IF(COUNTIFS($B$5:$B193,$B193,$C$5:$C193,$C193)=1,1,0))</f>
        <v/>
      </c>
      <c r="V193" s="24">
        <f>IF(OR($B193="",$G193="",$G193="لا توجد مشاهدات"),0,1)</f>
        <v/>
      </c>
      <c r="W193" s="24">
        <f>IF(AND($B193&lt;&gt;"",$I193="تم تحرير مخالفة"),1,0)</f>
        <v/>
      </c>
      <c r="X193" s="24">
        <f>IF($B193="","",IF($S193=WkStart,COUNTIF($S$5:$S193,WkStart),""))</f>
        <v/>
      </c>
    </row>
    <row r="194">
      <c r="A194" s="16">
        <f>IF($B194="","",ROW()-4)</f>
        <v/>
      </c>
      <c r="B194" s="17" t="n"/>
      <c r="C194" s="18" t="n"/>
      <c r="D194" s="18" t="n"/>
      <c r="E194" s="19" t="n"/>
      <c r="F194" s="19" t="n"/>
      <c r="G194" s="18" t="n"/>
      <c r="H194" s="18" t="n"/>
      <c r="I194" s="18" t="n"/>
      <c r="J194" s="20" t="n"/>
      <c r="K194" s="21" t="n"/>
      <c r="L194" s="21" t="n"/>
      <c r="M194" s="18" t="n"/>
      <c r="N194" s="22">
        <f>IF($B194="","",CHOOSE(WEEKDAY($B194),"الأحد","الاثنين","الثلاثاء","الأربعاء","الخميس","الجمعة","السبت"))</f>
        <v/>
      </c>
      <c r="O194" s="23">
        <f>IF(OR($K194="",$L194=""),"",HYPERLINK("https://maps.google.com/?q="&amp;$K194&amp;","&amp;$L194,"عرض الموقع"))</f>
        <v/>
      </c>
      <c r="P194" s="23">
        <f>IF(OR($B194="",N($J194)=0),"",HYPERLINK(PhotoDir&amp;"/"&amp;YEAR($B194)&amp;"-"&amp;TEXT(MONTH($B194),"00")&amp;"-"&amp;TEXT(DAY($B194),"00")&amp;"_"&amp;$D194,"فتح الصور ("&amp;$J194&amp;")"))</f>
        <v/>
      </c>
      <c r="Q194" s="24">
        <f>IF($B194="","",MONTH($B194))</f>
        <v/>
      </c>
      <c r="R194" s="24">
        <f>IF($B194="","",YEAR($B194))</f>
        <v/>
      </c>
      <c r="S194" s="25">
        <f>IF($B194="","",$B194-WEEKDAY($B194,3))</f>
        <v/>
      </c>
      <c r="T194" s="24">
        <f>IF($B194="",0,IF(COUNTIFS($B$5:$B194,$B194,$D$5:$D194,$D194)=1,1,0))</f>
        <v/>
      </c>
      <c r="U194" s="24">
        <f>IF($B194="",0,IF(COUNTIFS($B$5:$B194,$B194,$C$5:$C194,$C194)=1,1,0))</f>
        <v/>
      </c>
      <c r="V194" s="24">
        <f>IF(OR($B194="",$G194="",$G194="لا توجد مشاهدات"),0,1)</f>
        <v/>
      </c>
      <c r="W194" s="24">
        <f>IF(AND($B194&lt;&gt;"",$I194="تم تحرير مخالفة"),1,0)</f>
        <v/>
      </c>
      <c r="X194" s="24">
        <f>IF($B194="","",IF($S194=WkStart,COUNTIF($S$5:$S194,WkStart),""))</f>
        <v/>
      </c>
    </row>
    <row r="195">
      <c r="A195" s="16">
        <f>IF($B195="","",ROW()-4)</f>
        <v/>
      </c>
      <c r="B195" s="17" t="n"/>
      <c r="C195" s="18" t="n"/>
      <c r="D195" s="18" t="n"/>
      <c r="E195" s="19" t="n"/>
      <c r="F195" s="19" t="n"/>
      <c r="G195" s="18" t="n"/>
      <c r="H195" s="18" t="n"/>
      <c r="I195" s="18" t="n"/>
      <c r="J195" s="20" t="n"/>
      <c r="K195" s="21" t="n"/>
      <c r="L195" s="21" t="n"/>
      <c r="M195" s="18" t="n"/>
      <c r="N195" s="22">
        <f>IF($B195="","",CHOOSE(WEEKDAY($B195),"الأحد","الاثنين","الثلاثاء","الأربعاء","الخميس","الجمعة","السبت"))</f>
        <v/>
      </c>
      <c r="O195" s="23">
        <f>IF(OR($K195="",$L195=""),"",HYPERLINK("https://maps.google.com/?q="&amp;$K195&amp;","&amp;$L195,"عرض الموقع"))</f>
        <v/>
      </c>
      <c r="P195" s="23">
        <f>IF(OR($B195="",N($J195)=0),"",HYPERLINK(PhotoDir&amp;"/"&amp;YEAR($B195)&amp;"-"&amp;TEXT(MONTH($B195),"00")&amp;"-"&amp;TEXT(DAY($B195),"00")&amp;"_"&amp;$D195,"فتح الصور ("&amp;$J195&amp;")"))</f>
        <v/>
      </c>
      <c r="Q195" s="24">
        <f>IF($B195="","",MONTH($B195))</f>
        <v/>
      </c>
      <c r="R195" s="24">
        <f>IF($B195="","",YEAR($B195))</f>
        <v/>
      </c>
      <c r="S195" s="25">
        <f>IF($B195="","",$B195-WEEKDAY($B195,3))</f>
        <v/>
      </c>
      <c r="T195" s="24">
        <f>IF($B195="",0,IF(COUNTIFS($B$5:$B195,$B195,$D$5:$D195,$D195)=1,1,0))</f>
        <v/>
      </c>
      <c r="U195" s="24">
        <f>IF($B195="",0,IF(COUNTIFS($B$5:$B195,$B195,$C$5:$C195,$C195)=1,1,0))</f>
        <v/>
      </c>
      <c r="V195" s="24">
        <f>IF(OR($B195="",$G195="",$G195="لا توجد مشاهدات"),0,1)</f>
        <v/>
      </c>
      <c r="W195" s="24">
        <f>IF(AND($B195&lt;&gt;"",$I195="تم تحرير مخالفة"),1,0)</f>
        <v/>
      </c>
      <c r="X195" s="24">
        <f>IF($B195="","",IF($S195=WkStart,COUNTIF($S$5:$S195,WkStart),""))</f>
        <v/>
      </c>
    </row>
    <row r="196">
      <c r="A196" s="16">
        <f>IF($B196="","",ROW()-4)</f>
        <v/>
      </c>
      <c r="B196" s="17" t="n"/>
      <c r="C196" s="18" t="n"/>
      <c r="D196" s="18" t="n"/>
      <c r="E196" s="19" t="n"/>
      <c r="F196" s="19" t="n"/>
      <c r="G196" s="18" t="n"/>
      <c r="H196" s="18" t="n"/>
      <c r="I196" s="18" t="n"/>
      <c r="J196" s="20" t="n"/>
      <c r="K196" s="21" t="n"/>
      <c r="L196" s="21" t="n"/>
      <c r="M196" s="18" t="n"/>
      <c r="N196" s="22">
        <f>IF($B196="","",CHOOSE(WEEKDAY($B196),"الأحد","الاثنين","الثلاثاء","الأربعاء","الخميس","الجمعة","السبت"))</f>
        <v/>
      </c>
      <c r="O196" s="23">
        <f>IF(OR($K196="",$L196=""),"",HYPERLINK("https://maps.google.com/?q="&amp;$K196&amp;","&amp;$L196,"عرض الموقع"))</f>
        <v/>
      </c>
      <c r="P196" s="23">
        <f>IF(OR($B196="",N($J196)=0),"",HYPERLINK(PhotoDir&amp;"/"&amp;YEAR($B196)&amp;"-"&amp;TEXT(MONTH($B196),"00")&amp;"-"&amp;TEXT(DAY($B196),"00")&amp;"_"&amp;$D196,"فتح الصور ("&amp;$J196&amp;")"))</f>
        <v/>
      </c>
      <c r="Q196" s="24">
        <f>IF($B196="","",MONTH($B196))</f>
        <v/>
      </c>
      <c r="R196" s="24">
        <f>IF($B196="","",YEAR($B196))</f>
        <v/>
      </c>
      <c r="S196" s="25">
        <f>IF($B196="","",$B196-WEEKDAY($B196,3))</f>
        <v/>
      </c>
      <c r="T196" s="24">
        <f>IF($B196="",0,IF(COUNTIFS($B$5:$B196,$B196,$D$5:$D196,$D196)=1,1,0))</f>
        <v/>
      </c>
      <c r="U196" s="24">
        <f>IF($B196="",0,IF(COUNTIFS($B$5:$B196,$B196,$C$5:$C196,$C196)=1,1,0))</f>
        <v/>
      </c>
      <c r="V196" s="24">
        <f>IF(OR($B196="",$G196="",$G196="لا توجد مشاهدات"),0,1)</f>
        <v/>
      </c>
      <c r="W196" s="24">
        <f>IF(AND($B196&lt;&gt;"",$I196="تم تحرير مخالفة"),1,0)</f>
        <v/>
      </c>
      <c r="X196" s="24">
        <f>IF($B196="","",IF($S196=WkStart,COUNTIF($S$5:$S196,WkStart),""))</f>
        <v/>
      </c>
    </row>
    <row r="197">
      <c r="A197" s="16">
        <f>IF($B197="","",ROW()-4)</f>
        <v/>
      </c>
      <c r="B197" s="17" t="n"/>
      <c r="C197" s="18" t="n"/>
      <c r="D197" s="18" t="n"/>
      <c r="E197" s="19" t="n"/>
      <c r="F197" s="19" t="n"/>
      <c r="G197" s="18" t="n"/>
      <c r="H197" s="18" t="n"/>
      <c r="I197" s="18" t="n"/>
      <c r="J197" s="20" t="n"/>
      <c r="K197" s="21" t="n"/>
      <c r="L197" s="21" t="n"/>
      <c r="M197" s="18" t="n"/>
      <c r="N197" s="22">
        <f>IF($B197="","",CHOOSE(WEEKDAY($B197),"الأحد","الاثنين","الثلاثاء","الأربعاء","الخميس","الجمعة","السبت"))</f>
        <v/>
      </c>
      <c r="O197" s="23">
        <f>IF(OR($K197="",$L197=""),"",HYPERLINK("https://maps.google.com/?q="&amp;$K197&amp;","&amp;$L197,"عرض الموقع"))</f>
        <v/>
      </c>
      <c r="P197" s="23">
        <f>IF(OR($B197="",N($J197)=0),"",HYPERLINK(PhotoDir&amp;"/"&amp;YEAR($B197)&amp;"-"&amp;TEXT(MONTH($B197),"00")&amp;"-"&amp;TEXT(DAY($B197),"00")&amp;"_"&amp;$D197,"فتح الصور ("&amp;$J197&amp;")"))</f>
        <v/>
      </c>
      <c r="Q197" s="24">
        <f>IF($B197="","",MONTH($B197))</f>
        <v/>
      </c>
      <c r="R197" s="24">
        <f>IF($B197="","",YEAR($B197))</f>
        <v/>
      </c>
      <c r="S197" s="25">
        <f>IF($B197="","",$B197-WEEKDAY($B197,3))</f>
        <v/>
      </c>
      <c r="T197" s="24">
        <f>IF($B197="",0,IF(COUNTIFS($B$5:$B197,$B197,$D$5:$D197,$D197)=1,1,0))</f>
        <v/>
      </c>
      <c r="U197" s="24">
        <f>IF($B197="",0,IF(COUNTIFS($B$5:$B197,$B197,$C$5:$C197,$C197)=1,1,0))</f>
        <v/>
      </c>
      <c r="V197" s="24">
        <f>IF(OR($B197="",$G197="",$G197="لا توجد مشاهدات"),0,1)</f>
        <v/>
      </c>
      <c r="W197" s="24">
        <f>IF(AND($B197&lt;&gt;"",$I197="تم تحرير مخالفة"),1,0)</f>
        <v/>
      </c>
      <c r="X197" s="24">
        <f>IF($B197="","",IF($S197=WkStart,COUNTIF($S$5:$S197,WkStart),""))</f>
        <v/>
      </c>
    </row>
    <row r="198">
      <c r="A198" s="16">
        <f>IF($B198="","",ROW()-4)</f>
        <v/>
      </c>
      <c r="B198" s="17" t="n"/>
      <c r="C198" s="18" t="n"/>
      <c r="D198" s="18" t="n"/>
      <c r="E198" s="19" t="n"/>
      <c r="F198" s="19" t="n"/>
      <c r="G198" s="18" t="n"/>
      <c r="H198" s="18" t="n"/>
      <c r="I198" s="18" t="n"/>
      <c r="J198" s="20" t="n"/>
      <c r="K198" s="21" t="n"/>
      <c r="L198" s="21" t="n"/>
      <c r="M198" s="18" t="n"/>
      <c r="N198" s="22">
        <f>IF($B198="","",CHOOSE(WEEKDAY($B198),"الأحد","الاثنين","الثلاثاء","الأربعاء","الخميس","الجمعة","السبت"))</f>
        <v/>
      </c>
      <c r="O198" s="23">
        <f>IF(OR($K198="",$L198=""),"",HYPERLINK("https://maps.google.com/?q="&amp;$K198&amp;","&amp;$L198,"عرض الموقع"))</f>
        <v/>
      </c>
      <c r="P198" s="23">
        <f>IF(OR($B198="",N($J198)=0),"",HYPERLINK(PhotoDir&amp;"/"&amp;YEAR($B198)&amp;"-"&amp;TEXT(MONTH($B198),"00")&amp;"-"&amp;TEXT(DAY($B198),"00")&amp;"_"&amp;$D198,"فتح الصور ("&amp;$J198&amp;")"))</f>
        <v/>
      </c>
      <c r="Q198" s="24">
        <f>IF($B198="","",MONTH($B198))</f>
        <v/>
      </c>
      <c r="R198" s="24">
        <f>IF($B198="","",YEAR($B198))</f>
        <v/>
      </c>
      <c r="S198" s="25">
        <f>IF($B198="","",$B198-WEEKDAY($B198,3))</f>
        <v/>
      </c>
      <c r="T198" s="24">
        <f>IF($B198="",0,IF(COUNTIFS($B$5:$B198,$B198,$D$5:$D198,$D198)=1,1,0))</f>
        <v/>
      </c>
      <c r="U198" s="24">
        <f>IF($B198="",0,IF(COUNTIFS($B$5:$B198,$B198,$C$5:$C198,$C198)=1,1,0))</f>
        <v/>
      </c>
      <c r="V198" s="24">
        <f>IF(OR($B198="",$G198="",$G198="لا توجد مشاهدات"),0,1)</f>
        <v/>
      </c>
      <c r="W198" s="24">
        <f>IF(AND($B198&lt;&gt;"",$I198="تم تحرير مخالفة"),1,0)</f>
        <v/>
      </c>
      <c r="X198" s="24">
        <f>IF($B198="","",IF($S198=WkStart,COUNTIF($S$5:$S198,WkStart),""))</f>
        <v/>
      </c>
    </row>
    <row r="199">
      <c r="A199" s="16">
        <f>IF($B199="","",ROW()-4)</f>
        <v/>
      </c>
      <c r="B199" s="17" t="n"/>
      <c r="C199" s="18" t="n"/>
      <c r="D199" s="18" t="n"/>
      <c r="E199" s="19" t="n"/>
      <c r="F199" s="19" t="n"/>
      <c r="G199" s="18" t="n"/>
      <c r="H199" s="18" t="n"/>
      <c r="I199" s="18" t="n"/>
      <c r="J199" s="20" t="n"/>
      <c r="K199" s="21" t="n"/>
      <c r="L199" s="21" t="n"/>
      <c r="M199" s="18" t="n"/>
      <c r="N199" s="22">
        <f>IF($B199="","",CHOOSE(WEEKDAY($B199),"الأحد","الاثنين","الثلاثاء","الأربعاء","الخميس","الجمعة","السبت"))</f>
        <v/>
      </c>
      <c r="O199" s="23">
        <f>IF(OR($K199="",$L199=""),"",HYPERLINK("https://maps.google.com/?q="&amp;$K199&amp;","&amp;$L199,"عرض الموقع"))</f>
        <v/>
      </c>
      <c r="P199" s="23">
        <f>IF(OR($B199="",N($J199)=0),"",HYPERLINK(PhotoDir&amp;"/"&amp;YEAR($B199)&amp;"-"&amp;TEXT(MONTH($B199),"00")&amp;"-"&amp;TEXT(DAY($B199),"00")&amp;"_"&amp;$D199,"فتح الصور ("&amp;$J199&amp;")"))</f>
        <v/>
      </c>
      <c r="Q199" s="24">
        <f>IF($B199="","",MONTH($B199))</f>
        <v/>
      </c>
      <c r="R199" s="24">
        <f>IF($B199="","",YEAR($B199))</f>
        <v/>
      </c>
      <c r="S199" s="25">
        <f>IF($B199="","",$B199-WEEKDAY($B199,3))</f>
        <v/>
      </c>
      <c r="T199" s="24">
        <f>IF($B199="",0,IF(COUNTIFS($B$5:$B199,$B199,$D$5:$D199,$D199)=1,1,0))</f>
        <v/>
      </c>
      <c r="U199" s="24">
        <f>IF($B199="",0,IF(COUNTIFS($B$5:$B199,$B199,$C$5:$C199,$C199)=1,1,0))</f>
        <v/>
      </c>
      <c r="V199" s="24">
        <f>IF(OR($B199="",$G199="",$G199="لا توجد مشاهدات"),0,1)</f>
        <v/>
      </c>
      <c r="W199" s="24">
        <f>IF(AND($B199&lt;&gt;"",$I199="تم تحرير مخالفة"),1,0)</f>
        <v/>
      </c>
      <c r="X199" s="24">
        <f>IF($B199="","",IF($S199=WkStart,COUNTIF($S$5:$S199,WkStart),""))</f>
        <v/>
      </c>
    </row>
    <row r="200">
      <c r="A200" s="16">
        <f>IF($B200="","",ROW()-4)</f>
        <v/>
      </c>
      <c r="B200" s="17" t="n"/>
      <c r="C200" s="18" t="n"/>
      <c r="D200" s="18" t="n"/>
      <c r="E200" s="19" t="n"/>
      <c r="F200" s="19" t="n"/>
      <c r="G200" s="18" t="n"/>
      <c r="H200" s="18" t="n"/>
      <c r="I200" s="18" t="n"/>
      <c r="J200" s="20" t="n"/>
      <c r="K200" s="21" t="n"/>
      <c r="L200" s="21" t="n"/>
      <c r="M200" s="18" t="n"/>
      <c r="N200" s="22">
        <f>IF($B200="","",CHOOSE(WEEKDAY($B200),"الأحد","الاثنين","الثلاثاء","الأربعاء","الخميس","الجمعة","السبت"))</f>
        <v/>
      </c>
      <c r="O200" s="23">
        <f>IF(OR($K200="",$L200=""),"",HYPERLINK("https://maps.google.com/?q="&amp;$K200&amp;","&amp;$L200,"عرض الموقع"))</f>
        <v/>
      </c>
      <c r="P200" s="23">
        <f>IF(OR($B200="",N($J200)=0),"",HYPERLINK(PhotoDir&amp;"/"&amp;YEAR($B200)&amp;"-"&amp;TEXT(MONTH($B200),"00")&amp;"-"&amp;TEXT(DAY($B200),"00")&amp;"_"&amp;$D200,"فتح الصور ("&amp;$J200&amp;")"))</f>
        <v/>
      </c>
      <c r="Q200" s="24">
        <f>IF($B200="","",MONTH($B200))</f>
        <v/>
      </c>
      <c r="R200" s="24">
        <f>IF($B200="","",YEAR($B200))</f>
        <v/>
      </c>
      <c r="S200" s="25">
        <f>IF($B200="","",$B200-WEEKDAY($B200,3))</f>
        <v/>
      </c>
      <c r="T200" s="24">
        <f>IF($B200="",0,IF(COUNTIFS($B$5:$B200,$B200,$D$5:$D200,$D200)=1,1,0))</f>
        <v/>
      </c>
      <c r="U200" s="24">
        <f>IF($B200="",0,IF(COUNTIFS($B$5:$B200,$B200,$C$5:$C200,$C200)=1,1,0))</f>
        <v/>
      </c>
      <c r="V200" s="24">
        <f>IF(OR($B200="",$G200="",$G200="لا توجد مشاهدات"),0,1)</f>
        <v/>
      </c>
      <c r="W200" s="24">
        <f>IF(AND($B200&lt;&gt;"",$I200="تم تحرير مخالفة"),1,0)</f>
        <v/>
      </c>
      <c r="X200" s="24">
        <f>IF($B200="","",IF($S200=WkStart,COUNTIF($S$5:$S200,WkStart),""))</f>
        <v/>
      </c>
    </row>
    <row r="201">
      <c r="A201" s="16">
        <f>IF($B201="","",ROW()-4)</f>
        <v/>
      </c>
      <c r="B201" s="17" t="n"/>
      <c r="C201" s="18" t="n"/>
      <c r="D201" s="18" t="n"/>
      <c r="E201" s="19" t="n"/>
      <c r="F201" s="19" t="n"/>
      <c r="G201" s="18" t="n"/>
      <c r="H201" s="18" t="n"/>
      <c r="I201" s="18" t="n"/>
      <c r="J201" s="20" t="n"/>
      <c r="K201" s="21" t="n"/>
      <c r="L201" s="21" t="n"/>
      <c r="M201" s="18" t="n"/>
      <c r="N201" s="22">
        <f>IF($B201="","",CHOOSE(WEEKDAY($B201),"الأحد","الاثنين","الثلاثاء","الأربعاء","الخميس","الجمعة","السبت"))</f>
        <v/>
      </c>
      <c r="O201" s="23">
        <f>IF(OR($K201="",$L201=""),"",HYPERLINK("https://maps.google.com/?q="&amp;$K201&amp;","&amp;$L201,"عرض الموقع"))</f>
        <v/>
      </c>
      <c r="P201" s="23">
        <f>IF(OR($B201="",N($J201)=0),"",HYPERLINK(PhotoDir&amp;"/"&amp;YEAR($B201)&amp;"-"&amp;TEXT(MONTH($B201),"00")&amp;"-"&amp;TEXT(DAY($B201),"00")&amp;"_"&amp;$D201,"فتح الصور ("&amp;$J201&amp;")"))</f>
        <v/>
      </c>
      <c r="Q201" s="24">
        <f>IF($B201="","",MONTH($B201))</f>
        <v/>
      </c>
      <c r="R201" s="24">
        <f>IF($B201="","",YEAR($B201))</f>
        <v/>
      </c>
      <c r="S201" s="25">
        <f>IF($B201="","",$B201-WEEKDAY($B201,3))</f>
        <v/>
      </c>
      <c r="T201" s="24">
        <f>IF($B201="",0,IF(COUNTIFS($B$5:$B201,$B201,$D$5:$D201,$D201)=1,1,0))</f>
        <v/>
      </c>
      <c r="U201" s="24">
        <f>IF($B201="",0,IF(COUNTIFS($B$5:$B201,$B201,$C$5:$C201,$C201)=1,1,0))</f>
        <v/>
      </c>
      <c r="V201" s="24">
        <f>IF(OR($B201="",$G201="",$G201="لا توجد مشاهدات"),0,1)</f>
        <v/>
      </c>
      <c r="W201" s="24">
        <f>IF(AND($B201&lt;&gt;"",$I201="تم تحرير مخالفة"),1,0)</f>
        <v/>
      </c>
      <c r="X201" s="24">
        <f>IF($B201="","",IF($S201=WkStart,COUNTIF($S$5:$S201,WkStart),""))</f>
        <v/>
      </c>
    </row>
    <row r="202">
      <c r="A202" s="16">
        <f>IF($B202="","",ROW()-4)</f>
        <v/>
      </c>
      <c r="B202" s="17" t="n"/>
      <c r="C202" s="18" t="n"/>
      <c r="D202" s="18" t="n"/>
      <c r="E202" s="19" t="n"/>
      <c r="F202" s="19" t="n"/>
      <c r="G202" s="18" t="n"/>
      <c r="H202" s="18" t="n"/>
      <c r="I202" s="18" t="n"/>
      <c r="J202" s="20" t="n"/>
      <c r="K202" s="21" t="n"/>
      <c r="L202" s="21" t="n"/>
      <c r="M202" s="18" t="n"/>
      <c r="N202" s="22">
        <f>IF($B202="","",CHOOSE(WEEKDAY($B202),"الأحد","الاثنين","الثلاثاء","الأربعاء","الخميس","الجمعة","السبت"))</f>
        <v/>
      </c>
      <c r="O202" s="23">
        <f>IF(OR($K202="",$L202=""),"",HYPERLINK("https://maps.google.com/?q="&amp;$K202&amp;","&amp;$L202,"عرض الموقع"))</f>
        <v/>
      </c>
      <c r="P202" s="23">
        <f>IF(OR($B202="",N($J202)=0),"",HYPERLINK(PhotoDir&amp;"/"&amp;YEAR($B202)&amp;"-"&amp;TEXT(MONTH($B202),"00")&amp;"-"&amp;TEXT(DAY($B202),"00")&amp;"_"&amp;$D202,"فتح الصور ("&amp;$J202&amp;")"))</f>
        <v/>
      </c>
      <c r="Q202" s="24">
        <f>IF($B202="","",MONTH($B202))</f>
        <v/>
      </c>
      <c r="R202" s="24">
        <f>IF($B202="","",YEAR($B202))</f>
        <v/>
      </c>
      <c r="S202" s="25">
        <f>IF($B202="","",$B202-WEEKDAY($B202,3))</f>
        <v/>
      </c>
      <c r="T202" s="24">
        <f>IF($B202="",0,IF(COUNTIFS($B$5:$B202,$B202,$D$5:$D202,$D202)=1,1,0))</f>
        <v/>
      </c>
      <c r="U202" s="24">
        <f>IF($B202="",0,IF(COUNTIFS($B$5:$B202,$B202,$C$5:$C202,$C202)=1,1,0))</f>
        <v/>
      </c>
      <c r="V202" s="24">
        <f>IF(OR($B202="",$G202="",$G202="لا توجد مشاهدات"),0,1)</f>
        <v/>
      </c>
      <c r="W202" s="24">
        <f>IF(AND($B202&lt;&gt;"",$I202="تم تحرير مخالفة"),1,0)</f>
        <v/>
      </c>
      <c r="X202" s="24">
        <f>IF($B202="","",IF($S202=WkStart,COUNTIF($S$5:$S202,WkStart),""))</f>
        <v/>
      </c>
    </row>
    <row r="203">
      <c r="A203" s="16">
        <f>IF($B203="","",ROW()-4)</f>
        <v/>
      </c>
      <c r="B203" s="17" t="n"/>
      <c r="C203" s="18" t="n"/>
      <c r="D203" s="18" t="n"/>
      <c r="E203" s="19" t="n"/>
      <c r="F203" s="19" t="n"/>
      <c r="G203" s="18" t="n"/>
      <c r="H203" s="18" t="n"/>
      <c r="I203" s="18" t="n"/>
      <c r="J203" s="20" t="n"/>
      <c r="K203" s="21" t="n"/>
      <c r="L203" s="21" t="n"/>
      <c r="M203" s="18" t="n"/>
      <c r="N203" s="22">
        <f>IF($B203="","",CHOOSE(WEEKDAY($B203),"الأحد","الاثنين","الثلاثاء","الأربعاء","الخميس","الجمعة","السبت"))</f>
        <v/>
      </c>
      <c r="O203" s="23">
        <f>IF(OR($K203="",$L203=""),"",HYPERLINK("https://maps.google.com/?q="&amp;$K203&amp;","&amp;$L203,"عرض الموقع"))</f>
        <v/>
      </c>
      <c r="P203" s="23">
        <f>IF(OR($B203="",N($J203)=0),"",HYPERLINK(PhotoDir&amp;"/"&amp;YEAR($B203)&amp;"-"&amp;TEXT(MONTH($B203),"00")&amp;"-"&amp;TEXT(DAY($B203),"00")&amp;"_"&amp;$D203,"فتح الصور ("&amp;$J203&amp;")"))</f>
        <v/>
      </c>
      <c r="Q203" s="24">
        <f>IF($B203="","",MONTH($B203))</f>
        <v/>
      </c>
      <c r="R203" s="24">
        <f>IF($B203="","",YEAR($B203))</f>
        <v/>
      </c>
      <c r="S203" s="25">
        <f>IF($B203="","",$B203-WEEKDAY($B203,3))</f>
        <v/>
      </c>
      <c r="T203" s="24">
        <f>IF($B203="",0,IF(COUNTIFS($B$5:$B203,$B203,$D$5:$D203,$D203)=1,1,0))</f>
        <v/>
      </c>
      <c r="U203" s="24">
        <f>IF($B203="",0,IF(COUNTIFS($B$5:$B203,$B203,$C$5:$C203,$C203)=1,1,0))</f>
        <v/>
      </c>
      <c r="V203" s="24">
        <f>IF(OR($B203="",$G203="",$G203="لا توجد مشاهدات"),0,1)</f>
        <v/>
      </c>
      <c r="W203" s="24">
        <f>IF(AND($B203&lt;&gt;"",$I203="تم تحرير مخالفة"),1,0)</f>
        <v/>
      </c>
      <c r="X203" s="24">
        <f>IF($B203="","",IF($S203=WkStart,COUNTIF($S$5:$S203,WkStart),""))</f>
        <v/>
      </c>
    </row>
    <row r="204">
      <c r="A204" s="16">
        <f>IF($B204="","",ROW()-4)</f>
        <v/>
      </c>
      <c r="B204" s="17" t="n"/>
      <c r="C204" s="18" t="n"/>
      <c r="D204" s="18" t="n"/>
      <c r="E204" s="19" t="n"/>
      <c r="F204" s="19" t="n"/>
      <c r="G204" s="18" t="n"/>
      <c r="H204" s="18" t="n"/>
      <c r="I204" s="18" t="n"/>
      <c r="J204" s="20" t="n"/>
      <c r="K204" s="21" t="n"/>
      <c r="L204" s="21" t="n"/>
      <c r="M204" s="18" t="n"/>
      <c r="N204" s="22">
        <f>IF($B204="","",CHOOSE(WEEKDAY($B204),"الأحد","الاثنين","الثلاثاء","الأربعاء","الخميس","الجمعة","السبت"))</f>
        <v/>
      </c>
      <c r="O204" s="23">
        <f>IF(OR($K204="",$L204=""),"",HYPERLINK("https://maps.google.com/?q="&amp;$K204&amp;","&amp;$L204,"عرض الموقع"))</f>
        <v/>
      </c>
      <c r="P204" s="23">
        <f>IF(OR($B204="",N($J204)=0),"",HYPERLINK(PhotoDir&amp;"/"&amp;YEAR($B204)&amp;"-"&amp;TEXT(MONTH($B204),"00")&amp;"-"&amp;TEXT(DAY($B204),"00")&amp;"_"&amp;$D204,"فتح الصور ("&amp;$J204&amp;")"))</f>
        <v/>
      </c>
      <c r="Q204" s="24">
        <f>IF($B204="","",MONTH($B204))</f>
        <v/>
      </c>
      <c r="R204" s="24">
        <f>IF($B204="","",YEAR($B204))</f>
        <v/>
      </c>
      <c r="S204" s="25">
        <f>IF($B204="","",$B204-WEEKDAY($B204,3))</f>
        <v/>
      </c>
      <c r="T204" s="24">
        <f>IF($B204="",0,IF(COUNTIFS($B$5:$B204,$B204,$D$5:$D204,$D204)=1,1,0))</f>
        <v/>
      </c>
      <c r="U204" s="24">
        <f>IF($B204="",0,IF(COUNTIFS($B$5:$B204,$B204,$C$5:$C204,$C204)=1,1,0))</f>
        <v/>
      </c>
      <c r="V204" s="24">
        <f>IF(OR($B204="",$G204="",$G204="لا توجد مشاهدات"),0,1)</f>
        <v/>
      </c>
      <c r="W204" s="24">
        <f>IF(AND($B204&lt;&gt;"",$I204="تم تحرير مخالفة"),1,0)</f>
        <v/>
      </c>
      <c r="X204" s="24">
        <f>IF($B204="","",IF($S204=WkStart,COUNTIF($S$5:$S204,WkStart),""))</f>
        <v/>
      </c>
    </row>
    <row r="205">
      <c r="A205" s="16">
        <f>IF($B205="","",ROW()-4)</f>
        <v/>
      </c>
      <c r="B205" s="17" t="n"/>
      <c r="C205" s="18" t="n"/>
      <c r="D205" s="18" t="n"/>
      <c r="E205" s="19" t="n"/>
      <c r="F205" s="19" t="n"/>
      <c r="G205" s="18" t="n"/>
      <c r="H205" s="18" t="n"/>
      <c r="I205" s="18" t="n"/>
      <c r="J205" s="20" t="n"/>
      <c r="K205" s="21" t="n"/>
      <c r="L205" s="21" t="n"/>
      <c r="M205" s="18" t="n"/>
      <c r="N205" s="22">
        <f>IF($B205="","",CHOOSE(WEEKDAY($B205),"الأحد","الاثنين","الثلاثاء","الأربعاء","الخميس","الجمعة","السبت"))</f>
        <v/>
      </c>
      <c r="O205" s="23">
        <f>IF(OR($K205="",$L205=""),"",HYPERLINK("https://maps.google.com/?q="&amp;$K205&amp;","&amp;$L205,"عرض الموقع"))</f>
        <v/>
      </c>
      <c r="P205" s="23">
        <f>IF(OR($B205="",N($J205)=0),"",HYPERLINK(PhotoDir&amp;"/"&amp;YEAR($B205)&amp;"-"&amp;TEXT(MONTH($B205),"00")&amp;"-"&amp;TEXT(DAY($B205),"00")&amp;"_"&amp;$D205,"فتح الصور ("&amp;$J205&amp;")"))</f>
        <v/>
      </c>
      <c r="Q205" s="24">
        <f>IF($B205="","",MONTH($B205))</f>
        <v/>
      </c>
      <c r="R205" s="24">
        <f>IF($B205="","",YEAR($B205))</f>
        <v/>
      </c>
      <c r="S205" s="25">
        <f>IF($B205="","",$B205-WEEKDAY($B205,3))</f>
        <v/>
      </c>
      <c r="T205" s="24">
        <f>IF($B205="",0,IF(COUNTIFS($B$5:$B205,$B205,$D$5:$D205,$D205)=1,1,0))</f>
        <v/>
      </c>
      <c r="U205" s="24">
        <f>IF($B205="",0,IF(COUNTIFS($B$5:$B205,$B205,$C$5:$C205,$C205)=1,1,0))</f>
        <v/>
      </c>
      <c r="V205" s="24">
        <f>IF(OR($B205="",$G205="",$G205="لا توجد مشاهدات"),0,1)</f>
        <v/>
      </c>
      <c r="W205" s="24">
        <f>IF(AND($B205&lt;&gt;"",$I205="تم تحرير مخالفة"),1,0)</f>
        <v/>
      </c>
      <c r="X205" s="24">
        <f>IF($B205="","",IF($S205=WkStart,COUNTIF($S$5:$S205,WkStart),""))</f>
        <v/>
      </c>
    </row>
    <row r="206">
      <c r="A206" s="16">
        <f>IF($B206="","",ROW()-4)</f>
        <v/>
      </c>
      <c r="B206" s="17" t="n"/>
      <c r="C206" s="18" t="n"/>
      <c r="D206" s="18" t="n"/>
      <c r="E206" s="19" t="n"/>
      <c r="F206" s="19" t="n"/>
      <c r="G206" s="18" t="n"/>
      <c r="H206" s="18" t="n"/>
      <c r="I206" s="18" t="n"/>
      <c r="J206" s="20" t="n"/>
      <c r="K206" s="21" t="n"/>
      <c r="L206" s="21" t="n"/>
      <c r="M206" s="18" t="n"/>
      <c r="N206" s="22">
        <f>IF($B206="","",CHOOSE(WEEKDAY($B206),"الأحد","الاثنين","الثلاثاء","الأربعاء","الخميس","الجمعة","السبت"))</f>
        <v/>
      </c>
      <c r="O206" s="23">
        <f>IF(OR($K206="",$L206=""),"",HYPERLINK("https://maps.google.com/?q="&amp;$K206&amp;","&amp;$L206,"عرض الموقع"))</f>
        <v/>
      </c>
      <c r="P206" s="23">
        <f>IF(OR($B206="",N($J206)=0),"",HYPERLINK(PhotoDir&amp;"/"&amp;YEAR($B206)&amp;"-"&amp;TEXT(MONTH($B206),"00")&amp;"-"&amp;TEXT(DAY($B206),"00")&amp;"_"&amp;$D206,"فتح الصور ("&amp;$J206&amp;")"))</f>
        <v/>
      </c>
      <c r="Q206" s="24">
        <f>IF($B206="","",MONTH($B206))</f>
        <v/>
      </c>
      <c r="R206" s="24">
        <f>IF($B206="","",YEAR($B206))</f>
        <v/>
      </c>
      <c r="S206" s="25">
        <f>IF($B206="","",$B206-WEEKDAY($B206,3))</f>
        <v/>
      </c>
      <c r="T206" s="24">
        <f>IF($B206="",0,IF(COUNTIFS($B$5:$B206,$B206,$D$5:$D206,$D206)=1,1,0))</f>
        <v/>
      </c>
      <c r="U206" s="24">
        <f>IF($B206="",0,IF(COUNTIFS($B$5:$B206,$B206,$C$5:$C206,$C206)=1,1,0))</f>
        <v/>
      </c>
      <c r="V206" s="24">
        <f>IF(OR($B206="",$G206="",$G206="لا توجد مشاهدات"),0,1)</f>
        <v/>
      </c>
      <c r="W206" s="24">
        <f>IF(AND($B206&lt;&gt;"",$I206="تم تحرير مخالفة"),1,0)</f>
        <v/>
      </c>
      <c r="X206" s="24">
        <f>IF($B206="","",IF($S206=WkStart,COUNTIF($S$5:$S206,WkStart),""))</f>
        <v/>
      </c>
    </row>
    <row r="207">
      <c r="A207" s="16">
        <f>IF($B207="","",ROW()-4)</f>
        <v/>
      </c>
      <c r="B207" s="17" t="n"/>
      <c r="C207" s="18" t="n"/>
      <c r="D207" s="18" t="n"/>
      <c r="E207" s="19" t="n"/>
      <c r="F207" s="19" t="n"/>
      <c r="G207" s="18" t="n"/>
      <c r="H207" s="18" t="n"/>
      <c r="I207" s="18" t="n"/>
      <c r="J207" s="20" t="n"/>
      <c r="K207" s="21" t="n"/>
      <c r="L207" s="21" t="n"/>
      <c r="M207" s="18" t="n"/>
      <c r="N207" s="22">
        <f>IF($B207="","",CHOOSE(WEEKDAY($B207),"الأحد","الاثنين","الثلاثاء","الأربعاء","الخميس","الجمعة","السبت"))</f>
        <v/>
      </c>
      <c r="O207" s="23">
        <f>IF(OR($K207="",$L207=""),"",HYPERLINK("https://maps.google.com/?q="&amp;$K207&amp;","&amp;$L207,"عرض الموقع"))</f>
        <v/>
      </c>
      <c r="P207" s="23">
        <f>IF(OR($B207="",N($J207)=0),"",HYPERLINK(PhotoDir&amp;"/"&amp;YEAR($B207)&amp;"-"&amp;TEXT(MONTH($B207),"00")&amp;"-"&amp;TEXT(DAY($B207),"00")&amp;"_"&amp;$D207,"فتح الصور ("&amp;$J207&amp;")"))</f>
        <v/>
      </c>
      <c r="Q207" s="24">
        <f>IF($B207="","",MONTH($B207))</f>
        <v/>
      </c>
      <c r="R207" s="24">
        <f>IF($B207="","",YEAR($B207))</f>
        <v/>
      </c>
      <c r="S207" s="25">
        <f>IF($B207="","",$B207-WEEKDAY($B207,3))</f>
        <v/>
      </c>
      <c r="T207" s="24">
        <f>IF($B207="",0,IF(COUNTIFS($B$5:$B207,$B207,$D$5:$D207,$D207)=1,1,0))</f>
        <v/>
      </c>
      <c r="U207" s="24">
        <f>IF($B207="",0,IF(COUNTIFS($B$5:$B207,$B207,$C$5:$C207,$C207)=1,1,0))</f>
        <v/>
      </c>
      <c r="V207" s="24">
        <f>IF(OR($B207="",$G207="",$G207="لا توجد مشاهدات"),0,1)</f>
        <v/>
      </c>
      <c r="W207" s="24">
        <f>IF(AND($B207&lt;&gt;"",$I207="تم تحرير مخالفة"),1,0)</f>
        <v/>
      </c>
      <c r="X207" s="24">
        <f>IF($B207="","",IF($S207=WkStart,COUNTIF($S$5:$S207,WkStart),""))</f>
        <v/>
      </c>
    </row>
    <row r="208">
      <c r="A208" s="16">
        <f>IF($B208="","",ROW()-4)</f>
        <v/>
      </c>
      <c r="B208" s="17" t="n"/>
      <c r="C208" s="18" t="n"/>
      <c r="D208" s="18" t="n"/>
      <c r="E208" s="19" t="n"/>
      <c r="F208" s="19" t="n"/>
      <c r="G208" s="18" t="n"/>
      <c r="H208" s="18" t="n"/>
      <c r="I208" s="18" t="n"/>
      <c r="J208" s="20" t="n"/>
      <c r="K208" s="21" t="n"/>
      <c r="L208" s="21" t="n"/>
      <c r="M208" s="18" t="n"/>
      <c r="N208" s="22">
        <f>IF($B208="","",CHOOSE(WEEKDAY($B208),"الأحد","الاثنين","الثلاثاء","الأربعاء","الخميس","الجمعة","السبت"))</f>
        <v/>
      </c>
      <c r="O208" s="23">
        <f>IF(OR($K208="",$L208=""),"",HYPERLINK("https://maps.google.com/?q="&amp;$K208&amp;","&amp;$L208,"عرض الموقع"))</f>
        <v/>
      </c>
      <c r="P208" s="23">
        <f>IF(OR($B208="",N($J208)=0),"",HYPERLINK(PhotoDir&amp;"/"&amp;YEAR($B208)&amp;"-"&amp;TEXT(MONTH($B208),"00")&amp;"-"&amp;TEXT(DAY($B208),"00")&amp;"_"&amp;$D208,"فتح الصور ("&amp;$J208&amp;")"))</f>
        <v/>
      </c>
      <c r="Q208" s="24">
        <f>IF($B208="","",MONTH($B208))</f>
        <v/>
      </c>
      <c r="R208" s="24">
        <f>IF($B208="","",YEAR($B208))</f>
        <v/>
      </c>
      <c r="S208" s="25">
        <f>IF($B208="","",$B208-WEEKDAY($B208,3))</f>
        <v/>
      </c>
      <c r="T208" s="24">
        <f>IF($B208="",0,IF(COUNTIFS($B$5:$B208,$B208,$D$5:$D208,$D208)=1,1,0))</f>
        <v/>
      </c>
      <c r="U208" s="24">
        <f>IF($B208="",0,IF(COUNTIFS($B$5:$B208,$B208,$C$5:$C208,$C208)=1,1,0))</f>
        <v/>
      </c>
      <c r="V208" s="24">
        <f>IF(OR($B208="",$G208="",$G208="لا توجد مشاهدات"),0,1)</f>
        <v/>
      </c>
      <c r="W208" s="24">
        <f>IF(AND($B208&lt;&gt;"",$I208="تم تحرير مخالفة"),1,0)</f>
        <v/>
      </c>
      <c r="X208" s="24">
        <f>IF($B208="","",IF($S208=WkStart,COUNTIF($S$5:$S208,WkStart),""))</f>
        <v/>
      </c>
    </row>
    <row r="209">
      <c r="A209" s="16">
        <f>IF($B209="","",ROW()-4)</f>
        <v/>
      </c>
      <c r="B209" s="17" t="n"/>
      <c r="C209" s="18" t="n"/>
      <c r="D209" s="18" t="n"/>
      <c r="E209" s="19" t="n"/>
      <c r="F209" s="19" t="n"/>
      <c r="G209" s="18" t="n"/>
      <c r="H209" s="18" t="n"/>
      <c r="I209" s="18" t="n"/>
      <c r="J209" s="20" t="n"/>
      <c r="K209" s="21" t="n"/>
      <c r="L209" s="21" t="n"/>
      <c r="M209" s="18" t="n"/>
      <c r="N209" s="22">
        <f>IF($B209="","",CHOOSE(WEEKDAY($B209),"الأحد","الاثنين","الثلاثاء","الأربعاء","الخميس","الجمعة","السبت"))</f>
        <v/>
      </c>
      <c r="O209" s="23">
        <f>IF(OR($K209="",$L209=""),"",HYPERLINK("https://maps.google.com/?q="&amp;$K209&amp;","&amp;$L209,"عرض الموقع"))</f>
        <v/>
      </c>
      <c r="P209" s="23">
        <f>IF(OR($B209="",N($J209)=0),"",HYPERLINK(PhotoDir&amp;"/"&amp;YEAR($B209)&amp;"-"&amp;TEXT(MONTH($B209),"00")&amp;"-"&amp;TEXT(DAY($B209),"00")&amp;"_"&amp;$D209,"فتح الصور ("&amp;$J209&amp;")"))</f>
        <v/>
      </c>
      <c r="Q209" s="24">
        <f>IF($B209="","",MONTH($B209))</f>
        <v/>
      </c>
      <c r="R209" s="24">
        <f>IF($B209="","",YEAR($B209))</f>
        <v/>
      </c>
      <c r="S209" s="25">
        <f>IF($B209="","",$B209-WEEKDAY($B209,3))</f>
        <v/>
      </c>
      <c r="T209" s="24">
        <f>IF($B209="",0,IF(COUNTIFS($B$5:$B209,$B209,$D$5:$D209,$D209)=1,1,0))</f>
        <v/>
      </c>
      <c r="U209" s="24">
        <f>IF($B209="",0,IF(COUNTIFS($B$5:$B209,$B209,$C$5:$C209,$C209)=1,1,0))</f>
        <v/>
      </c>
      <c r="V209" s="24">
        <f>IF(OR($B209="",$G209="",$G209="لا توجد مشاهدات"),0,1)</f>
        <v/>
      </c>
      <c r="W209" s="24">
        <f>IF(AND($B209&lt;&gt;"",$I209="تم تحرير مخالفة"),1,0)</f>
        <v/>
      </c>
      <c r="X209" s="24">
        <f>IF($B209="","",IF($S209=WkStart,COUNTIF($S$5:$S209,WkStart),""))</f>
        <v/>
      </c>
    </row>
    <row r="210">
      <c r="A210" s="16">
        <f>IF($B210="","",ROW()-4)</f>
        <v/>
      </c>
      <c r="B210" s="17" t="n"/>
      <c r="C210" s="18" t="n"/>
      <c r="D210" s="18" t="n"/>
      <c r="E210" s="19" t="n"/>
      <c r="F210" s="19" t="n"/>
      <c r="G210" s="18" t="n"/>
      <c r="H210" s="18" t="n"/>
      <c r="I210" s="18" t="n"/>
      <c r="J210" s="20" t="n"/>
      <c r="K210" s="21" t="n"/>
      <c r="L210" s="21" t="n"/>
      <c r="M210" s="18" t="n"/>
      <c r="N210" s="22">
        <f>IF($B210="","",CHOOSE(WEEKDAY($B210),"الأحد","الاثنين","الثلاثاء","الأربعاء","الخميس","الجمعة","السبت"))</f>
        <v/>
      </c>
      <c r="O210" s="23">
        <f>IF(OR($K210="",$L210=""),"",HYPERLINK("https://maps.google.com/?q="&amp;$K210&amp;","&amp;$L210,"عرض الموقع"))</f>
        <v/>
      </c>
      <c r="P210" s="23">
        <f>IF(OR($B210="",N($J210)=0),"",HYPERLINK(PhotoDir&amp;"/"&amp;YEAR($B210)&amp;"-"&amp;TEXT(MONTH($B210),"00")&amp;"-"&amp;TEXT(DAY($B210),"00")&amp;"_"&amp;$D210,"فتح الصور ("&amp;$J210&amp;")"))</f>
        <v/>
      </c>
      <c r="Q210" s="24">
        <f>IF($B210="","",MONTH($B210))</f>
        <v/>
      </c>
      <c r="R210" s="24">
        <f>IF($B210="","",YEAR($B210))</f>
        <v/>
      </c>
      <c r="S210" s="25">
        <f>IF($B210="","",$B210-WEEKDAY($B210,3))</f>
        <v/>
      </c>
      <c r="T210" s="24">
        <f>IF($B210="",0,IF(COUNTIFS($B$5:$B210,$B210,$D$5:$D210,$D210)=1,1,0))</f>
        <v/>
      </c>
      <c r="U210" s="24">
        <f>IF($B210="",0,IF(COUNTIFS($B$5:$B210,$B210,$C$5:$C210,$C210)=1,1,0))</f>
        <v/>
      </c>
      <c r="V210" s="24">
        <f>IF(OR($B210="",$G210="",$G210="لا توجد مشاهدات"),0,1)</f>
        <v/>
      </c>
      <c r="W210" s="24">
        <f>IF(AND($B210&lt;&gt;"",$I210="تم تحرير مخالفة"),1,0)</f>
        <v/>
      </c>
      <c r="X210" s="24">
        <f>IF($B210="","",IF($S210=WkStart,COUNTIF($S$5:$S210,WkStart),""))</f>
        <v/>
      </c>
    </row>
    <row r="211">
      <c r="A211" s="16">
        <f>IF($B211="","",ROW()-4)</f>
        <v/>
      </c>
      <c r="B211" s="17" t="n"/>
      <c r="C211" s="18" t="n"/>
      <c r="D211" s="18" t="n"/>
      <c r="E211" s="19" t="n"/>
      <c r="F211" s="19" t="n"/>
      <c r="G211" s="18" t="n"/>
      <c r="H211" s="18" t="n"/>
      <c r="I211" s="18" t="n"/>
      <c r="J211" s="20" t="n"/>
      <c r="K211" s="21" t="n"/>
      <c r="L211" s="21" t="n"/>
      <c r="M211" s="18" t="n"/>
      <c r="N211" s="22">
        <f>IF($B211="","",CHOOSE(WEEKDAY($B211),"الأحد","الاثنين","الثلاثاء","الأربعاء","الخميس","الجمعة","السبت"))</f>
        <v/>
      </c>
      <c r="O211" s="23">
        <f>IF(OR($K211="",$L211=""),"",HYPERLINK("https://maps.google.com/?q="&amp;$K211&amp;","&amp;$L211,"عرض الموقع"))</f>
        <v/>
      </c>
      <c r="P211" s="23">
        <f>IF(OR($B211="",N($J211)=0),"",HYPERLINK(PhotoDir&amp;"/"&amp;YEAR($B211)&amp;"-"&amp;TEXT(MONTH($B211),"00")&amp;"-"&amp;TEXT(DAY($B211),"00")&amp;"_"&amp;$D211,"فتح الصور ("&amp;$J211&amp;")"))</f>
        <v/>
      </c>
      <c r="Q211" s="24">
        <f>IF($B211="","",MONTH($B211))</f>
        <v/>
      </c>
      <c r="R211" s="24">
        <f>IF($B211="","",YEAR($B211))</f>
        <v/>
      </c>
      <c r="S211" s="25">
        <f>IF($B211="","",$B211-WEEKDAY($B211,3))</f>
        <v/>
      </c>
      <c r="T211" s="24">
        <f>IF($B211="",0,IF(COUNTIFS($B$5:$B211,$B211,$D$5:$D211,$D211)=1,1,0))</f>
        <v/>
      </c>
      <c r="U211" s="24">
        <f>IF($B211="",0,IF(COUNTIFS($B$5:$B211,$B211,$C$5:$C211,$C211)=1,1,0))</f>
        <v/>
      </c>
      <c r="V211" s="24">
        <f>IF(OR($B211="",$G211="",$G211="لا توجد مشاهدات"),0,1)</f>
        <v/>
      </c>
      <c r="W211" s="24">
        <f>IF(AND($B211&lt;&gt;"",$I211="تم تحرير مخالفة"),1,0)</f>
        <v/>
      </c>
      <c r="X211" s="24">
        <f>IF($B211="","",IF($S211=WkStart,COUNTIF($S$5:$S211,WkStart),""))</f>
        <v/>
      </c>
    </row>
    <row r="212">
      <c r="A212" s="16">
        <f>IF($B212="","",ROW()-4)</f>
        <v/>
      </c>
      <c r="B212" s="17" t="n"/>
      <c r="C212" s="18" t="n"/>
      <c r="D212" s="18" t="n"/>
      <c r="E212" s="19" t="n"/>
      <c r="F212" s="19" t="n"/>
      <c r="G212" s="18" t="n"/>
      <c r="H212" s="18" t="n"/>
      <c r="I212" s="18" t="n"/>
      <c r="J212" s="20" t="n"/>
      <c r="K212" s="21" t="n"/>
      <c r="L212" s="21" t="n"/>
      <c r="M212" s="18" t="n"/>
      <c r="N212" s="22">
        <f>IF($B212="","",CHOOSE(WEEKDAY($B212),"الأحد","الاثنين","الثلاثاء","الأربعاء","الخميس","الجمعة","السبت"))</f>
        <v/>
      </c>
      <c r="O212" s="23">
        <f>IF(OR($K212="",$L212=""),"",HYPERLINK("https://maps.google.com/?q="&amp;$K212&amp;","&amp;$L212,"عرض الموقع"))</f>
        <v/>
      </c>
      <c r="P212" s="23">
        <f>IF(OR($B212="",N($J212)=0),"",HYPERLINK(PhotoDir&amp;"/"&amp;YEAR($B212)&amp;"-"&amp;TEXT(MONTH($B212),"00")&amp;"-"&amp;TEXT(DAY($B212),"00")&amp;"_"&amp;$D212,"فتح الصور ("&amp;$J212&amp;")"))</f>
        <v/>
      </c>
      <c r="Q212" s="24">
        <f>IF($B212="","",MONTH($B212))</f>
        <v/>
      </c>
      <c r="R212" s="24">
        <f>IF($B212="","",YEAR($B212))</f>
        <v/>
      </c>
      <c r="S212" s="25">
        <f>IF($B212="","",$B212-WEEKDAY($B212,3))</f>
        <v/>
      </c>
      <c r="T212" s="24">
        <f>IF($B212="",0,IF(COUNTIFS($B$5:$B212,$B212,$D$5:$D212,$D212)=1,1,0))</f>
        <v/>
      </c>
      <c r="U212" s="24">
        <f>IF($B212="",0,IF(COUNTIFS($B$5:$B212,$B212,$C$5:$C212,$C212)=1,1,0))</f>
        <v/>
      </c>
      <c r="V212" s="24">
        <f>IF(OR($B212="",$G212="",$G212="لا توجد مشاهدات"),0,1)</f>
        <v/>
      </c>
      <c r="W212" s="24">
        <f>IF(AND($B212&lt;&gt;"",$I212="تم تحرير مخالفة"),1,0)</f>
        <v/>
      </c>
      <c r="X212" s="24">
        <f>IF($B212="","",IF($S212=WkStart,COUNTIF($S$5:$S212,WkStart),""))</f>
        <v/>
      </c>
    </row>
    <row r="213">
      <c r="A213" s="16">
        <f>IF($B213="","",ROW()-4)</f>
        <v/>
      </c>
      <c r="B213" s="17" t="n"/>
      <c r="C213" s="18" t="n"/>
      <c r="D213" s="18" t="n"/>
      <c r="E213" s="19" t="n"/>
      <c r="F213" s="19" t="n"/>
      <c r="G213" s="18" t="n"/>
      <c r="H213" s="18" t="n"/>
      <c r="I213" s="18" t="n"/>
      <c r="J213" s="20" t="n"/>
      <c r="K213" s="21" t="n"/>
      <c r="L213" s="21" t="n"/>
      <c r="M213" s="18" t="n"/>
      <c r="N213" s="22">
        <f>IF($B213="","",CHOOSE(WEEKDAY($B213),"الأحد","الاثنين","الثلاثاء","الأربعاء","الخميس","الجمعة","السبت"))</f>
        <v/>
      </c>
      <c r="O213" s="23">
        <f>IF(OR($K213="",$L213=""),"",HYPERLINK("https://maps.google.com/?q="&amp;$K213&amp;","&amp;$L213,"عرض الموقع"))</f>
        <v/>
      </c>
      <c r="P213" s="23">
        <f>IF(OR($B213="",N($J213)=0),"",HYPERLINK(PhotoDir&amp;"/"&amp;YEAR($B213)&amp;"-"&amp;TEXT(MONTH($B213),"00")&amp;"-"&amp;TEXT(DAY($B213),"00")&amp;"_"&amp;$D213,"فتح الصور ("&amp;$J213&amp;")"))</f>
        <v/>
      </c>
      <c r="Q213" s="24">
        <f>IF($B213="","",MONTH($B213))</f>
        <v/>
      </c>
      <c r="R213" s="24">
        <f>IF($B213="","",YEAR($B213))</f>
        <v/>
      </c>
      <c r="S213" s="25">
        <f>IF($B213="","",$B213-WEEKDAY($B213,3))</f>
        <v/>
      </c>
      <c r="T213" s="24">
        <f>IF($B213="",0,IF(COUNTIFS($B$5:$B213,$B213,$D$5:$D213,$D213)=1,1,0))</f>
        <v/>
      </c>
      <c r="U213" s="24">
        <f>IF($B213="",0,IF(COUNTIFS($B$5:$B213,$B213,$C$5:$C213,$C213)=1,1,0))</f>
        <v/>
      </c>
      <c r="V213" s="24">
        <f>IF(OR($B213="",$G213="",$G213="لا توجد مشاهدات"),0,1)</f>
        <v/>
      </c>
      <c r="W213" s="24">
        <f>IF(AND($B213&lt;&gt;"",$I213="تم تحرير مخالفة"),1,0)</f>
        <v/>
      </c>
      <c r="X213" s="24">
        <f>IF($B213="","",IF($S213=WkStart,COUNTIF($S$5:$S213,WkStart),""))</f>
        <v/>
      </c>
    </row>
    <row r="214">
      <c r="A214" s="16">
        <f>IF($B214="","",ROW()-4)</f>
        <v/>
      </c>
      <c r="B214" s="17" t="n"/>
      <c r="C214" s="18" t="n"/>
      <c r="D214" s="18" t="n"/>
      <c r="E214" s="19" t="n"/>
      <c r="F214" s="19" t="n"/>
      <c r="G214" s="18" t="n"/>
      <c r="H214" s="18" t="n"/>
      <c r="I214" s="18" t="n"/>
      <c r="J214" s="20" t="n"/>
      <c r="K214" s="21" t="n"/>
      <c r="L214" s="21" t="n"/>
      <c r="M214" s="18" t="n"/>
      <c r="N214" s="22">
        <f>IF($B214="","",CHOOSE(WEEKDAY($B214),"الأحد","الاثنين","الثلاثاء","الأربعاء","الخميس","الجمعة","السبت"))</f>
        <v/>
      </c>
      <c r="O214" s="23">
        <f>IF(OR($K214="",$L214=""),"",HYPERLINK("https://maps.google.com/?q="&amp;$K214&amp;","&amp;$L214,"عرض الموقع"))</f>
        <v/>
      </c>
      <c r="P214" s="23">
        <f>IF(OR($B214="",N($J214)=0),"",HYPERLINK(PhotoDir&amp;"/"&amp;YEAR($B214)&amp;"-"&amp;TEXT(MONTH($B214),"00")&amp;"-"&amp;TEXT(DAY($B214),"00")&amp;"_"&amp;$D214,"فتح الصور ("&amp;$J214&amp;")"))</f>
        <v/>
      </c>
      <c r="Q214" s="24">
        <f>IF($B214="","",MONTH($B214))</f>
        <v/>
      </c>
      <c r="R214" s="24">
        <f>IF($B214="","",YEAR($B214))</f>
        <v/>
      </c>
      <c r="S214" s="25">
        <f>IF($B214="","",$B214-WEEKDAY($B214,3))</f>
        <v/>
      </c>
      <c r="T214" s="24">
        <f>IF($B214="",0,IF(COUNTIFS($B$5:$B214,$B214,$D$5:$D214,$D214)=1,1,0))</f>
        <v/>
      </c>
      <c r="U214" s="24">
        <f>IF($B214="",0,IF(COUNTIFS($B$5:$B214,$B214,$C$5:$C214,$C214)=1,1,0))</f>
        <v/>
      </c>
      <c r="V214" s="24">
        <f>IF(OR($B214="",$G214="",$G214="لا توجد مشاهدات"),0,1)</f>
        <v/>
      </c>
      <c r="W214" s="24">
        <f>IF(AND($B214&lt;&gt;"",$I214="تم تحرير مخالفة"),1,0)</f>
        <v/>
      </c>
      <c r="X214" s="24">
        <f>IF($B214="","",IF($S214=WkStart,COUNTIF($S$5:$S214,WkStart),""))</f>
        <v/>
      </c>
    </row>
    <row r="215">
      <c r="A215" s="16">
        <f>IF($B215="","",ROW()-4)</f>
        <v/>
      </c>
      <c r="B215" s="17" t="n"/>
      <c r="C215" s="18" t="n"/>
      <c r="D215" s="18" t="n"/>
      <c r="E215" s="19" t="n"/>
      <c r="F215" s="19" t="n"/>
      <c r="G215" s="18" t="n"/>
      <c r="H215" s="18" t="n"/>
      <c r="I215" s="18" t="n"/>
      <c r="J215" s="20" t="n"/>
      <c r="K215" s="21" t="n"/>
      <c r="L215" s="21" t="n"/>
      <c r="M215" s="18" t="n"/>
      <c r="N215" s="22">
        <f>IF($B215="","",CHOOSE(WEEKDAY($B215),"الأحد","الاثنين","الثلاثاء","الأربعاء","الخميس","الجمعة","السبت"))</f>
        <v/>
      </c>
      <c r="O215" s="23">
        <f>IF(OR($K215="",$L215=""),"",HYPERLINK("https://maps.google.com/?q="&amp;$K215&amp;","&amp;$L215,"عرض الموقع"))</f>
        <v/>
      </c>
      <c r="P215" s="23">
        <f>IF(OR($B215="",N($J215)=0),"",HYPERLINK(PhotoDir&amp;"/"&amp;YEAR($B215)&amp;"-"&amp;TEXT(MONTH($B215),"00")&amp;"-"&amp;TEXT(DAY($B215),"00")&amp;"_"&amp;$D215,"فتح الصور ("&amp;$J215&amp;")"))</f>
        <v/>
      </c>
      <c r="Q215" s="24">
        <f>IF($B215="","",MONTH($B215))</f>
        <v/>
      </c>
      <c r="R215" s="24">
        <f>IF($B215="","",YEAR($B215))</f>
        <v/>
      </c>
      <c r="S215" s="25">
        <f>IF($B215="","",$B215-WEEKDAY($B215,3))</f>
        <v/>
      </c>
      <c r="T215" s="24">
        <f>IF($B215="",0,IF(COUNTIFS($B$5:$B215,$B215,$D$5:$D215,$D215)=1,1,0))</f>
        <v/>
      </c>
      <c r="U215" s="24">
        <f>IF($B215="",0,IF(COUNTIFS($B$5:$B215,$B215,$C$5:$C215,$C215)=1,1,0))</f>
        <v/>
      </c>
      <c r="V215" s="24">
        <f>IF(OR($B215="",$G215="",$G215="لا توجد مشاهدات"),0,1)</f>
        <v/>
      </c>
      <c r="W215" s="24">
        <f>IF(AND($B215&lt;&gt;"",$I215="تم تحرير مخالفة"),1,0)</f>
        <v/>
      </c>
      <c r="X215" s="24">
        <f>IF($B215="","",IF($S215=WkStart,COUNTIF($S$5:$S215,WkStart),""))</f>
        <v/>
      </c>
    </row>
    <row r="216">
      <c r="A216" s="16">
        <f>IF($B216="","",ROW()-4)</f>
        <v/>
      </c>
      <c r="B216" s="17" t="n"/>
      <c r="C216" s="18" t="n"/>
      <c r="D216" s="18" t="n"/>
      <c r="E216" s="19" t="n"/>
      <c r="F216" s="19" t="n"/>
      <c r="G216" s="18" t="n"/>
      <c r="H216" s="18" t="n"/>
      <c r="I216" s="18" t="n"/>
      <c r="J216" s="20" t="n"/>
      <c r="K216" s="21" t="n"/>
      <c r="L216" s="21" t="n"/>
      <c r="M216" s="18" t="n"/>
      <c r="N216" s="22">
        <f>IF($B216="","",CHOOSE(WEEKDAY($B216),"الأحد","الاثنين","الثلاثاء","الأربعاء","الخميس","الجمعة","السبت"))</f>
        <v/>
      </c>
      <c r="O216" s="23">
        <f>IF(OR($K216="",$L216=""),"",HYPERLINK("https://maps.google.com/?q="&amp;$K216&amp;","&amp;$L216,"عرض الموقع"))</f>
        <v/>
      </c>
      <c r="P216" s="23">
        <f>IF(OR($B216="",N($J216)=0),"",HYPERLINK(PhotoDir&amp;"/"&amp;YEAR($B216)&amp;"-"&amp;TEXT(MONTH($B216),"00")&amp;"-"&amp;TEXT(DAY($B216),"00")&amp;"_"&amp;$D216,"فتح الصور ("&amp;$J216&amp;")"))</f>
        <v/>
      </c>
      <c r="Q216" s="24">
        <f>IF($B216="","",MONTH($B216))</f>
        <v/>
      </c>
      <c r="R216" s="24">
        <f>IF($B216="","",YEAR($B216))</f>
        <v/>
      </c>
      <c r="S216" s="25">
        <f>IF($B216="","",$B216-WEEKDAY($B216,3))</f>
        <v/>
      </c>
      <c r="T216" s="24">
        <f>IF($B216="",0,IF(COUNTIFS($B$5:$B216,$B216,$D$5:$D216,$D216)=1,1,0))</f>
        <v/>
      </c>
      <c r="U216" s="24">
        <f>IF($B216="",0,IF(COUNTIFS($B$5:$B216,$B216,$C$5:$C216,$C216)=1,1,0))</f>
        <v/>
      </c>
      <c r="V216" s="24">
        <f>IF(OR($B216="",$G216="",$G216="لا توجد مشاهدات"),0,1)</f>
        <v/>
      </c>
      <c r="W216" s="24">
        <f>IF(AND($B216&lt;&gt;"",$I216="تم تحرير مخالفة"),1,0)</f>
        <v/>
      </c>
      <c r="X216" s="24">
        <f>IF($B216="","",IF($S216=WkStart,COUNTIF($S$5:$S216,WkStart),""))</f>
        <v/>
      </c>
    </row>
    <row r="217">
      <c r="A217" s="16">
        <f>IF($B217="","",ROW()-4)</f>
        <v/>
      </c>
      <c r="B217" s="17" t="n"/>
      <c r="C217" s="18" t="n"/>
      <c r="D217" s="18" t="n"/>
      <c r="E217" s="19" t="n"/>
      <c r="F217" s="19" t="n"/>
      <c r="G217" s="18" t="n"/>
      <c r="H217" s="18" t="n"/>
      <c r="I217" s="18" t="n"/>
      <c r="J217" s="20" t="n"/>
      <c r="K217" s="21" t="n"/>
      <c r="L217" s="21" t="n"/>
      <c r="M217" s="18" t="n"/>
      <c r="N217" s="22">
        <f>IF($B217="","",CHOOSE(WEEKDAY($B217),"الأحد","الاثنين","الثلاثاء","الأربعاء","الخميس","الجمعة","السبت"))</f>
        <v/>
      </c>
      <c r="O217" s="23">
        <f>IF(OR($K217="",$L217=""),"",HYPERLINK("https://maps.google.com/?q="&amp;$K217&amp;","&amp;$L217,"عرض الموقع"))</f>
        <v/>
      </c>
      <c r="P217" s="23">
        <f>IF(OR($B217="",N($J217)=0),"",HYPERLINK(PhotoDir&amp;"/"&amp;YEAR($B217)&amp;"-"&amp;TEXT(MONTH($B217),"00")&amp;"-"&amp;TEXT(DAY($B217),"00")&amp;"_"&amp;$D217,"فتح الصور ("&amp;$J217&amp;")"))</f>
        <v/>
      </c>
      <c r="Q217" s="24">
        <f>IF($B217="","",MONTH($B217))</f>
        <v/>
      </c>
      <c r="R217" s="24">
        <f>IF($B217="","",YEAR($B217))</f>
        <v/>
      </c>
      <c r="S217" s="25">
        <f>IF($B217="","",$B217-WEEKDAY($B217,3))</f>
        <v/>
      </c>
      <c r="T217" s="24">
        <f>IF($B217="",0,IF(COUNTIFS($B$5:$B217,$B217,$D$5:$D217,$D217)=1,1,0))</f>
        <v/>
      </c>
      <c r="U217" s="24">
        <f>IF($B217="",0,IF(COUNTIFS($B$5:$B217,$B217,$C$5:$C217,$C217)=1,1,0))</f>
        <v/>
      </c>
      <c r="V217" s="24">
        <f>IF(OR($B217="",$G217="",$G217="لا توجد مشاهدات"),0,1)</f>
        <v/>
      </c>
      <c r="W217" s="24">
        <f>IF(AND($B217&lt;&gt;"",$I217="تم تحرير مخالفة"),1,0)</f>
        <v/>
      </c>
      <c r="X217" s="24">
        <f>IF($B217="","",IF($S217=WkStart,COUNTIF($S$5:$S217,WkStart),""))</f>
        <v/>
      </c>
    </row>
    <row r="218">
      <c r="A218" s="16">
        <f>IF($B218="","",ROW()-4)</f>
        <v/>
      </c>
      <c r="B218" s="17" t="n"/>
      <c r="C218" s="18" t="n"/>
      <c r="D218" s="18" t="n"/>
      <c r="E218" s="19" t="n"/>
      <c r="F218" s="19" t="n"/>
      <c r="G218" s="18" t="n"/>
      <c r="H218" s="18" t="n"/>
      <c r="I218" s="18" t="n"/>
      <c r="J218" s="20" t="n"/>
      <c r="K218" s="21" t="n"/>
      <c r="L218" s="21" t="n"/>
      <c r="M218" s="18" t="n"/>
      <c r="N218" s="22">
        <f>IF($B218="","",CHOOSE(WEEKDAY($B218),"الأحد","الاثنين","الثلاثاء","الأربعاء","الخميس","الجمعة","السبت"))</f>
        <v/>
      </c>
      <c r="O218" s="23">
        <f>IF(OR($K218="",$L218=""),"",HYPERLINK("https://maps.google.com/?q="&amp;$K218&amp;","&amp;$L218,"عرض الموقع"))</f>
        <v/>
      </c>
      <c r="P218" s="23">
        <f>IF(OR($B218="",N($J218)=0),"",HYPERLINK(PhotoDir&amp;"/"&amp;YEAR($B218)&amp;"-"&amp;TEXT(MONTH($B218),"00")&amp;"-"&amp;TEXT(DAY($B218),"00")&amp;"_"&amp;$D218,"فتح الصور ("&amp;$J218&amp;")"))</f>
        <v/>
      </c>
      <c r="Q218" s="24">
        <f>IF($B218="","",MONTH($B218))</f>
        <v/>
      </c>
      <c r="R218" s="24">
        <f>IF($B218="","",YEAR($B218))</f>
        <v/>
      </c>
      <c r="S218" s="25">
        <f>IF($B218="","",$B218-WEEKDAY($B218,3))</f>
        <v/>
      </c>
      <c r="T218" s="24">
        <f>IF($B218="",0,IF(COUNTIFS($B$5:$B218,$B218,$D$5:$D218,$D218)=1,1,0))</f>
        <v/>
      </c>
      <c r="U218" s="24">
        <f>IF($B218="",0,IF(COUNTIFS($B$5:$B218,$B218,$C$5:$C218,$C218)=1,1,0))</f>
        <v/>
      </c>
      <c r="V218" s="24">
        <f>IF(OR($B218="",$G218="",$G218="لا توجد مشاهدات"),0,1)</f>
        <v/>
      </c>
      <c r="W218" s="24">
        <f>IF(AND($B218&lt;&gt;"",$I218="تم تحرير مخالفة"),1,0)</f>
        <v/>
      </c>
      <c r="X218" s="24">
        <f>IF($B218="","",IF($S218=WkStart,COUNTIF($S$5:$S218,WkStart),""))</f>
        <v/>
      </c>
    </row>
    <row r="219">
      <c r="A219" s="16">
        <f>IF($B219="","",ROW()-4)</f>
        <v/>
      </c>
      <c r="B219" s="17" t="n"/>
      <c r="C219" s="18" t="n"/>
      <c r="D219" s="18" t="n"/>
      <c r="E219" s="19" t="n"/>
      <c r="F219" s="19" t="n"/>
      <c r="G219" s="18" t="n"/>
      <c r="H219" s="18" t="n"/>
      <c r="I219" s="18" t="n"/>
      <c r="J219" s="20" t="n"/>
      <c r="K219" s="21" t="n"/>
      <c r="L219" s="21" t="n"/>
      <c r="M219" s="18" t="n"/>
      <c r="N219" s="22">
        <f>IF($B219="","",CHOOSE(WEEKDAY($B219),"الأحد","الاثنين","الثلاثاء","الأربعاء","الخميس","الجمعة","السبت"))</f>
        <v/>
      </c>
      <c r="O219" s="23">
        <f>IF(OR($K219="",$L219=""),"",HYPERLINK("https://maps.google.com/?q="&amp;$K219&amp;","&amp;$L219,"عرض الموقع"))</f>
        <v/>
      </c>
      <c r="P219" s="23">
        <f>IF(OR($B219="",N($J219)=0),"",HYPERLINK(PhotoDir&amp;"/"&amp;YEAR($B219)&amp;"-"&amp;TEXT(MONTH($B219),"00")&amp;"-"&amp;TEXT(DAY($B219),"00")&amp;"_"&amp;$D219,"فتح الصور ("&amp;$J219&amp;")"))</f>
        <v/>
      </c>
      <c r="Q219" s="24">
        <f>IF($B219="","",MONTH($B219))</f>
        <v/>
      </c>
      <c r="R219" s="24">
        <f>IF($B219="","",YEAR($B219))</f>
        <v/>
      </c>
      <c r="S219" s="25">
        <f>IF($B219="","",$B219-WEEKDAY($B219,3))</f>
        <v/>
      </c>
      <c r="T219" s="24">
        <f>IF($B219="",0,IF(COUNTIFS($B$5:$B219,$B219,$D$5:$D219,$D219)=1,1,0))</f>
        <v/>
      </c>
      <c r="U219" s="24">
        <f>IF($B219="",0,IF(COUNTIFS($B$5:$B219,$B219,$C$5:$C219,$C219)=1,1,0))</f>
        <v/>
      </c>
      <c r="V219" s="24">
        <f>IF(OR($B219="",$G219="",$G219="لا توجد مشاهدات"),0,1)</f>
        <v/>
      </c>
      <c r="W219" s="24">
        <f>IF(AND($B219&lt;&gt;"",$I219="تم تحرير مخالفة"),1,0)</f>
        <v/>
      </c>
      <c r="X219" s="24">
        <f>IF($B219="","",IF($S219=WkStart,COUNTIF($S$5:$S219,WkStart),""))</f>
        <v/>
      </c>
    </row>
    <row r="220">
      <c r="A220" s="16">
        <f>IF($B220="","",ROW()-4)</f>
        <v/>
      </c>
      <c r="B220" s="17" t="n"/>
      <c r="C220" s="18" t="n"/>
      <c r="D220" s="18" t="n"/>
      <c r="E220" s="19" t="n"/>
      <c r="F220" s="19" t="n"/>
      <c r="G220" s="18" t="n"/>
      <c r="H220" s="18" t="n"/>
      <c r="I220" s="18" t="n"/>
      <c r="J220" s="20" t="n"/>
      <c r="K220" s="21" t="n"/>
      <c r="L220" s="21" t="n"/>
      <c r="M220" s="18" t="n"/>
      <c r="N220" s="22">
        <f>IF($B220="","",CHOOSE(WEEKDAY($B220),"الأحد","الاثنين","الثلاثاء","الأربعاء","الخميس","الجمعة","السبت"))</f>
        <v/>
      </c>
      <c r="O220" s="23">
        <f>IF(OR($K220="",$L220=""),"",HYPERLINK("https://maps.google.com/?q="&amp;$K220&amp;","&amp;$L220,"عرض الموقع"))</f>
        <v/>
      </c>
      <c r="P220" s="23">
        <f>IF(OR($B220="",N($J220)=0),"",HYPERLINK(PhotoDir&amp;"/"&amp;YEAR($B220)&amp;"-"&amp;TEXT(MONTH($B220),"00")&amp;"-"&amp;TEXT(DAY($B220),"00")&amp;"_"&amp;$D220,"فتح الصور ("&amp;$J220&amp;")"))</f>
        <v/>
      </c>
      <c r="Q220" s="24">
        <f>IF($B220="","",MONTH($B220))</f>
        <v/>
      </c>
      <c r="R220" s="24">
        <f>IF($B220="","",YEAR($B220))</f>
        <v/>
      </c>
      <c r="S220" s="25">
        <f>IF($B220="","",$B220-WEEKDAY($B220,3))</f>
        <v/>
      </c>
      <c r="T220" s="24">
        <f>IF($B220="",0,IF(COUNTIFS($B$5:$B220,$B220,$D$5:$D220,$D220)=1,1,0))</f>
        <v/>
      </c>
      <c r="U220" s="24">
        <f>IF($B220="",0,IF(COUNTIFS($B$5:$B220,$B220,$C$5:$C220,$C220)=1,1,0))</f>
        <v/>
      </c>
      <c r="V220" s="24">
        <f>IF(OR($B220="",$G220="",$G220="لا توجد مشاهدات"),0,1)</f>
        <v/>
      </c>
      <c r="W220" s="24">
        <f>IF(AND($B220&lt;&gt;"",$I220="تم تحرير مخالفة"),1,0)</f>
        <v/>
      </c>
      <c r="X220" s="24">
        <f>IF($B220="","",IF($S220=WkStart,COUNTIF($S$5:$S220,WkStart),""))</f>
        <v/>
      </c>
    </row>
    <row r="221">
      <c r="A221" s="16">
        <f>IF($B221="","",ROW()-4)</f>
        <v/>
      </c>
      <c r="B221" s="17" t="n"/>
      <c r="C221" s="18" t="n"/>
      <c r="D221" s="18" t="n"/>
      <c r="E221" s="19" t="n"/>
      <c r="F221" s="19" t="n"/>
      <c r="G221" s="18" t="n"/>
      <c r="H221" s="18" t="n"/>
      <c r="I221" s="18" t="n"/>
      <c r="J221" s="20" t="n"/>
      <c r="K221" s="21" t="n"/>
      <c r="L221" s="21" t="n"/>
      <c r="M221" s="18" t="n"/>
      <c r="N221" s="22">
        <f>IF($B221="","",CHOOSE(WEEKDAY($B221),"الأحد","الاثنين","الثلاثاء","الأربعاء","الخميس","الجمعة","السبت"))</f>
        <v/>
      </c>
      <c r="O221" s="23">
        <f>IF(OR($K221="",$L221=""),"",HYPERLINK("https://maps.google.com/?q="&amp;$K221&amp;","&amp;$L221,"عرض الموقع"))</f>
        <v/>
      </c>
      <c r="P221" s="23">
        <f>IF(OR($B221="",N($J221)=0),"",HYPERLINK(PhotoDir&amp;"/"&amp;YEAR($B221)&amp;"-"&amp;TEXT(MONTH($B221),"00")&amp;"-"&amp;TEXT(DAY($B221),"00")&amp;"_"&amp;$D221,"فتح الصور ("&amp;$J221&amp;")"))</f>
        <v/>
      </c>
      <c r="Q221" s="24">
        <f>IF($B221="","",MONTH($B221))</f>
        <v/>
      </c>
      <c r="R221" s="24">
        <f>IF($B221="","",YEAR($B221))</f>
        <v/>
      </c>
      <c r="S221" s="25">
        <f>IF($B221="","",$B221-WEEKDAY($B221,3))</f>
        <v/>
      </c>
      <c r="T221" s="24">
        <f>IF($B221="",0,IF(COUNTIFS($B$5:$B221,$B221,$D$5:$D221,$D221)=1,1,0))</f>
        <v/>
      </c>
      <c r="U221" s="24">
        <f>IF($B221="",0,IF(COUNTIFS($B$5:$B221,$B221,$C$5:$C221,$C221)=1,1,0))</f>
        <v/>
      </c>
      <c r="V221" s="24">
        <f>IF(OR($B221="",$G221="",$G221="لا توجد مشاهدات"),0,1)</f>
        <v/>
      </c>
      <c r="W221" s="24">
        <f>IF(AND($B221&lt;&gt;"",$I221="تم تحرير مخالفة"),1,0)</f>
        <v/>
      </c>
      <c r="X221" s="24">
        <f>IF($B221="","",IF($S221=WkStart,COUNTIF($S$5:$S221,WkStart),""))</f>
        <v/>
      </c>
    </row>
    <row r="222">
      <c r="A222" s="16">
        <f>IF($B222="","",ROW()-4)</f>
        <v/>
      </c>
      <c r="B222" s="17" t="n"/>
      <c r="C222" s="18" t="n"/>
      <c r="D222" s="18" t="n"/>
      <c r="E222" s="19" t="n"/>
      <c r="F222" s="19" t="n"/>
      <c r="G222" s="18" t="n"/>
      <c r="H222" s="18" t="n"/>
      <c r="I222" s="18" t="n"/>
      <c r="J222" s="20" t="n"/>
      <c r="K222" s="21" t="n"/>
      <c r="L222" s="21" t="n"/>
      <c r="M222" s="18" t="n"/>
      <c r="N222" s="22">
        <f>IF($B222="","",CHOOSE(WEEKDAY($B222),"الأحد","الاثنين","الثلاثاء","الأربعاء","الخميس","الجمعة","السبت"))</f>
        <v/>
      </c>
      <c r="O222" s="23">
        <f>IF(OR($K222="",$L222=""),"",HYPERLINK("https://maps.google.com/?q="&amp;$K222&amp;","&amp;$L222,"عرض الموقع"))</f>
        <v/>
      </c>
      <c r="P222" s="23">
        <f>IF(OR($B222="",N($J222)=0),"",HYPERLINK(PhotoDir&amp;"/"&amp;YEAR($B222)&amp;"-"&amp;TEXT(MONTH($B222),"00")&amp;"-"&amp;TEXT(DAY($B222),"00")&amp;"_"&amp;$D222,"فتح الصور ("&amp;$J222&amp;")"))</f>
        <v/>
      </c>
      <c r="Q222" s="24">
        <f>IF($B222="","",MONTH($B222))</f>
        <v/>
      </c>
      <c r="R222" s="24">
        <f>IF($B222="","",YEAR($B222))</f>
        <v/>
      </c>
      <c r="S222" s="25">
        <f>IF($B222="","",$B222-WEEKDAY($B222,3))</f>
        <v/>
      </c>
      <c r="T222" s="24">
        <f>IF($B222="",0,IF(COUNTIFS($B$5:$B222,$B222,$D$5:$D222,$D222)=1,1,0))</f>
        <v/>
      </c>
      <c r="U222" s="24">
        <f>IF($B222="",0,IF(COUNTIFS($B$5:$B222,$B222,$C$5:$C222,$C222)=1,1,0))</f>
        <v/>
      </c>
      <c r="V222" s="24">
        <f>IF(OR($B222="",$G222="",$G222="لا توجد مشاهدات"),0,1)</f>
        <v/>
      </c>
      <c r="W222" s="24">
        <f>IF(AND($B222&lt;&gt;"",$I222="تم تحرير مخالفة"),1,0)</f>
        <v/>
      </c>
      <c r="X222" s="24">
        <f>IF($B222="","",IF($S222=WkStart,COUNTIF($S$5:$S222,WkStart),""))</f>
        <v/>
      </c>
    </row>
    <row r="223">
      <c r="A223" s="16">
        <f>IF($B223="","",ROW()-4)</f>
        <v/>
      </c>
      <c r="B223" s="17" t="n"/>
      <c r="C223" s="18" t="n"/>
      <c r="D223" s="18" t="n"/>
      <c r="E223" s="19" t="n"/>
      <c r="F223" s="19" t="n"/>
      <c r="G223" s="18" t="n"/>
      <c r="H223" s="18" t="n"/>
      <c r="I223" s="18" t="n"/>
      <c r="J223" s="20" t="n"/>
      <c r="K223" s="21" t="n"/>
      <c r="L223" s="21" t="n"/>
      <c r="M223" s="18" t="n"/>
      <c r="N223" s="22">
        <f>IF($B223="","",CHOOSE(WEEKDAY($B223),"الأحد","الاثنين","الثلاثاء","الأربعاء","الخميس","الجمعة","السبت"))</f>
        <v/>
      </c>
      <c r="O223" s="23">
        <f>IF(OR($K223="",$L223=""),"",HYPERLINK("https://maps.google.com/?q="&amp;$K223&amp;","&amp;$L223,"عرض الموقع"))</f>
        <v/>
      </c>
      <c r="P223" s="23">
        <f>IF(OR($B223="",N($J223)=0),"",HYPERLINK(PhotoDir&amp;"/"&amp;YEAR($B223)&amp;"-"&amp;TEXT(MONTH($B223),"00")&amp;"-"&amp;TEXT(DAY($B223),"00")&amp;"_"&amp;$D223,"فتح الصور ("&amp;$J223&amp;")"))</f>
        <v/>
      </c>
      <c r="Q223" s="24">
        <f>IF($B223="","",MONTH($B223))</f>
        <v/>
      </c>
      <c r="R223" s="24">
        <f>IF($B223="","",YEAR($B223))</f>
        <v/>
      </c>
      <c r="S223" s="25">
        <f>IF($B223="","",$B223-WEEKDAY($B223,3))</f>
        <v/>
      </c>
      <c r="T223" s="24">
        <f>IF($B223="",0,IF(COUNTIFS($B$5:$B223,$B223,$D$5:$D223,$D223)=1,1,0))</f>
        <v/>
      </c>
      <c r="U223" s="24">
        <f>IF($B223="",0,IF(COUNTIFS($B$5:$B223,$B223,$C$5:$C223,$C223)=1,1,0))</f>
        <v/>
      </c>
      <c r="V223" s="24">
        <f>IF(OR($B223="",$G223="",$G223="لا توجد مشاهدات"),0,1)</f>
        <v/>
      </c>
      <c r="W223" s="24">
        <f>IF(AND($B223&lt;&gt;"",$I223="تم تحرير مخالفة"),1,0)</f>
        <v/>
      </c>
      <c r="X223" s="24">
        <f>IF($B223="","",IF($S223=WkStart,COUNTIF($S$5:$S223,WkStart),""))</f>
        <v/>
      </c>
    </row>
    <row r="224">
      <c r="A224" s="16">
        <f>IF($B224="","",ROW()-4)</f>
        <v/>
      </c>
      <c r="B224" s="17" t="n"/>
      <c r="C224" s="18" t="n"/>
      <c r="D224" s="18" t="n"/>
      <c r="E224" s="19" t="n"/>
      <c r="F224" s="19" t="n"/>
      <c r="G224" s="18" t="n"/>
      <c r="H224" s="18" t="n"/>
      <c r="I224" s="18" t="n"/>
      <c r="J224" s="20" t="n"/>
      <c r="K224" s="21" t="n"/>
      <c r="L224" s="21" t="n"/>
      <c r="M224" s="18" t="n"/>
      <c r="N224" s="22">
        <f>IF($B224="","",CHOOSE(WEEKDAY($B224),"الأحد","الاثنين","الثلاثاء","الأربعاء","الخميس","الجمعة","السبت"))</f>
        <v/>
      </c>
      <c r="O224" s="23">
        <f>IF(OR($K224="",$L224=""),"",HYPERLINK("https://maps.google.com/?q="&amp;$K224&amp;","&amp;$L224,"عرض الموقع"))</f>
        <v/>
      </c>
      <c r="P224" s="23">
        <f>IF(OR($B224="",N($J224)=0),"",HYPERLINK(PhotoDir&amp;"/"&amp;YEAR($B224)&amp;"-"&amp;TEXT(MONTH($B224),"00")&amp;"-"&amp;TEXT(DAY($B224),"00")&amp;"_"&amp;$D224,"فتح الصور ("&amp;$J224&amp;")"))</f>
        <v/>
      </c>
      <c r="Q224" s="24">
        <f>IF($B224="","",MONTH($B224))</f>
        <v/>
      </c>
      <c r="R224" s="24">
        <f>IF($B224="","",YEAR($B224))</f>
        <v/>
      </c>
      <c r="S224" s="25">
        <f>IF($B224="","",$B224-WEEKDAY($B224,3))</f>
        <v/>
      </c>
      <c r="T224" s="24">
        <f>IF($B224="",0,IF(COUNTIFS($B$5:$B224,$B224,$D$5:$D224,$D224)=1,1,0))</f>
        <v/>
      </c>
      <c r="U224" s="24">
        <f>IF($B224="",0,IF(COUNTIFS($B$5:$B224,$B224,$C$5:$C224,$C224)=1,1,0))</f>
        <v/>
      </c>
      <c r="V224" s="24">
        <f>IF(OR($B224="",$G224="",$G224="لا توجد مشاهدات"),0,1)</f>
        <v/>
      </c>
      <c r="W224" s="24">
        <f>IF(AND($B224&lt;&gt;"",$I224="تم تحرير مخالفة"),1,0)</f>
        <v/>
      </c>
      <c r="X224" s="24">
        <f>IF($B224="","",IF($S224=WkStart,COUNTIF($S$5:$S224,WkStart),""))</f>
        <v/>
      </c>
    </row>
    <row r="225">
      <c r="A225" s="16">
        <f>IF($B225="","",ROW()-4)</f>
        <v/>
      </c>
      <c r="B225" s="17" t="n"/>
      <c r="C225" s="18" t="n"/>
      <c r="D225" s="18" t="n"/>
      <c r="E225" s="19" t="n"/>
      <c r="F225" s="19" t="n"/>
      <c r="G225" s="18" t="n"/>
      <c r="H225" s="18" t="n"/>
      <c r="I225" s="18" t="n"/>
      <c r="J225" s="20" t="n"/>
      <c r="K225" s="21" t="n"/>
      <c r="L225" s="21" t="n"/>
      <c r="M225" s="18" t="n"/>
      <c r="N225" s="22">
        <f>IF($B225="","",CHOOSE(WEEKDAY($B225),"الأحد","الاثنين","الثلاثاء","الأربعاء","الخميس","الجمعة","السبت"))</f>
        <v/>
      </c>
      <c r="O225" s="23">
        <f>IF(OR($K225="",$L225=""),"",HYPERLINK("https://maps.google.com/?q="&amp;$K225&amp;","&amp;$L225,"عرض الموقع"))</f>
        <v/>
      </c>
      <c r="P225" s="23">
        <f>IF(OR($B225="",N($J225)=0),"",HYPERLINK(PhotoDir&amp;"/"&amp;YEAR($B225)&amp;"-"&amp;TEXT(MONTH($B225),"00")&amp;"-"&amp;TEXT(DAY($B225),"00")&amp;"_"&amp;$D225,"فتح الصور ("&amp;$J225&amp;")"))</f>
        <v/>
      </c>
      <c r="Q225" s="24">
        <f>IF($B225="","",MONTH($B225))</f>
        <v/>
      </c>
      <c r="R225" s="24">
        <f>IF($B225="","",YEAR($B225))</f>
        <v/>
      </c>
      <c r="S225" s="25">
        <f>IF($B225="","",$B225-WEEKDAY($B225,3))</f>
        <v/>
      </c>
      <c r="T225" s="24">
        <f>IF($B225="",0,IF(COUNTIFS($B$5:$B225,$B225,$D$5:$D225,$D225)=1,1,0))</f>
        <v/>
      </c>
      <c r="U225" s="24">
        <f>IF($B225="",0,IF(COUNTIFS($B$5:$B225,$B225,$C$5:$C225,$C225)=1,1,0))</f>
        <v/>
      </c>
      <c r="V225" s="24">
        <f>IF(OR($B225="",$G225="",$G225="لا توجد مشاهدات"),0,1)</f>
        <v/>
      </c>
      <c r="W225" s="24">
        <f>IF(AND($B225&lt;&gt;"",$I225="تم تحرير مخالفة"),1,0)</f>
        <v/>
      </c>
      <c r="X225" s="24">
        <f>IF($B225="","",IF($S225=WkStart,COUNTIF($S$5:$S225,WkStart),""))</f>
        <v/>
      </c>
    </row>
    <row r="226">
      <c r="A226" s="16">
        <f>IF($B226="","",ROW()-4)</f>
        <v/>
      </c>
      <c r="B226" s="17" t="n"/>
      <c r="C226" s="18" t="n"/>
      <c r="D226" s="18" t="n"/>
      <c r="E226" s="19" t="n"/>
      <c r="F226" s="19" t="n"/>
      <c r="G226" s="18" t="n"/>
      <c r="H226" s="18" t="n"/>
      <c r="I226" s="18" t="n"/>
      <c r="J226" s="20" t="n"/>
      <c r="K226" s="21" t="n"/>
      <c r="L226" s="21" t="n"/>
      <c r="M226" s="18" t="n"/>
      <c r="N226" s="22">
        <f>IF($B226="","",CHOOSE(WEEKDAY($B226),"الأحد","الاثنين","الثلاثاء","الأربعاء","الخميس","الجمعة","السبت"))</f>
        <v/>
      </c>
      <c r="O226" s="23">
        <f>IF(OR($K226="",$L226=""),"",HYPERLINK("https://maps.google.com/?q="&amp;$K226&amp;","&amp;$L226,"عرض الموقع"))</f>
        <v/>
      </c>
      <c r="P226" s="23">
        <f>IF(OR($B226="",N($J226)=0),"",HYPERLINK(PhotoDir&amp;"/"&amp;YEAR($B226)&amp;"-"&amp;TEXT(MONTH($B226),"00")&amp;"-"&amp;TEXT(DAY($B226),"00")&amp;"_"&amp;$D226,"فتح الصور ("&amp;$J226&amp;")"))</f>
        <v/>
      </c>
      <c r="Q226" s="24">
        <f>IF($B226="","",MONTH($B226))</f>
        <v/>
      </c>
      <c r="R226" s="24">
        <f>IF($B226="","",YEAR($B226))</f>
        <v/>
      </c>
      <c r="S226" s="25">
        <f>IF($B226="","",$B226-WEEKDAY($B226,3))</f>
        <v/>
      </c>
      <c r="T226" s="24">
        <f>IF($B226="",0,IF(COUNTIFS($B$5:$B226,$B226,$D$5:$D226,$D226)=1,1,0))</f>
        <v/>
      </c>
      <c r="U226" s="24">
        <f>IF($B226="",0,IF(COUNTIFS($B$5:$B226,$B226,$C$5:$C226,$C226)=1,1,0))</f>
        <v/>
      </c>
      <c r="V226" s="24">
        <f>IF(OR($B226="",$G226="",$G226="لا توجد مشاهدات"),0,1)</f>
        <v/>
      </c>
      <c r="W226" s="24">
        <f>IF(AND($B226&lt;&gt;"",$I226="تم تحرير مخالفة"),1,0)</f>
        <v/>
      </c>
      <c r="X226" s="24">
        <f>IF($B226="","",IF($S226=WkStart,COUNTIF($S$5:$S226,WkStart),""))</f>
        <v/>
      </c>
    </row>
    <row r="227">
      <c r="A227" s="16">
        <f>IF($B227="","",ROW()-4)</f>
        <v/>
      </c>
      <c r="B227" s="17" t="n"/>
      <c r="C227" s="18" t="n"/>
      <c r="D227" s="18" t="n"/>
      <c r="E227" s="19" t="n"/>
      <c r="F227" s="19" t="n"/>
      <c r="G227" s="18" t="n"/>
      <c r="H227" s="18" t="n"/>
      <c r="I227" s="18" t="n"/>
      <c r="J227" s="20" t="n"/>
      <c r="K227" s="21" t="n"/>
      <c r="L227" s="21" t="n"/>
      <c r="M227" s="18" t="n"/>
      <c r="N227" s="22">
        <f>IF($B227="","",CHOOSE(WEEKDAY($B227),"الأحد","الاثنين","الثلاثاء","الأربعاء","الخميس","الجمعة","السبت"))</f>
        <v/>
      </c>
      <c r="O227" s="23">
        <f>IF(OR($K227="",$L227=""),"",HYPERLINK("https://maps.google.com/?q="&amp;$K227&amp;","&amp;$L227,"عرض الموقع"))</f>
        <v/>
      </c>
      <c r="P227" s="23">
        <f>IF(OR($B227="",N($J227)=0),"",HYPERLINK(PhotoDir&amp;"/"&amp;YEAR($B227)&amp;"-"&amp;TEXT(MONTH($B227),"00")&amp;"-"&amp;TEXT(DAY($B227),"00")&amp;"_"&amp;$D227,"فتح الصور ("&amp;$J227&amp;")"))</f>
        <v/>
      </c>
      <c r="Q227" s="24">
        <f>IF($B227="","",MONTH($B227))</f>
        <v/>
      </c>
      <c r="R227" s="24">
        <f>IF($B227="","",YEAR($B227))</f>
        <v/>
      </c>
      <c r="S227" s="25">
        <f>IF($B227="","",$B227-WEEKDAY($B227,3))</f>
        <v/>
      </c>
      <c r="T227" s="24">
        <f>IF($B227="",0,IF(COUNTIFS($B$5:$B227,$B227,$D$5:$D227,$D227)=1,1,0))</f>
        <v/>
      </c>
      <c r="U227" s="24">
        <f>IF($B227="",0,IF(COUNTIFS($B$5:$B227,$B227,$C$5:$C227,$C227)=1,1,0))</f>
        <v/>
      </c>
      <c r="V227" s="24">
        <f>IF(OR($B227="",$G227="",$G227="لا توجد مشاهدات"),0,1)</f>
        <v/>
      </c>
      <c r="W227" s="24">
        <f>IF(AND($B227&lt;&gt;"",$I227="تم تحرير مخالفة"),1,0)</f>
        <v/>
      </c>
      <c r="X227" s="24">
        <f>IF($B227="","",IF($S227=WkStart,COUNTIF($S$5:$S227,WkStart),""))</f>
        <v/>
      </c>
    </row>
    <row r="228">
      <c r="A228" s="16">
        <f>IF($B228="","",ROW()-4)</f>
        <v/>
      </c>
      <c r="B228" s="17" t="n"/>
      <c r="C228" s="18" t="n"/>
      <c r="D228" s="18" t="n"/>
      <c r="E228" s="19" t="n"/>
      <c r="F228" s="19" t="n"/>
      <c r="G228" s="18" t="n"/>
      <c r="H228" s="18" t="n"/>
      <c r="I228" s="18" t="n"/>
      <c r="J228" s="20" t="n"/>
      <c r="K228" s="21" t="n"/>
      <c r="L228" s="21" t="n"/>
      <c r="M228" s="18" t="n"/>
      <c r="N228" s="22">
        <f>IF($B228="","",CHOOSE(WEEKDAY($B228),"الأحد","الاثنين","الثلاثاء","الأربعاء","الخميس","الجمعة","السبت"))</f>
        <v/>
      </c>
      <c r="O228" s="23">
        <f>IF(OR($K228="",$L228=""),"",HYPERLINK("https://maps.google.com/?q="&amp;$K228&amp;","&amp;$L228,"عرض الموقع"))</f>
        <v/>
      </c>
      <c r="P228" s="23">
        <f>IF(OR($B228="",N($J228)=0),"",HYPERLINK(PhotoDir&amp;"/"&amp;YEAR($B228)&amp;"-"&amp;TEXT(MONTH($B228),"00")&amp;"-"&amp;TEXT(DAY($B228),"00")&amp;"_"&amp;$D228,"فتح الصور ("&amp;$J228&amp;")"))</f>
        <v/>
      </c>
      <c r="Q228" s="24">
        <f>IF($B228="","",MONTH($B228))</f>
        <v/>
      </c>
      <c r="R228" s="24">
        <f>IF($B228="","",YEAR($B228))</f>
        <v/>
      </c>
      <c r="S228" s="25">
        <f>IF($B228="","",$B228-WEEKDAY($B228,3))</f>
        <v/>
      </c>
      <c r="T228" s="24">
        <f>IF($B228="",0,IF(COUNTIFS($B$5:$B228,$B228,$D$5:$D228,$D228)=1,1,0))</f>
        <v/>
      </c>
      <c r="U228" s="24">
        <f>IF($B228="",0,IF(COUNTIFS($B$5:$B228,$B228,$C$5:$C228,$C228)=1,1,0))</f>
        <v/>
      </c>
      <c r="V228" s="24">
        <f>IF(OR($B228="",$G228="",$G228="لا توجد مشاهدات"),0,1)</f>
        <v/>
      </c>
      <c r="W228" s="24">
        <f>IF(AND($B228&lt;&gt;"",$I228="تم تحرير مخالفة"),1,0)</f>
        <v/>
      </c>
      <c r="X228" s="24">
        <f>IF($B228="","",IF($S228=WkStart,COUNTIF($S$5:$S228,WkStart),""))</f>
        <v/>
      </c>
    </row>
    <row r="229">
      <c r="A229" s="16">
        <f>IF($B229="","",ROW()-4)</f>
        <v/>
      </c>
      <c r="B229" s="17" t="n"/>
      <c r="C229" s="18" t="n"/>
      <c r="D229" s="18" t="n"/>
      <c r="E229" s="19" t="n"/>
      <c r="F229" s="19" t="n"/>
      <c r="G229" s="18" t="n"/>
      <c r="H229" s="18" t="n"/>
      <c r="I229" s="18" t="n"/>
      <c r="J229" s="20" t="n"/>
      <c r="K229" s="21" t="n"/>
      <c r="L229" s="21" t="n"/>
      <c r="M229" s="18" t="n"/>
      <c r="N229" s="22">
        <f>IF($B229="","",CHOOSE(WEEKDAY($B229),"الأحد","الاثنين","الثلاثاء","الأربعاء","الخميس","الجمعة","السبت"))</f>
        <v/>
      </c>
      <c r="O229" s="23">
        <f>IF(OR($K229="",$L229=""),"",HYPERLINK("https://maps.google.com/?q="&amp;$K229&amp;","&amp;$L229,"عرض الموقع"))</f>
        <v/>
      </c>
      <c r="P229" s="23">
        <f>IF(OR($B229="",N($J229)=0),"",HYPERLINK(PhotoDir&amp;"/"&amp;YEAR($B229)&amp;"-"&amp;TEXT(MONTH($B229),"00")&amp;"-"&amp;TEXT(DAY($B229),"00")&amp;"_"&amp;$D229,"فتح الصور ("&amp;$J229&amp;")"))</f>
        <v/>
      </c>
      <c r="Q229" s="24">
        <f>IF($B229="","",MONTH($B229))</f>
        <v/>
      </c>
      <c r="R229" s="24">
        <f>IF($B229="","",YEAR($B229))</f>
        <v/>
      </c>
      <c r="S229" s="25">
        <f>IF($B229="","",$B229-WEEKDAY($B229,3))</f>
        <v/>
      </c>
      <c r="T229" s="24">
        <f>IF($B229="",0,IF(COUNTIFS($B$5:$B229,$B229,$D$5:$D229,$D229)=1,1,0))</f>
        <v/>
      </c>
      <c r="U229" s="24">
        <f>IF($B229="",0,IF(COUNTIFS($B$5:$B229,$B229,$C$5:$C229,$C229)=1,1,0))</f>
        <v/>
      </c>
      <c r="V229" s="24">
        <f>IF(OR($B229="",$G229="",$G229="لا توجد مشاهدات"),0,1)</f>
        <v/>
      </c>
      <c r="W229" s="24">
        <f>IF(AND($B229&lt;&gt;"",$I229="تم تحرير مخالفة"),1,0)</f>
        <v/>
      </c>
      <c r="X229" s="24">
        <f>IF($B229="","",IF($S229=WkStart,COUNTIF($S$5:$S229,WkStart),""))</f>
        <v/>
      </c>
    </row>
    <row r="230">
      <c r="A230" s="16">
        <f>IF($B230="","",ROW()-4)</f>
        <v/>
      </c>
      <c r="B230" s="17" t="n"/>
      <c r="C230" s="18" t="n"/>
      <c r="D230" s="18" t="n"/>
      <c r="E230" s="19" t="n"/>
      <c r="F230" s="19" t="n"/>
      <c r="G230" s="18" t="n"/>
      <c r="H230" s="18" t="n"/>
      <c r="I230" s="18" t="n"/>
      <c r="J230" s="20" t="n"/>
      <c r="K230" s="21" t="n"/>
      <c r="L230" s="21" t="n"/>
      <c r="M230" s="18" t="n"/>
      <c r="N230" s="22">
        <f>IF($B230="","",CHOOSE(WEEKDAY($B230),"الأحد","الاثنين","الثلاثاء","الأربعاء","الخميس","الجمعة","السبت"))</f>
        <v/>
      </c>
      <c r="O230" s="23">
        <f>IF(OR($K230="",$L230=""),"",HYPERLINK("https://maps.google.com/?q="&amp;$K230&amp;","&amp;$L230,"عرض الموقع"))</f>
        <v/>
      </c>
      <c r="P230" s="23">
        <f>IF(OR($B230="",N($J230)=0),"",HYPERLINK(PhotoDir&amp;"/"&amp;YEAR($B230)&amp;"-"&amp;TEXT(MONTH($B230),"00")&amp;"-"&amp;TEXT(DAY($B230),"00")&amp;"_"&amp;$D230,"فتح الصور ("&amp;$J230&amp;")"))</f>
        <v/>
      </c>
      <c r="Q230" s="24">
        <f>IF($B230="","",MONTH($B230))</f>
        <v/>
      </c>
      <c r="R230" s="24">
        <f>IF($B230="","",YEAR($B230))</f>
        <v/>
      </c>
      <c r="S230" s="25">
        <f>IF($B230="","",$B230-WEEKDAY($B230,3))</f>
        <v/>
      </c>
      <c r="T230" s="24">
        <f>IF($B230="",0,IF(COUNTIFS($B$5:$B230,$B230,$D$5:$D230,$D230)=1,1,0))</f>
        <v/>
      </c>
      <c r="U230" s="24">
        <f>IF($B230="",0,IF(COUNTIFS($B$5:$B230,$B230,$C$5:$C230,$C230)=1,1,0))</f>
        <v/>
      </c>
      <c r="V230" s="24">
        <f>IF(OR($B230="",$G230="",$G230="لا توجد مشاهدات"),0,1)</f>
        <v/>
      </c>
      <c r="W230" s="24">
        <f>IF(AND($B230&lt;&gt;"",$I230="تم تحرير مخالفة"),1,0)</f>
        <v/>
      </c>
      <c r="X230" s="24">
        <f>IF($B230="","",IF($S230=WkStart,COUNTIF($S$5:$S230,WkStart),""))</f>
        <v/>
      </c>
    </row>
    <row r="231">
      <c r="A231" s="16">
        <f>IF($B231="","",ROW()-4)</f>
        <v/>
      </c>
      <c r="B231" s="17" t="n"/>
      <c r="C231" s="18" t="n"/>
      <c r="D231" s="18" t="n"/>
      <c r="E231" s="19" t="n"/>
      <c r="F231" s="19" t="n"/>
      <c r="G231" s="18" t="n"/>
      <c r="H231" s="18" t="n"/>
      <c r="I231" s="18" t="n"/>
      <c r="J231" s="20" t="n"/>
      <c r="K231" s="21" t="n"/>
      <c r="L231" s="21" t="n"/>
      <c r="M231" s="18" t="n"/>
      <c r="N231" s="22">
        <f>IF($B231="","",CHOOSE(WEEKDAY($B231),"الأحد","الاثنين","الثلاثاء","الأربعاء","الخميس","الجمعة","السبت"))</f>
        <v/>
      </c>
      <c r="O231" s="23">
        <f>IF(OR($K231="",$L231=""),"",HYPERLINK("https://maps.google.com/?q="&amp;$K231&amp;","&amp;$L231,"عرض الموقع"))</f>
        <v/>
      </c>
      <c r="P231" s="23">
        <f>IF(OR($B231="",N($J231)=0),"",HYPERLINK(PhotoDir&amp;"/"&amp;YEAR($B231)&amp;"-"&amp;TEXT(MONTH($B231),"00")&amp;"-"&amp;TEXT(DAY($B231),"00")&amp;"_"&amp;$D231,"فتح الصور ("&amp;$J231&amp;")"))</f>
        <v/>
      </c>
      <c r="Q231" s="24">
        <f>IF($B231="","",MONTH($B231))</f>
        <v/>
      </c>
      <c r="R231" s="24">
        <f>IF($B231="","",YEAR($B231))</f>
        <v/>
      </c>
      <c r="S231" s="25">
        <f>IF($B231="","",$B231-WEEKDAY($B231,3))</f>
        <v/>
      </c>
      <c r="T231" s="24">
        <f>IF($B231="",0,IF(COUNTIFS($B$5:$B231,$B231,$D$5:$D231,$D231)=1,1,0))</f>
        <v/>
      </c>
      <c r="U231" s="24">
        <f>IF($B231="",0,IF(COUNTIFS($B$5:$B231,$B231,$C$5:$C231,$C231)=1,1,0))</f>
        <v/>
      </c>
      <c r="V231" s="24">
        <f>IF(OR($B231="",$G231="",$G231="لا توجد مشاهدات"),0,1)</f>
        <v/>
      </c>
      <c r="W231" s="24">
        <f>IF(AND($B231&lt;&gt;"",$I231="تم تحرير مخالفة"),1,0)</f>
        <v/>
      </c>
      <c r="X231" s="24">
        <f>IF($B231="","",IF($S231=WkStart,COUNTIF($S$5:$S231,WkStart),""))</f>
        <v/>
      </c>
    </row>
    <row r="232">
      <c r="A232" s="16">
        <f>IF($B232="","",ROW()-4)</f>
        <v/>
      </c>
      <c r="B232" s="17" t="n"/>
      <c r="C232" s="18" t="n"/>
      <c r="D232" s="18" t="n"/>
      <c r="E232" s="19" t="n"/>
      <c r="F232" s="19" t="n"/>
      <c r="G232" s="18" t="n"/>
      <c r="H232" s="18" t="n"/>
      <c r="I232" s="18" t="n"/>
      <c r="J232" s="20" t="n"/>
      <c r="K232" s="21" t="n"/>
      <c r="L232" s="21" t="n"/>
      <c r="M232" s="18" t="n"/>
      <c r="N232" s="22">
        <f>IF($B232="","",CHOOSE(WEEKDAY($B232),"الأحد","الاثنين","الثلاثاء","الأربعاء","الخميس","الجمعة","السبت"))</f>
        <v/>
      </c>
      <c r="O232" s="23">
        <f>IF(OR($K232="",$L232=""),"",HYPERLINK("https://maps.google.com/?q="&amp;$K232&amp;","&amp;$L232,"عرض الموقع"))</f>
        <v/>
      </c>
      <c r="P232" s="23">
        <f>IF(OR($B232="",N($J232)=0),"",HYPERLINK(PhotoDir&amp;"/"&amp;YEAR($B232)&amp;"-"&amp;TEXT(MONTH($B232),"00")&amp;"-"&amp;TEXT(DAY($B232),"00")&amp;"_"&amp;$D232,"فتح الصور ("&amp;$J232&amp;")"))</f>
        <v/>
      </c>
      <c r="Q232" s="24">
        <f>IF($B232="","",MONTH($B232))</f>
        <v/>
      </c>
      <c r="R232" s="24">
        <f>IF($B232="","",YEAR($B232))</f>
        <v/>
      </c>
      <c r="S232" s="25">
        <f>IF($B232="","",$B232-WEEKDAY($B232,3))</f>
        <v/>
      </c>
      <c r="T232" s="24">
        <f>IF($B232="",0,IF(COUNTIFS($B$5:$B232,$B232,$D$5:$D232,$D232)=1,1,0))</f>
        <v/>
      </c>
      <c r="U232" s="24">
        <f>IF($B232="",0,IF(COUNTIFS($B$5:$B232,$B232,$C$5:$C232,$C232)=1,1,0))</f>
        <v/>
      </c>
      <c r="V232" s="24">
        <f>IF(OR($B232="",$G232="",$G232="لا توجد مشاهدات"),0,1)</f>
        <v/>
      </c>
      <c r="W232" s="24">
        <f>IF(AND($B232&lt;&gt;"",$I232="تم تحرير مخالفة"),1,0)</f>
        <v/>
      </c>
      <c r="X232" s="24">
        <f>IF($B232="","",IF($S232=WkStart,COUNTIF($S$5:$S232,WkStart),""))</f>
        <v/>
      </c>
    </row>
    <row r="233">
      <c r="A233" s="16">
        <f>IF($B233="","",ROW()-4)</f>
        <v/>
      </c>
      <c r="B233" s="17" t="n"/>
      <c r="C233" s="18" t="n"/>
      <c r="D233" s="18" t="n"/>
      <c r="E233" s="19" t="n"/>
      <c r="F233" s="19" t="n"/>
      <c r="G233" s="18" t="n"/>
      <c r="H233" s="18" t="n"/>
      <c r="I233" s="18" t="n"/>
      <c r="J233" s="20" t="n"/>
      <c r="K233" s="21" t="n"/>
      <c r="L233" s="21" t="n"/>
      <c r="M233" s="18" t="n"/>
      <c r="N233" s="22">
        <f>IF($B233="","",CHOOSE(WEEKDAY($B233),"الأحد","الاثنين","الثلاثاء","الأربعاء","الخميس","الجمعة","السبت"))</f>
        <v/>
      </c>
      <c r="O233" s="23">
        <f>IF(OR($K233="",$L233=""),"",HYPERLINK("https://maps.google.com/?q="&amp;$K233&amp;","&amp;$L233,"عرض الموقع"))</f>
        <v/>
      </c>
      <c r="P233" s="23">
        <f>IF(OR($B233="",N($J233)=0),"",HYPERLINK(PhotoDir&amp;"/"&amp;YEAR($B233)&amp;"-"&amp;TEXT(MONTH($B233),"00")&amp;"-"&amp;TEXT(DAY($B233),"00")&amp;"_"&amp;$D233,"فتح الصور ("&amp;$J233&amp;")"))</f>
        <v/>
      </c>
      <c r="Q233" s="24">
        <f>IF($B233="","",MONTH($B233))</f>
        <v/>
      </c>
      <c r="R233" s="24">
        <f>IF($B233="","",YEAR($B233))</f>
        <v/>
      </c>
      <c r="S233" s="25">
        <f>IF($B233="","",$B233-WEEKDAY($B233,3))</f>
        <v/>
      </c>
      <c r="T233" s="24">
        <f>IF($B233="",0,IF(COUNTIFS($B$5:$B233,$B233,$D$5:$D233,$D233)=1,1,0))</f>
        <v/>
      </c>
      <c r="U233" s="24">
        <f>IF($B233="",0,IF(COUNTIFS($B$5:$B233,$B233,$C$5:$C233,$C233)=1,1,0))</f>
        <v/>
      </c>
      <c r="V233" s="24">
        <f>IF(OR($B233="",$G233="",$G233="لا توجد مشاهدات"),0,1)</f>
        <v/>
      </c>
      <c r="W233" s="24">
        <f>IF(AND($B233&lt;&gt;"",$I233="تم تحرير مخالفة"),1,0)</f>
        <v/>
      </c>
      <c r="X233" s="24">
        <f>IF($B233="","",IF($S233=WkStart,COUNTIF($S$5:$S233,WkStart),""))</f>
        <v/>
      </c>
    </row>
    <row r="234">
      <c r="A234" s="16">
        <f>IF($B234="","",ROW()-4)</f>
        <v/>
      </c>
      <c r="B234" s="17" t="n"/>
      <c r="C234" s="18" t="n"/>
      <c r="D234" s="18" t="n"/>
      <c r="E234" s="19" t="n"/>
      <c r="F234" s="19" t="n"/>
      <c r="G234" s="18" t="n"/>
      <c r="H234" s="18" t="n"/>
      <c r="I234" s="18" t="n"/>
      <c r="J234" s="20" t="n"/>
      <c r="K234" s="21" t="n"/>
      <c r="L234" s="21" t="n"/>
      <c r="M234" s="18" t="n"/>
      <c r="N234" s="22">
        <f>IF($B234="","",CHOOSE(WEEKDAY($B234),"الأحد","الاثنين","الثلاثاء","الأربعاء","الخميس","الجمعة","السبت"))</f>
        <v/>
      </c>
      <c r="O234" s="23">
        <f>IF(OR($K234="",$L234=""),"",HYPERLINK("https://maps.google.com/?q="&amp;$K234&amp;","&amp;$L234,"عرض الموقع"))</f>
        <v/>
      </c>
      <c r="P234" s="23">
        <f>IF(OR($B234="",N($J234)=0),"",HYPERLINK(PhotoDir&amp;"/"&amp;YEAR($B234)&amp;"-"&amp;TEXT(MONTH($B234),"00")&amp;"-"&amp;TEXT(DAY($B234),"00")&amp;"_"&amp;$D234,"فتح الصور ("&amp;$J234&amp;")"))</f>
        <v/>
      </c>
      <c r="Q234" s="24">
        <f>IF($B234="","",MONTH($B234))</f>
        <v/>
      </c>
      <c r="R234" s="24">
        <f>IF($B234="","",YEAR($B234))</f>
        <v/>
      </c>
      <c r="S234" s="25">
        <f>IF($B234="","",$B234-WEEKDAY($B234,3))</f>
        <v/>
      </c>
      <c r="T234" s="24">
        <f>IF($B234="",0,IF(COUNTIFS($B$5:$B234,$B234,$D$5:$D234,$D234)=1,1,0))</f>
        <v/>
      </c>
      <c r="U234" s="24">
        <f>IF($B234="",0,IF(COUNTIFS($B$5:$B234,$B234,$C$5:$C234,$C234)=1,1,0))</f>
        <v/>
      </c>
      <c r="V234" s="24">
        <f>IF(OR($B234="",$G234="",$G234="لا توجد مشاهدات"),0,1)</f>
        <v/>
      </c>
      <c r="W234" s="24">
        <f>IF(AND($B234&lt;&gt;"",$I234="تم تحرير مخالفة"),1,0)</f>
        <v/>
      </c>
      <c r="X234" s="24">
        <f>IF($B234="","",IF($S234=WkStart,COUNTIF($S$5:$S234,WkStart),""))</f>
        <v/>
      </c>
    </row>
    <row r="235">
      <c r="A235" s="16">
        <f>IF($B235="","",ROW()-4)</f>
        <v/>
      </c>
      <c r="B235" s="17" t="n"/>
      <c r="C235" s="18" t="n"/>
      <c r="D235" s="18" t="n"/>
      <c r="E235" s="19" t="n"/>
      <c r="F235" s="19" t="n"/>
      <c r="G235" s="18" t="n"/>
      <c r="H235" s="18" t="n"/>
      <c r="I235" s="18" t="n"/>
      <c r="J235" s="20" t="n"/>
      <c r="K235" s="21" t="n"/>
      <c r="L235" s="21" t="n"/>
      <c r="M235" s="18" t="n"/>
      <c r="N235" s="22">
        <f>IF($B235="","",CHOOSE(WEEKDAY($B235),"الأحد","الاثنين","الثلاثاء","الأربعاء","الخميس","الجمعة","السبت"))</f>
        <v/>
      </c>
      <c r="O235" s="23">
        <f>IF(OR($K235="",$L235=""),"",HYPERLINK("https://maps.google.com/?q="&amp;$K235&amp;","&amp;$L235,"عرض الموقع"))</f>
        <v/>
      </c>
      <c r="P235" s="23">
        <f>IF(OR($B235="",N($J235)=0),"",HYPERLINK(PhotoDir&amp;"/"&amp;YEAR($B235)&amp;"-"&amp;TEXT(MONTH($B235),"00")&amp;"-"&amp;TEXT(DAY($B235),"00")&amp;"_"&amp;$D235,"فتح الصور ("&amp;$J235&amp;")"))</f>
        <v/>
      </c>
      <c r="Q235" s="24">
        <f>IF($B235="","",MONTH($B235))</f>
        <v/>
      </c>
      <c r="R235" s="24">
        <f>IF($B235="","",YEAR($B235))</f>
        <v/>
      </c>
      <c r="S235" s="25">
        <f>IF($B235="","",$B235-WEEKDAY($B235,3))</f>
        <v/>
      </c>
      <c r="T235" s="24">
        <f>IF($B235="",0,IF(COUNTIFS($B$5:$B235,$B235,$D$5:$D235,$D235)=1,1,0))</f>
        <v/>
      </c>
      <c r="U235" s="24">
        <f>IF($B235="",0,IF(COUNTIFS($B$5:$B235,$B235,$C$5:$C235,$C235)=1,1,0))</f>
        <v/>
      </c>
      <c r="V235" s="24">
        <f>IF(OR($B235="",$G235="",$G235="لا توجد مشاهدات"),0,1)</f>
        <v/>
      </c>
      <c r="W235" s="24">
        <f>IF(AND($B235&lt;&gt;"",$I235="تم تحرير مخالفة"),1,0)</f>
        <v/>
      </c>
      <c r="X235" s="24">
        <f>IF($B235="","",IF($S235=WkStart,COUNTIF($S$5:$S235,WkStart),""))</f>
        <v/>
      </c>
    </row>
    <row r="236">
      <c r="A236" s="16">
        <f>IF($B236="","",ROW()-4)</f>
        <v/>
      </c>
      <c r="B236" s="17" t="n"/>
      <c r="C236" s="18" t="n"/>
      <c r="D236" s="18" t="n"/>
      <c r="E236" s="19" t="n"/>
      <c r="F236" s="19" t="n"/>
      <c r="G236" s="18" t="n"/>
      <c r="H236" s="18" t="n"/>
      <c r="I236" s="18" t="n"/>
      <c r="J236" s="20" t="n"/>
      <c r="K236" s="21" t="n"/>
      <c r="L236" s="21" t="n"/>
      <c r="M236" s="18" t="n"/>
      <c r="N236" s="22">
        <f>IF($B236="","",CHOOSE(WEEKDAY($B236),"الأحد","الاثنين","الثلاثاء","الأربعاء","الخميس","الجمعة","السبت"))</f>
        <v/>
      </c>
      <c r="O236" s="23">
        <f>IF(OR($K236="",$L236=""),"",HYPERLINK("https://maps.google.com/?q="&amp;$K236&amp;","&amp;$L236,"عرض الموقع"))</f>
        <v/>
      </c>
      <c r="P236" s="23">
        <f>IF(OR($B236="",N($J236)=0),"",HYPERLINK(PhotoDir&amp;"/"&amp;YEAR($B236)&amp;"-"&amp;TEXT(MONTH($B236),"00")&amp;"-"&amp;TEXT(DAY($B236),"00")&amp;"_"&amp;$D236,"فتح الصور ("&amp;$J236&amp;")"))</f>
        <v/>
      </c>
      <c r="Q236" s="24">
        <f>IF($B236="","",MONTH($B236))</f>
        <v/>
      </c>
      <c r="R236" s="24">
        <f>IF($B236="","",YEAR($B236))</f>
        <v/>
      </c>
      <c r="S236" s="25">
        <f>IF($B236="","",$B236-WEEKDAY($B236,3))</f>
        <v/>
      </c>
      <c r="T236" s="24">
        <f>IF($B236="",0,IF(COUNTIFS($B$5:$B236,$B236,$D$5:$D236,$D236)=1,1,0))</f>
        <v/>
      </c>
      <c r="U236" s="24">
        <f>IF($B236="",0,IF(COUNTIFS($B$5:$B236,$B236,$C$5:$C236,$C236)=1,1,0))</f>
        <v/>
      </c>
      <c r="V236" s="24">
        <f>IF(OR($B236="",$G236="",$G236="لا توجد مشاهدات"),0,1)</f>
        <v/>
      </c>
      <c r="W236" s="24">
        <f>IF(AND($B236&lt;&gt;"",$I236="تم تحرير مخالفة"),1,0)</f>
        <v/>
      </c>
      <c r="X236" s="24">
        <f>IF($B236="","",IF($S236=WkStart,COUNTIF($S$5:$S236,WkStart),""))</f>
        <v/>
      </c>
    </row>
    <row r="237">
      <c r="A237" s="16">
        <f>IF($B237="","",ROW()-4)</f>
        <v/>
      </c>
      <c r="B237" s="17" t="n"/>
      <c r="C237" s="18" t="n"/>
      <c r="D237" s="18" t="n"/>
      <c r="E237" s="19" t="n"/>
      <c r="F237" s="19" t="n"/>
      <c r="G237" s="18" t="n"/>
      <c r="H237" s="18" t="n"/>
      <c r="I237" s="18" t="n"/>
      <c r="J237" s="20" t="n"/>
      <c r="K237" s="21" t="n"/>
      <c r="L237" s="21" t="n"/>
      <c r="M237" s="18" t="n"/>
      <c r="N237" s="22">
        <f>IF($B237="","",CHOOSE(WEEKDAY($B237),"الأحد","الاثنين","الثلاثاء","الأربعاء","الخميس","الجمعة","السبت"))</f>
        <v/>
      </c>
      <c r="O237" s="23">
        <f>IF(OR($K237="",$L237=""),"",HYPERLINK("https://maps.google.com/?q="&amp;$K237&amp;","&amp;$L237,"عرض الموقع"))</f>
        <v/>
      </c>
      <c r="P237" s="23">
        <f>IF(OR($B237="",N($J237)=0),"",HYPERLINK(PhotoDir&amp;"/"&amp;YEAR($B237)&amp;"-"&amp;TEXT(MONTH($B237),"00")&amp;"-"&amp;TEXT(DAY($B237),"00")&amp;"_"&amp;$D237,"فتح الصور ("&amp;$J237&amp;")"))</f>
        <v/>
      </c>
      <c r="Q237" s="24">
        <f>IF($B237="","",MONTH($B237))</f>
        <v/>
      </c>
      <c r="R237" s="24">
        <f>IF($B237="","",YEAR($B237))</f>
        <v/>
      </c>
      <c r="S237" s="25">
        <f>IF($B237="","",$B237-WEEKDAY($B237,3))</f>
        <v/>
      </c>
      <c r="T237" s="24">
        <f>IF($B237="",0,IF(COUNTIFS($B$5:$B237,$B237,$D$5:$D237,$D237)=1,1,0))</f>
        <v/>
      </c>
      <c r="U237" s="24">
        <f>IF($B237="",0,IF(COUNTIFS($B$5:$B237,$B237,$C$5:$C237,$C237)=1,1,0))</f>
        <v/>
      </c>
      <c r="V237" s="24">
        <f>IF(OR($B237="",$G237="",$G237="لا توجد مشاهدات"),0,1)</f>
        <v/>
      </c>
      <c r="W237" s="24">
        <f>IF(AND($B237&lt;&gt;"",$I237="تم تحرير مخالفة"),1,0)</f>
        <v/>
      </c>
      <c r="X237" s="24">
        <f>IF($B237="","",IF($S237=WkStart,COUNTIF($S$5:$S237,WkStart),""))</f>
        <v/>
      </c>
    </row>
    <row r="238">
      <c r="A238" s="16">
        <f>IF($B238="","",ROW()-4)</f>
        <v/>
      </c>
      <c r="B238" s="17" t="n"/>
      <c r="C238" s="18" t="n"/>
      <c r="D238" s="18" t="n"/>
      <c r="E238" s="19" t="n"/>
      <c r="F238" s="19" t="n"/>
      <c r="G238" s="18" t="n"/>
      <c r="H238" s="18" t="n"/>
      <c r="I238" s="18" t="n"/>
      <c r="J238" s="20" t="n"/>
      <c r="K238" s="21" t="n"/>
      <c r="L238" s="21" t="n"/>
      <c r="M238" s="18" t="n"/>
      <c r="N238" s="22">
        <f>IF($B238="","",CHOOSE(WEEKDAY($B238),"الأحد","الاثنين","الثلاثاء","الأربعاء","الخميس","الجمعة","السبت"))</f>
        <v/>
      </c>
      <c r="O238" s="23">
        <f>IF(OR($K238="",$L238=""),"",HYPERLINK("https://maps.google.com/?q="&amp;$K238&amp;","&amp;$L238,"عرض الموقع"))</f>
        <v/>
      </c>
      <c r="P238" s="23">
        <f>IF(OR($B238="",N($J238)=0),"",HYPERLINK(PhotoDir&amp;"/"&amp;YEAR($B238)&amp;"-"&amp;TEXT(MONTH($B238),"00")&amp;"-"&amp;TEXT(DAY($B238),"00")&amp;"_"&amp;$D238,"فتح الصور ("&amp;$J238&amp;")"))</f>
        <v/>
      </c>
      <c r="Q238" s="24">
        <f>IF($B238="","",MONTH($B238))</f>
        <v/>
      </c>
      <c r="R238" s="24">
        <f>IF($B238="","",YEAR($B238))</f>
        <v/>
      </c>
      <c r="S238" s="25">
        <f>IF($B238="","",$B238-WEEKDAY($B238,3))</f>
        <v/>
      </c>
      <c r="T238" s="24">
        <f>IF($B238="",0,IF(COUNTIFS($B$5:$B238,$B238,$D$5:$D238,$D238)=1,1,0))</f>
        <v/>
      </c>
      <c r="U238" s="24">
        <f>IF($B238="",0,IF(COUNTIFS($B$5:$B238,$B238,$C$5:$C238,$C238)=1,1,0))</f>
        <v/>
      </c>
      <c r="V238" s="24">
        <f>IF(OR($B238="",$G238="",$G238="لا توجد مشاهدات"),0,1)</f>
        <v/>
      </c>
      <c r="W238" s="24">
        <f>IF(AND($B238&lt;&gt;"",$I238="تم تحرير مخالفة"),1,0)</f>
        <v/>
      </c>
      <c r="X238" s="24">
        <f>IF($B238="","",IF($S238=WkStart,COUNTIF($S$5:$S238,WkStart),""))</f>
        <v/>
      </c>
    </row>
    <row r="239">
      <c r="A239" s="16">
        <f>IF($B239="","",ROW()-4)</f>
        <v/>
      </c>
      <c r="B239" s="17" t="n"/>
      <c r="C239" s="18" t="n"/>
      <c r="D239" s="18" t="n"/>
      <c r="E239" s="19" t="n"/>
      <c r="F239" s="19" t="n"/>
      <c r="G239" s="18" t="n"/>
      <c r="H239" s="18" t="n"/>
      <c r="I239" s="18" t="n"/>
      <c r="J239" s="20" t="n"/>
      <c r="K239" s="21" t="n"/>
      <c r="L239" s="21" t="n"/>
      <c r="M239" s="18" t="n"/>
      <c r="N239" s="22">
        <f>IF($B239="","",CHOOSE(WEEKDAY($B239),"الأحد","الاثنين","الثلاثاء","الأربعاء","الخميس","الجمعة","السبت"))</f>
        <v/>
      </c>
      <c r="O239" s="23">
        <f>IF(OR($K239="",$L239=""),"",HYPERLINK("https://maps.google.com/?q="&amp;$K239&amp;","&amp;$L239,"عرض الموقع"))</f>
        <v/>
      </c>
      <c r="P239" s="23">
        <f>IF(OR($B239="",N($J239)=0),"",HYPERLINK(PhotoDir&amp;"/"&amp;YEAR($B239)&amp;"-"&amp;TEXT(MONTH($B239),"00")&amp;"-"&amp;TEXT(DAY($B239),"00")&amp;"_"&amp;$D239,"فتح الصور ("&amp;$J239&amp;")"))</f>
        <v/>
      </c>
      <c r="Q239" s="24">
        <f>IF($B239="","",MONTH($B239))</f>
        <v/>
      </c>
      <c r="R239" s="24">
        <f>IF($B239="","",YEAR($B239))</f>
        <v/>
      </c>
      <c r="S239" s="25">
        <f>IF($B239="","",$B239-WEEKDAY($B239,3))</f>
        <v/>
      </c>
      <c r="T239" s="24">
        <f>IF($B239="",0,IF(COUNTIFS($B$5:$B239,$B239,$D$5:$D239,$D239)=1,1,0))</f>
        <v/>
      </c>
      <c r="U239" s="24">
        <f>IF($B239="",0,IF(COUNTIFS($B$5:$B239,$B239,$C$5:$C239,$C239)=1,1,0))</f>
        <v/>
      </c>
      <c r="V239" s="24">
        <f>IF(OR($B239="",$G239="",$G239="لا توجد مشاهدات"),0,1)</f>
        <v/>
      </c>
      <c r="W239" s="24">
        <f>IF(AND($B239&lt;&gt;"",$I239="تم تحرير مخالفة"),1,0)</f>
        <v/>
      </c>
      <c r="X239" s="24">
        <f>IF($B239="","",IF($S239=WkStart,COUNTIF($S$5:$S239,WkStart),""))</f>
        <v/>
      </c>
    </row>
    <row r="240">
      <c r="A240" s="16">
        <f>IF($B240="","",ROW()-4)</f>
        <v/>
      </c>
      <c r="B240" s="17" t="n"/>
      <c r="C240" s="18" t="n"/>
      <c r="D240" s="18" t="n"/>
      <c r="E240" s="19" t="n"/>
      <c r="F240" s="19" t="n"/>
      <c r="G240" s="18" t="n"/>
      <c r="H240" s="18" t="n"/>
      <c r="I240" s="18" t="n"/>
      <c r="J240" s="20" t="n"/>
      <c r="K240" s="21" t="n"/>
      <c r="L240" s="21" t="n"/>
      <c r="M240" s="18" t="n"/>
      <c r="N240" s="22">
        <f>IF($B240="","",CHOOSE(WEEKDAY($B240),"الأحد","الاثنين","الثلاثاء","الأربعاء","الخميس","الجمعة","السبت"))</f>
        <v/>
      </c>
      <c r="O240" s="23">
        <f>IF(OR($K240="",$L240=""),"",HYPERLINK("https://maps.google.com/?q="&amp;$K240&amp;","&amp;$L240,"عرض الموقع"))</f>
        <v/>
      </c>
      <c r="P240" s="23">
        <f>IF(OR($B240="",N($J240)=0),"",HYPERLINK(PhotoDir&amp;"/"&amp;YEAR($B240)&amp;"-"&amp;TEXT(MONTH($B240),"00")&amp;"-"&amp;TEXT(DAY($B240),"00")&amp;"_"&amp;$D240,"فتح الصور ("&amp;$J240&amp;")"))</f>
        <v/>
      </c>
      <c r="Q240" s="24">
        <f>IF($B240="","",MONTH($B240))</f>
        <v/>
      </c>
      <c r="R240" s="24">
        <f>IF($B240="","",YEAR($B240))</f>
        <v/>
      </c>
      <c r="S240" s="25">
        <f>IF($B240="","",$B240-WEEKDAY($B240,3))</f>
        <v/>
      </c>
      <c r="T240" s="24">
        <f>IF($B240="",0,IF(COUNTIFS($B$5:$B240,$B240,$D$5:$D240,$D240)=1,1,0))</f>
        <v/>
      </c>
      <c r="U240" s="24">
        <f>IF($B240="",0,IF(COUNTIFS($B$5:$B240,$B240,$C$5:$C240,$C240)=1,1,0))</f>
        <v/>
      </c>
      <c r="V240" s="24">
        <f>IF(OR($B240="",$G240="",$G240="لا توجد مشاهدات"),0,1)</f>
        <v/>
      </c>
      <c r="W240" s="24">
        <f>IF(AND($B240&lt;&gt;"",$I240="تم تحرير مخالفة"),1,0)</f>
        <v/>
      </c>
      <c r="X240" s="24">
        <f>IF($B240="","",IF($S240=WkStart,COUNTIF($S$5:$S240,WkStart),""))</f>
        <v/>
      </c>
    </row>
    <row r="241">
      <c r="A241" s="16">
        <f>IF($B241="","",ROW()-4)</f>
        <v/>
      </c>
      <c r="B241" s="17" t="n"/>
      <c r="C241" s="18" t="n"/>
      <c r="D241" s="18" t="n"/>
      <c r="E241" s="19" t="n"/>
      <c r="F241" s="19" t="n"/>
      <c r="G241" s="18" t="n"/>
      <c r="H241" s="18" t="n"/>
      <c r="I241" s="18" t="n"/>
      <c r="J241" s="20" t="n"/>
      <c r="K241" s="21" t="n"/>
      <c r="L241" s="21" t="n"/>
      <c r="M241" s="18" t="n"/>
      <c r="N241" s="22">
        <f>IF($B241="","",CHOOSE(WEEKDAY($B241),"الأحد","الاثنين","الثلاثاء","الأربعاء","الخميس","الجمعة","السبت"))</f>
        <v/>
      </c>
      <c r="O241" s="23">
        <f>IF(OR($K241="",$L241=""),"",HYPERLINK("https://maps.google.com/?q="&amp;$K241&amp;","&amp;$L241,"عرض الموقع"))</f>
        <v/>
      </c>
      <c r="P241" s="23">
        <f>IF(OR($B241="",N($J241)=0),"",HYPERLINK(PhotoDir&amp;"/"&amp;YEAR($B241)&amp;"-"&amp;TEXT(MONTH($B241),"00")&amp;"-"&amp;TEXT(DAY($B241),"00")&amp;"_"&amp;$D241,"فتح الصور ("&amp;$J241&amp;")"))</f>
        <v/>
      </c>
      <c r="Q241" s="24">
        <f>IF($B241="","",MONTH($B241))</f>
        <v/>
      </c>
      <c r="R241" s="24">
        <f>IF($B241="","",YEAR($B241))</f>
        <v/>
      </c>
      <c r="S241" s="25">
        <f>IF($B241="","",$B241-WEEKDAY($B241,3))</f>
        <v/>
      </c>
      <c r="T241" s="24">
        <f>IF($B241="",0,IF(COUNTIFS($B$5:$B241,$B241,$D$5:$D241,$D241)=1,1,0))</f>
        <v/>
      </c>
      <c r="U241" s="24">
        <f>IF($B241="",0,IF(COUNTIFS($B$5:$B241,$B241,$C$5:$C241,$C241)=1,1,0))</f>
        <v/>
      </c>
      <c r="V241" s="24">
        <f>IF(OR($B241="",$G241="",$G241="لا توجد مشاهدات"),0,1)</f>
        <v/>
      </c>
      <c r="W241" s="24">
        <f>IF(AND($B241&lt;&gt;"",$I241="تم تحرير مخالفة"),1,0)</f>
        <v/>
      </c>
      <c r="X241" s="24">
        <f>IF($B241="","",IF($S241=WkStart,COUNTIF($S$5:$S241,WkStart),""))</f>
        <v/>
      </c>
    </row>
    <row r="242">
      <c r="A242" s="16">
        <f>IF($B242="","",ROW()-4)</f>
        <v/>
      </c>
      <c r="B242" s="17" t="n"/>
      <c r="C242" s="18" t="n"/>
      <c r="D242" s="18" t="n"/>
      <c r="E242" s="19" t="n"/>
      <c r="F242" s="19" t="n"/>
      <c r="G242" s="18" t="n"/>
      <c r="H242" s="18" t="n"/>
      <c r="I242" s="18" t="n"/>
      <c r="J242" s="20" t="n"/>
      <c r="K242" s="21" t="n"/>
      <c r="L242" s="21" t="n"/>
      <c r="M242" s="18" t="n"/>
      <c r="N242" s="22">
        <f>IF($B242="","",CHOOSE(WEEKDAY($B242),"الأحد","الاثنين","الثلاثاء","الأربعاء","الخميس","الجمعة","السبت"))</f>
        <v/>
      </c>
      <c r="O242" s="23">
        <f>IF(OR($K242="",$L242=""),"",HYPERLINK("https://maps.google.com/?q="&amp;$K242&amp;","&amp;$L242,"عرض الموقع"))</f>
        <v/>
      </c>
      <c r="P242" s="23">
        <f>IF(OR($B242="",N($J242)=0),"",HYPERLINK(PhotoDir&amp;"/"&amp;YEAR($B242)&amp;"-"&amp;TEXT(MONTH($B242),"00")&amp;"-"&amp;TEXT(DAY($B242),"00")&amp;"_"&amp;$D242,"فتح الصور ("&amp;$J242&amp;")"))</f>
        <v/>
      </c>
      <c r="Q242" s="24">
        <f>IF($B242="","",MONTH($B242))</f>
        <v/>
      </c>
      <c r="R242" s="24">
        <f>IF($B242="","",YEAR($B242))</f>
        <v/>
      </c>
      <c r="S242" s="25">
        <f>IF($B242="","",$B242-WEEKDAY($B242,3))</f>
        <v/>
      </c>
      <c r="T242" s="24">
        <f>IF($B242="",0,IF(COUNTIFS($B$5:$B242,$B242,$D$5:$D242,$D242)=1,1,0))</f>
        <v/>
      </c>
      <c r="U242" s="24">
        <f>IF($B242="",0,IF(COUNTIFS($B$5:$B242,$B242,$C$5:$C242,$C242)=1,1,0))</f>
        <v/>
      </c>
      <c r="V242" s="24">
        <f>IF(OR($B242="",$G242="",$G242="لا توجد مشاهدات"),0,1)</f>
        <v/>
      </c>
      <c r="W242" s="24">
        <f>IF(AND($B242&lt;&gt;"",$I242="تم تحرير مخالفة"),1,0)</f>
        <v/>
      </c>
      <c r="X242" s="24">
        <f>IF($B242="","",IF($S242=WkStart,COUNTIF($S$5:$S242,WkStart),""))</f>
        <v/>
      </c>
    </row>
    <row r="243">
      <c r="A243" s="16">
        <f>IF($B243="","",ROW()-4)</f>
        <v/>
      </c>
      <c r="B243" s="17" t="n"/>
      <c r="C243" s="18" t="n"/>
      <c r="D243" s="18" t="n"/>
      <c r="E243" s="19" t="n"/>
      <c r="F243" s="19" t="n"/>
      <c r="G243" s="18" t="n"/>
      <c r="H243" s="18" t="n"/>
      <c r="I243" s="18" t="n"/>
      <c r="J243" s="20" t="n"/>
      <c r="K243" s="21" t="n"/>
      <c r="L243" s="21" t="n"/>
      <c r="M243" s="18" t="n"/>
      <c r="N243" s="22">
        <f>IF($B243="","",CHOOSE(WEEKDAY($B243),"الأحد","الاثنين","الثلاثاء","الأربعاء","الخميس","الجمعة","السبت"))</f>
        <v/>
      </c>
      <c r="O243" s="23">
        <f>IF(OR($K243="",$L243=""),"",HYPERLINK("https://maps.google.com/?q="&amp;$K243&amp;","&amp;$L243,"عرض الموقع"))</f>
        <v/>
      </c>
      <c r="P243" s="23">
        <f>IF(OR($B243="",N($J243)=0),"",HYPERLINK(PhotoDir&amp;"/"&amp;YEAR($B243)&amp;"-"&amp;TEXT(MONTH($B243),"00")&amp;"-"&amp;TEXT(DAY($B243),"00")&amp;"_"&amp;$D243,"فتح الصور ("&amp;$J243&amp;")"))</f>
        <v/>
      </c>
      <c r="Q243" s="24">
        <f>IF($B243="","",MONTH($B243))</f>
        <v/>
      </c>
      <c r="R243" s="24">
        <f>IF($B243="","",YEAR($B243))</f>
        <v/>
      </c>
      <c r="S243" s="25">
        <f>IF($B243="","",$B243-WEEKDAY($B243,3))</f>
        <v/>
      </c>
      <c r="T243" s="24">
        <f>IF($B243="",0,IF(COUNTIFS($B$5:$B243,$B243,$D$5:$D243,$D243)=1,1,0))</f>
        <v/>
      </c>
      <c r="U243" s="24">
        <f>IF($B243="",0,IF(COUNTIFS($B$5:$B243,$B243,$C$5:$C243,$C243)=1,1,0))</f>
        <v/>
      </c>
      <c r="V243" s="24">
        <f>IF(OR($B243="",$G243="",$G243="لا توجد مشاهدات"),0,1)</f>
        <v/>
      </c>
      <c r="W243" s="24">
        <f>IF(AND($B243&lt;&gt;"",$I243="تم تحرير مخالفة"),1,0)</f>
        <v/>
      </c>
      <c r="X243" s="24">
        <f>IF($B243="","",IF($S243=WkStart,COUNTIF($S$5:$S243,WkStart),""))</f>
        <v/>
      </c>
    </row>
    <row r="244">
      <c r="A244" s="16">
        <f>IF($B244="","",ROW()-4)</f>
        <v/>
      </c>
      <c r="B244" s="17" t="n"/>
      <c r="C244" s="18" t="n"/>
      <c r="D244" s="18" t="n"/>
      <c r="E244" s="19" t="n"/>
      <c r="F244" s="19" t="n"/>
      <c r="G244" s="18" t="n"/>
      <c r="H244" s="18" t="n"/>
      <c r="I244" s="18" t="n"/>
      <c r="J244" s="20" t="n"/>
      <c r="K244" s="21" t="n"/>
      <c r="L244" s="21" t="n"/>
      <c r="M244" s="18" t="n"/>
      <c r="N244" s="22">
        <f>IF($B244="","",CHOOSE(WEEKDAY($B244),"الأحد","الاثنين","الثلاثاء","الأربعاء","الخميس","الجمعة","السبت"))</f>
        <v/>
      </c>
      <c r="O244" s="23">
        <f>IF(OR($K244="",$L244=""),"",HYPERLINK("https://maps.google.com/?q="&amp;$K244&amp;","&amp;$L244,"عرض الموقع"))</f>
        <v/>
      </c>
      <c r="P244" s="23">
        <f>IF(OR($B244="",N($J244)=0),"",HYPERLINK(PhotoDir&amp;"/"&amp;YEAR($B244)&amp;"-"&amp;TEXT(MONTH($B244),"00")&amp;"-"&amp;TEXT(DAY($B244),"00")&amp;"_"&amp;$D244,"فتح الصور ("&amp;$J244&amp;")"))</f>
        <v/>
      </c>
      <c r="Q244" s="24">
        <f>IF($B244="","",MONTH($B244))</f>
        <v/>
      </c>
      <c r="R244" s="24">
        <f>IF($B244="","",YEAR($B244))</f>
        <v/>
      </c>
      <c r="S244" s="25">
        <f>IF($B244="","",$B244-WEEKDAY($B244,3))</f>
        <v/>
      </c>
      <c r="T244" s="24">
        <f>IF($B244="",0,IF(COUNTIFS($B$5:$B244,$B244,$D$5:$D244,$D244)=1,1,0))</f>
        <v/>
      </c>
      <c r="U244" s="24">
        <f>IF($B244="",0,IF(COUNTIFS($B$5:$B244,$B244,$C$5:$C244,$C244)=1,1,0))</f>
        <v/>
      </c>
      <c r="V244" s="24">
        <f>IF(OR($B244="",$G244="",$G244="لا توجد مشاهدات"),0,1)</f>
        <v/>
      </c>
      <c r="W244" s="24">
        <f>IF(AND($B244&lt;&gt;"",$I244="تم تحرير مخالفة"),1,0)</f>
        <v/>
      </c>
      <c r="X244" s="24">
        <f>IF($B244="","",IF($S244=WkStart,COUNTIF($S$5:$S244,WkStart),""))</f>
        <v/>
      </c>
    </row>
    <row r="245">
      <c r="A245" s="16">
        <f>IF($B245="","",ROW()-4)</f>
        <v/>
      </c>
      <c r="B245" s="17" t="n"/>
      <c r="C245" s="18" t="n"/>
      <c r="D245" s="18" t="n"/>
      <c r="E245" s="19" t="n"/>
      <c r="F245" s="19" t="n"/>
      <c r="G245" s="18" t="n"/>
      <c r="H245" s="18" t="n"/>
      <c r="I245" s="18" t="n"/>
      <c r="J245" s="20" t="n"/>
      <c r="K245" s="21" t="n"/>
      <c r="L245" s="21" t="n"/>
      <c r="M245" s="18" t="n"/>
      <c r="N245" s="22">
        <f>IF($B245="","",CHOOSE(WEEKDAY($B245),"الأحد","الاثنين","الثلاثاء","الأربعاء","الخميس","الجمعة","السبت"))</f>
        <v/>
      </c>
      <c r="O245" s="23">
        <f>IF(OR($K245="",$L245=""),"",HYPERLINK("https://maps.google.com/?q="&amp;$K245&amp;","&amp;$L245,"عرض الموقع"))</f>
        <v/>
      </c>
      <c r="P245" s="23">
        <f>IF(OR($B245="",N($J245)=0),"",HYPERLINK(PhotoDir&amp;"/"&amp;YEAR($B245)&amp;"-"&amp;TEXT(MONTH($B245),"00")&amp;"-"&amp;TEXT(DAY($B245),"00")&amp;"_"&amp;$D245,"فتح الصور ("&amp;$J245&amp;")"))</f>
        <v/>
      </c>
      <c r="Q245" s="24">
        <f>IF($B245="","",MONTH($B245))</f>
        <v/>
      </c>
      <c r="R245" s="24">
        <f>IF($B245="","",YEAR($B245))</f>
        <v/>
      </c>
      <c r="S245" s="25">
        <f>IF($B245="","",$B245-WEEKDAY($B245,3))</f>
        <v/>
      </c>
      <c r="T245" s="24">
        <f>IF($B245="",0,IF(COUNTIFS($B$5:$B245,$B245,$D$5:$D245,$D245)=1,1,0))</f>
        <v/>
      </c>
      <c r="U245" s="24">
        <f>IF($B245="",0,IF(COUNTIFS($B$5:$B245,$B245,$C$5:$C245,$C245)=1,1,0))</f>
        <v/>
      </c>
      <c r="V245" s="24">
        <f>IF(OR($B245="",$G245="",$G245="لا توجد مشاهدات"),0,1)</f>
        <v/>
      </c>
      <c r="W245" s="24">
        <f>IF(AND($B245&lt;&gt;"",$I245="تم تحرير مخالفة"),1,0)</f>
        <v/>
      </c>
      <c r="X245" s="24">
        <f>IF($B245="","",IF($S245=WkStart,COUNTIF($S$5:$S245,WkStart),""))</f>
        <v/>
      </c>
    </row>
    <row r="246">
      <c r="A246" s="16">
        <f>IF($B246="","",ROW()-4)</f>
        <v/>
      </c>
      <c r="B246" s="17" t="n"/>
      <c r="C246" s="18" t="n"/>
      <c r="D246" s="18" t="n"/>
      <c r="E246" s="19" t="n"/>
      <c r="F246" s="19" t="n"/>
      <c r="G246" s="18" t="n"/>
      <c r="H246" s="18" t="n"/>
      <c r="I246" s="18" t="n"/>
      <c r="J246" s="20" t="n"/>
      <c r="K246" s="21" t="n"/>
      <c r="L246" s="21" t="n"/>
      <c r="M246" s="18" t="n"/>
      <c r="N246" s="22">
        <f>IF($B246="","",CHOOSE(WEEKDAY($B246),"الأحد","الاثنين","الثلاثاء","الأربعاء","الخميس","الجمعة","السبت"))</f>
        <v/>
      </c>
      <c r="O246" s="23">
        <f>IF(OR($K246="",$L246=""),"",HYPERLINK("https://maps.google.com/?q="&amp;$K246&amp;","&amp;$L246,"عرض الموقع"))</f>
        <v/>
      </c>
      <c r="P246" s="23">
        <f>IF(OR($B246="",N($J246)=0),"",HYPERLINK(PhotoDir&amp;"/"&amp;YEAR($B246)&amp;"-"&amp;TEXT(MONTH($B246),"00")&amp;"-"&amp;TEXT(DAY($B246),"00")&amp;"_"&amp;$D246,"فتح الصور ("&amp;$J246&amp;")"))</f>
        <v/>
      </c>
      <c r="Q246" s="24">
        <f>IF($B246="","",MONTH($B246))</f>
        <v/>
      </c>
      <c r="R246" s="24">
        <f>IF($B246="","",YEAR($B246))</f>
        <v/>
      </c>
      <c r="S246" s="25">
        <f>IF($B246="","",$B246-WEEKDAY($B246,3))</f>
        <v/>
      </c>
      <c r="T246" s="24">
        <f>IF($B246="",0,IF(COUNTIFS($B$5:$B246,$B246,$D$5:$D246,$D246)=1,1,0))</f>
        <v/>
      </c>
      <c r="U246" s="24">
        <f>IF($B246="",0,IF(COUNTIFS($B$5:$B246,$B246,$C$5:$C246,$C246)=1,1,0))</f>
        <v/>
      </c>
      <c r="V246" s="24">
        <f>IF(OR($B246="",$G246="",$G246="لا توجد مشاهدات"),0,1)</f>
        <v/>
      </c>
      <c r="W246" s="24">
        <f>IF(AND($B246&lt;&gt;"",$I246="تم تحرير مخالفة"),1,0)</f>
        <v/>
      </c>
      <c r="X246" s="24">
        <f>IF($B246="","",IF($S246=WkStart,COUNTIF($S$5:$S246,WkStart),""))</f>
        <v/>
      </c>
    </row>
    <row r="247">
      <c r="A247" s="16">
        <f>IF($B247="","",ROW()-4)</f>
        <v/>
      </c>
      <c r="B247" s="17" t="n"/>
      <c r="C247" s="18" t="n"/>
      <c r="D247" s="18" t="n"/>
      <c r="E247" s="19" t="n"/>
      <c r="F247" s="19" t="n"/>
      <c r="G247" s="18" t="n"/>
      <c r="H247" s="18" t="n"/>
      <c r="I247" s="18" t="n"/>
      <c r="J247" s="20" t="n"/>
      <c r="K247" s="21" t="n"/>
      <c r="L247" s="21" t="n"/>
      <c r="M247" s="18" t="n"/>
      <c r="N247" s="22">
        <f>IF($B247="","",CHOOSE(WEEKDAY($B247),"الأحد","الاثنين","الثلاثاء","الأربعاء","الخميس","الجمعة","السبت"))</f>
        <v/>
      </c>
      <c r="O247" s="23">
        <f>IF(OR($K247="",$L247=""),"",HYPERLINK("https://maps.google.com/?q="&amp;$K247&amp;","&amp;$L247,"عرض الموقع"))</f>
        <v/>
      </c>
      <c r="P247" s="23">
        <f>IF(OR($B247="",N($J247)=0),"",HYPERLINK(PhotoDir&amp;"/"&amp;YEAR($B247)&amp;"-"&amp;TEXT(MONTH($B247),"00")&amp;"-"&amp;TEXT(DAY($B247),"00")&amp;"_"&amp;$D247,"فتح الصور ("&amp;$J247&amp;")"))</f>
        <v/>
      </c>
      <c r="Q247" s="24">
        <f>IF($B247="","",MONTH($B247))</f>
        <v/>
      </c>
      <c r="R247" s="24">
        <f>IF($B247="","",YEAR($B247))</f>
        <v/>
      </c>
      <c r="S247" s="25">
        <f>IF($B247="","",$B247-WEEKDAY($B247,3))</f>
        <v/>
      </c>
      <c r="T247" s="24">
        <f>IF($B247="",0,IF(COUNTIFS($B$5:$B247,$B247,$D$5:$D247,$D247)=1,1,0))</f>
        <v/>
      </c>
      <c r="U247" s="24">
        <f>IF($B247="",0,IF(COUNTIFS($B$5:$B247,$B247,$C$5:$C247,$C247)=1,1,0))</f>
        <v/>
      </c>
      <c r="V247" s="24">
        <f>IF(OR($B247="",$G247="",$G247="لا توجد مشاهدات"),0,1)</f>
        <v/>
      </c>
      <c r="W247" s="24">
        <f>IF(AND($B247&lt;&gt;"",$I247="تم تحرير مخالفة"),1,0)</f>
        <v/>
      </c>
      <c r="X247" s="24">
        <f>IF($B247="","",IF($S247=WkStart,COUNTIF($S$5:$S247,WkStart),""))</f>
        <v/>
      </c>
    </row>
    <row r="248">
      <c r="A248" s="16">
        <f>IF($B248="","",ROW()-4)</f>
        <v/>
      </c>
      <c r="B248" s="17" t="n"/>
      <c r="C248" s="18" t="n"/>
      <c r="D248" s="18" t="n"/>
      <c r="E248" s="19" t="n"/>
      <c r="F248" s="19" t="n"/>
      <c r="G248" s="18" t="n"/>
      <c r="H248" s="18" t="n"/>
      <c r="I248" s="18" t="n"/>
      <c r="J248" s="20" t="n"/>
      <c r="K248" s="21" t="n"/>
      <c r="L248" s="21" t="n"/>
      <c r="M248" s="18" t="n"/>
      <c r="N248" s="22">
        <f>IF($B248="","",CHOOSE(WEEKDAY($B248),"الأحد","الاثنين","الثلاثاء","الأربعاء","الخميس","الجمعة","السبت"))</f>
        <v/>
      </c>
      <c r="O248" s="23">
        <f>IF(OR($K248="",$L248=""),"",HYPERLINK("https://maps.google.com/?q="&amp;$K248&amp;","&amp;$L248,"عرض الموقع"))</f>
        <v/>
      </c>
      <c r="P248" s="23">
        <f>IF(OR($B248="",N($J248)=0),"",HYPERLINK(PhotoDir&amp;"/"&amp;YEAR($B248)&amp;"-"&amp;TEXT(MONTH($B248),"00")&amp;"-"&amp;TEXT(DAY($B248),"00")&amp;"_"&amp;$D248,"فتح الصور ("&amp;$J248&amp;")"))</f>
        <v/>
      </c>
      <c r="Q248" s="24">
        <f>IF($B248="","",MONTH($B248))</f>
        <v/>
      </c>
      <c r="R248" s="24">
        <f>IF($B248="","",YEAR($B248))</f>
        <v/>
      </c>
      <c r="S248" s="25">
        <f>IF($B248="","",$B248-WEEKDAY($B248,3))</f>
        <v/>
      </c>
      <c r="T248" s="24">
        <f>IF($B248="",0,IF(COUNTIFS($B$5:$B248,$B248,$D$5:$D248,$D248)=1,1,0))</f>
        <v/>
      </c>
      <c r="U248" s="24">
        <f>IF($B248="",0,IF(COUNTIFS($B$5:$B248,$B248,$C$5:$C248,$C248)=1,1,0))</f>
        <v/>
      </c>
      <c r="V248" s="24">
        <f>IF(OR($B248="",$G248="",$G248="لا توجد مشاهدات"),0,1)</f>
        <v/>
      </c>
      <c r="W248" s="24">
        <f>IF(AND($B248&lt;&gt;"",$I248="تم تحرير مخالفة"),1,0)</f>
        <v/>
      </c>
      <c r="X248" s="24">
        <f>IF($B248="","",IF($S248=WkStart,COUNTIF($S$5:$S248,WkStart),""))</f>
        <v/>
      </c>
    </row>
    <row r="249">
      <c r="A249" s="16">
        <f>IF($B249="","",ROW()-4)</f>
        <v/>
      </c>
      <c r="B249" s="17" t="n"/>
      <c r="C249" s="18" t="n"/>
      <c r="D249" s="18" t="n"/>
      <c r="E249" s="19" t="n"/>
      <c r="F249" s="19" t="n"/>
      <c r="G249" s="18" t="n"/>
      <c r="H249" s="18" t="n"/>
      <c r="I249" s="18" t="n"/>
      <c r="J249" s="20" t="n"/>
      <c r="K249" s="21" t="n"/>
      <c r="L249" s="21" t="n"/>
      <c r="M249" s="18" t="n"/>
      <c r="N249" s="22">
        <f>IF($B249="","",CHOOSE(WEEKDAY($B249),"الأحد","الاثنين","الثلاثاء","الأربعاء","الخميس","الجمعة","السبت"))</f>
        <v/>
      </c>
      <c r="O249" s="23">
        <f>IF(OR($K249="",$L249=""),"",HYPERLINK("https://maps.google.com/?q="&amp;$K249&amp;","&amp;$L249,"عرض الموقع"))</f>
        <v/>
      </c>
      <c r="P249" s="23">
        <f>IF(OR($B249="",N($J249)=0),"",HYPERLINK(PhotoDir&amp;"/"&amp;YEAR($B249)&amp;"-"&amp;TEXT(MONTH($B249),"00")&amp;"-"&amp;TEXT(DAY($B249),"00")&amp;"_"&amp;$D249,"فتح الصور ("&amp;$J249&amp;")"))</f>
        <v/>
      </c>
      <c r="Q249" s="24">
        <f>IF($B249="","",MONTH($B249))</f>
        <v/>
      </c>
      <c r="R249" s="24">
        <f>IF($B249="","",YEAR($B249))</f>
        <v/>
      </c>
      <c r="S249" s="25">
        <f>IF($B249="","",$B249-WEEKDAY($B249,3))</f>
        <v/>
      </c>
      <c r="T249" s="24">
        <f>IF($B249="",0,IF(COUNTIFS($B$5:$B249,$B249,$D$5:$D249,$D249)=1,1,0))</f>
        <v/>
      </c>
      <c r="U249" s="24">
        <f>IF($B249="",0,IF(COUNTIFS($B$5:$B249,$B249,$C$5:$C249,$C249)=1,1,0))</f>
        <v/>
      </c>
      <c r="V249" s="24">
        <f>IF(OR($B249="",$G249="",$G249="لا توجد مشاهدات"),0,1)</f>
        <v/>
      </c>
      <c r="W249" s="24">
        <f>IF(AND($B249&lt;&gt;"",$I249="تم تحرير مخالفة"),1,0)</f>
        <v/>
      </c>
      <c r="X249" s="24">
        <f>IF($B249="","",IF($S249=WkStart,COUNTIF($S$5:$S249,WkStart),""))</f>
        <v/>
      </c>
    </row>
    <row r="250">
      <c r="A250" s="16">
        <f>IF($B250="","",ROW()-4)</f>
        <v/>
      </c>
      <c r="B250" s="17" t="n"/>
      <c r="C250" s="18" t="n"/>
      <c r="D250" s="18" t="n"/>
      <c r="E250" s="19" t="n"/>
      <c r="F250" s="19" t="n"/>
      <c r="G250" s="18" t="n"/>
      <c r="H250" s="18" t="n"/>
      <c r="I250" s="18" t="n"/>
      <c r="J250" s="20" t="n"/>
      <c r="K250" s="21" t="n"/>
      <c r="L250" s="21" t="n"/>
      <c r="M250" s="18" t="n"/>
      <c r="N250" s="22">
        <f>IF($B250="","",CHOOSE(WEEKDAY($B250),"الأحد","الاثنين","الثلاثاء","الأربعاء","الخميس","الجمعة","السبت"))</f>
        <v/>
      </c>
      <c r="O250" s="23">
        <f>IF(OR($K250="",$L250=""),"",HYPERLINK("https://maps.google.com/?q="&amp;$K250&amp;","&amp;$L250,"عرض الموقع"))</f>
        <v/>
      </c>
      <c r="P250" s="23">
        <f>IF(OR($B250="",N($J250)=0),"",HYPERLINK(PhotoDir&amp;"/"&amp;YEAR($B250)&amp;"-"&amp;TEXT(MONTH($B250),"00")&amp;"-"&amp;TEXT(DAY($B250),"00")&amp;"_"&amp;$D250,"فتح الصور ("&amp;$J250&amp;")"))</f>
        <v/>
      </c>
      <c r="Q250" s="24">
        <f>IF($B250="","",MONTH($B250))</f>
        <v/>
      </c>
      <c r="R250" s="24">
        <f>IF($B250="","",YEAR($B250))</f>
        <v/>
      </c>
      <c r="S250" s="25">
        <f>IF($B250="","",$B250-WEEKDAY($B250,3))</f>
        <v/>
      </c>
      <c r="T250" s="24">
        <f>IF($B250="",0,IF(COUNTIFS($B$5:$B250,$B250,$D$5:$D250,$D250)=1,1,0))</f>
        <v/>
      </c>
      <c r="U250" s="24">
        <f>IF($B250="",0,IF(COUNTIFS($B$5:$B250,$B250,$C$5:$C250,$C250)=1,1,0))</f>
        <v/>
      </c>
      <c r="V250" s="24">
        <f>IF(OR($B250="",$G250="",$G250="لا توجد مشاهدات"),0,1)</f>
        <v/>
      </c>
      <c r="W250" s="24">
        <f>IF(AND($B250&lt;&gt;"",$I250="تم تحرير مخالفة"),1,0)</f>
        <v/>
      </c>
      <c r="X250" s="24">
        <f>IF($B250="","",IF($S250=WkStart,COUNTIF($S$5:$S250,WkStart),""))</f>
        <v/>
      </c>
    </row>
    <row r="251">
      <c r="A251" s="16">
        <f>IF($B251="","",ROW()-4)</f>
        <v/>
      </c>
      <c r="B251" s="17" t="n"/>
      <c r="C251" s="18" t="n"/>
      <c r="D251" s="18" t="n"/>
      <c r="E251" s="19" t="n"/>
      <c r="F251" s="19" t="n"/>
      <c r="G251" s="18" t="n"/>
      <c r="H251" s="18" t="n"/>
      <c r="I251" s="18" t="n"/>
      <c r="J251" s="20" t="n"/>
      <c r="K251" s="21" t="n"/>
      <c r="L251" s="21" t="n"/>
      <c r="M251" s="18" t="n"/>
      <c r="N251" s="22">
        <f>IF($B251="","",CHOOSE(WEEKDAY($B251),"الأحد","الاثنين","الثلاثاء","الأربعاء","الخميس","الجمعة","السبت"))</f>
        <v/>
      </c>
      <c r="O251" s="23">
        <f>IF(OR($K251="",$L251=""),"",HYPERLINK("https://maps.google.com/?q="&amp;$K251&amp;","&amp;$L251,"عرض الموقع"))</f>
        <v/>
      </c>
      <c r="P251" s="23">
        <f>IF(OR($B251="",N($J251)=0),"",HYPERLINK(PhotoDir&amp;"/"&amp;YEAR($B251)&amp;"-"&amp;TEXT(MONTH($B251),"00")&amp;"-"&amp;TEXT(DAY($B251),"00")&amp;"_"&amp;$D251,"فتح الصور ("&amp;$J251&amp;")"))</f>
        <v/>
      </c>
      <c r="Q251" s="24">
        <f>IF($B251="","",MONTH($B251))</f>
        <v/>
      </c>
      <c r="R251" s="24">
        <f>IF($B251="","",YEAR($B251))</f>
        <v/>
      </c>
      <c r="S251" s="25">
        <f>IF($B251="","",$B251-WEEKDAY($B251,3))</f>
        <v/>
      </c>
      <c r="T251" s="24">
        <f>IF($B251="",0,IF(COUNTIFS($B$5:$B251,$B251,$D$5:$D251,$D251)=1,1,0))</f>
        <v/>
      </c>
      <c r="U251" s="24">
        <f>IF($B251="",0,IF(COUNTIFS($B$5:$B251,$B251,$C$5:$C251,$C251)=1,1,0))</f>
        <v/>
      </c>
      <c r="V251" s="24">
        <f>IF(OR($B251="",$G251="",$G251="لا توجد مشاهدات"),0,1)</f>
        <v/>
      </c>
      <c r="W251" s="24">
        <f>IF(AND($B251&lt;&gt;"",$I251="تم تحرير مخالفة"),1,0)</f>
        <v/>
      </c>
      <c r="X251" s="24">
        <f>IF($B251="","",IF($S251=WkStart,COUNTIF($S$5:$S251,WkStart),""))</f>
        <v/>
      </c>
    </row>
    <row r="252">
      <c r="A252" s="16">
        <f>IF($B252="","",ROW()-4)</f>
        <v/>
      </c>
      <c r="B252" s="17" t="n"/>
      <c r="C252" s="18" t="n"/>
      <c r="D252" s="18" t="n"/>
      <c r="E252" s="19" t="n"/>
      <c r="F252" s="19" t="n"/>
      <c r="G252" s="18" t="n"/>
      <c r="H252" s="18" t="n"/>
      <c r="I252" s="18" t="n"/>
      <c r="J252" s="20" t="n"/>
      <c r="K252" s="21" t="n"/>
      <c r="L252" s="21" t="n"/>
      <c r="M252" s="18" t="n"/>
      <c r="N252" s="22">
        <f>IF($B252="","",CHOOSE(WEEKDAY($B252),"الأحد","الاثنين","الثلاثاء","الأربعاء","الخميس","الجمعة","السبت"))</f>
        <v/>
      </c>
      <c r="O252" s="23">
        <f>IF(OR($K252="",$L252=""),"",HYPERLINK("https://maps.google.com/?q="&amp;$K252&amp;","&amp;$L252,"عرض الموقع"))</f>
        <v/>
      </c>
      <c r="P252" s="23">
        <f>IF(OR($B252="",N($J252)=0),"",HYPERLINK(PhotoDir&amp;"/"&amp;YEAR($B252)&amp;"-"&amp;TEXT(MONTH($B252),"00")&amp;"-"&amp;TEXT(DAY($B252),"00")&amp;"_"&amp;$D252,"فتح الصور ("&amp;$J252&amp;")"))</f>
        <v/>
      </c>
      <c r="Q252" s="24">
        <f>IF($B252="","",MONTH($B252))</f>
        <v/>
      </c>
      <c r="R252" s="24">
        <f>IF($B252="","",YEAR($B252))</f>
        <v/>
      </c>
      <c r="S252" s="25">
        <f>IF($B252="","",$B252-WEEKDAY($B252,3))</f>
        <v/>
      </c>
      <c r="T252" s="24">
        <f>IF($B252="",0,IF(COUNTIFS($B$5:$B252,$B252,$D$5:$D252,$D252)=1,1,0))</f>
        <v/>
      </c>
      <c r="U252" s="24">
        <f>IF($B252="",0,IF(COUNTIFS($B$5:$B252,$B252,$C$5:$C252,$C252)=1,1,0))</f>
        <v/>
      </c>
      <c r="V252" s="24">
        <f>IF(OR($B252="",$G252="",$G252="لا توجد مشاهدات"),0,1)</f>
        <v/>
      </c>
      <c r="W252" s="24">
        <f>IF(AND($B252&lt;&gt;"",$I252="تم تحرير مخالفة"),1,0)</f>
        <v/>
      </c>
      <c r="X252" s="24">
        <f>IF($B252="","",IF($S252=WkStart,COUNTIF($S$5:$S252,WkStart),""))</f>
        <v/>
      </c>
    </row>
    <row r="253">
      <c r="A253" s="16">
        <f>IF($B253="","",ROW()-4)</f>
        <v/>
      </c>
      <c r="B253" s="17" t="n"/>
      <c r="C253" s="18" t="n"/>
      <c r="D253" s="18" t="n"/>
      <c r="E253" s="19" t="n"/>
      <c r="F253" s="19" t="n"/>
      <c r="G253" s="18" t="n"/>
      <c r="H253" s="18" t="n"/>
      <c r="I253" s="18" t="n"/>
      <c r="J253" s="20" t="n"/>
      <c r="K253" s="21" t="n"/>
      <c r="L253" s="21" t="n"/>
      <c r="M253" s="18" t="n"/>
      <c r="N253" s="22">
        <f>IF($B253="","",CHOOSE(WEEKDAY($B253),"الأحد","الاثنين","الثلاثاء","الأربعاء","الخميس","الجمعة","السبت"))</f>
        <v/>
      </c>
      <c r="O253" s="23">
        <f>IF(OR($K253="",$L253=""),"",HYPERLINK("https://maps.google.com/?q="&amp;$K253&amp;","&amp;$L253,"عرض الموقع"))</f>
        <v/>
      </c>
      <c r="P253" s="23">
        <f>IF(OR($B253="",N($J253)=0),"",HYPERLINK(PhotoDir&amp;"/"&amp;YEAR($B253)&amp;"-"&amp;TEXT(MONTH($B253),"00")&amp;"-"&amp;TEXT(DAY($B253),"00")&amp;"_"&amp;$D253,"فتح الصور ("&amp;$J253&amp;")"))</f>
        <v/>
      </c>
      <c r="Q253" s="24">
        <f>IF($B253="","",MONTH($B253))</f>
        <v/>
      </c>
      <c r="R253" s="24">
        <f>IF($B253="","",YEAR($B253))</f>
        <v/>
      </c>
      <c r="S253" s="25">
        <f>IF($B253="","",$B253-WEEKDAY($B253,3))</f>
        <v/>
      </c>
      <c r="T253" s="24">
        <f>IF($B253="",0,IF(COUNTIFS($B$5:$B253,$B253,$D$5:$D253,$D253)=1,1,0))</f>
        <v/>
      </c>
      <c r="U253" s="24">
        <f>IF($B253="",0,IF(COUNTIFS($B$5:$B253,$B253,$C$5:$C253,$C253)=1,1,0))</f>
        <v/>
      </c>
      <c r="V253" s="24">
        <f>IF(OR($B253="",$G253="",$G253="لا توجد مشاهدات"),0,1)</f>
        <v/>
      </c>
      <c r="W253" s="24">
        <f>IF(AND($B253&lt;&gt;"",$I253="تم تحرير مخالفة"),1,0)</f>
        <v/>
      </c>
      <c r="X253" s="24">
        <f>IF($B253="","",IF($S253=WkStart,COUNTIF($S$5:$S253,WkStart),""))</f>
        <v/>
      </c>
    </row>
    <row r="254">
      <c r="A254" s="16">
        <f>IF($B254="","",ROW()-4)</f>
        <v/>
      </c>
      <c r="B254" s="17" t="n"/>
      <c r="C254" s="18" t="n"/>
      <c r="D254" s="18" t="n"/>
      <c r="E254" s="19" t="n"/>
      <c r="F254" s="19" t="n"/>
      <c r="G254" s="18" t="n"/>
      <c r="H254" s="18" t="n"/>
      <c r="I254" s="18" t="n"/>
      <c r="J254" s="20" t="n"/>
      <c r="K254" s="21" t="n"/>
      <c r="L254" s="21" t="n"/>
      <c r="M254" s="18" t="n"/>
      <c r="N254" s="22">
        <f>IF($B254="","",CHOOSE(WEEKDAY($B254),"الأحد","الاثنين","الثلاثاء","الأربعاء","الخميس","الجمعة","السبت"))</f>
        <v/>
      </c>
      <c r="O254" s="23">
        <f>IF(OR($K254="",$L254=""),"",HYPERLINK("https://maps.google.com/?q="&amp;$K254&amp;","&amp;$L254,"عرض الموقع"))</f>
        <v/>
      </c>
      <c r="P254" s="23">
        <f>IF(OR($B254="",N($J254)=0),"",HYPERLINK(PhotoDir&amp;"/"&amp;YEAR($B254)&amp;"-"&amp;TEXT(MONTH($B254),"00")&amp;"-"&amp;TEXT(DAY($B254),"00")&amp;"_"&amp;$D254,"فتح الصور ("&amp;$J254&amp;")"))</f>
        <v/>
      </c>
      <c r="Q254" s="24">
        <f>IF($B254="","",MONTH($B254))</f>
        <v/>
      </c>
      <c r="R254" s="24">
        <f>IF($B254="","",YEAR($B254))</f>
        <v/>
      </c>
      <c r="S254" s="25">
        <f>IF($B254="","",$B254-WEEKDAY($B254,3))</f>
        <v/>
      </c>
      <c r="T254" s="24">
        <f>IF($B254="",0,IF(COUNTIFS($B$5:$B254,$B254,$D$5:$D254,$D254)=1,1,0))</f>
        <v/>
      </c>
      <c r="U254" s="24">
        <f>IF($B254="",0,IF(COUNTIFS($B$5:$B254,$B254,$C$5:$C254,$C254)=1,1,0))</f>
        <v/>
      </c>
      <c r="V254" s="24">
        <f>IF(OR($B254="",$G254="",$G254="لا توجد مشاهدات"),0,1)</f>
        <v/>
      </c>
      <c r="W254" s="24">
        <f>IF(AND($B254&lt;&gt;"",$I254="تم تحرير مخالفة"),1,0)</f>
        <v/>
      </c>
      <c r="X254" s="24">
        <f>IF($B254="","",IF($S254=WkStart,COUNTIF($S$5:$S254,WkStart),""))</f>
        <v/>
      </c>
    </row>
    <row r="255">
      <c r="A255" s="16">
        <f>IF($B255="","",ROW()-4)</f>
        <v/>
      </c>
      <c r="B255" s="17" t="n"/>
      <c r="C255" s="18" t="n"/>
      <c r="D255" s="18" t="n"/>
      <c r="E255" s="19" t="n"/>
      <c r="F255" s="19" t="n"/>
      <c r="G255" s="18" t="n"/>
      <c r="H255" s="18" t="n"/>
      <c r="I255" s="18" t="n"/>
      <c r="J255" s="20" t="n"/>
      <c r="K255" s="21" t="n"/>
      <c r="L255" s="21" t="n"/>
      <c r="M255" s="18" t="n"/>
      <c r="N255" s="22">
        <f>IF($B255="","",CHOOSE(WEEKDAY($B255),"الأحد","الاثنين","الثلاثاء","الأربعاء","الخميس","الجمعة","السبت"))</f>
        <v/>
      </c>
      <c r="O255" s="23">
        <f>IF(OR($K255="",$L255=""),"",HYPERLINK("https://maps.google.com/?q="&amp;$K255&amp;","&amp;$L255,"عرض الموقع"))</f>
        <v/>
      </c>
      <c r="P255" s="23">
        <f>IF(OR($B255="",N($J255)=0),"",HYPERLINK(PhotoDir&amp;"/"&amp;YEAR($B255)&amp;"-"&amp;TEXT(MONTH($B255),"00")&amp;"-"&amp;TEXT(DAY($B255),"00")&amp;"_"&amp;$D255,"فتح الصور ("&amp;$J255&amp;")"))</f>
        <v/>
      </c>
      <c r="Q255" s="24">
        <f>IF($B255="","",MONTH($B255))</f>
        <v/>
      </c>
      <c r="R255" s="24">
        <f>IF($B255="","",YEAR($B255))</f>
        <v/>
      </c>
      <c r="S255" s="25">
        <f>IF($B255="","",$B255-WEEKDAY($B255,3))</f>
        <v/>
      </c>
      <c r="T255" s="24">
        <f>IF($B255="",0,IF(COUNTIFS($B$5:$B255,$B255,$D$5:$D255,$D255)=1,1,0))</f>
        <v/>
      </c>
      <c r="U255" s="24">
        <f>IF($B255="",0,IF(COUNTIFS($B$5:$B255,$B255,$C$5:$C255,$C255)=1,1,0))</f>
        <v/>
      </c>
      <c r="V255" s="24">
        <f>IF(OR($B255="",$G255="",$G255="لا توجد مشاهدات"),0,1)</f>
        <v/>
      </c>
      <c r="W255" s="24">
        <f>IF(AND($B255&lt;&gt;"",$I255="تم تحرير مخالفة"),1,0)</f>
        <v/>
      </c>
      <c r="X255" s="24">
        <f>IF($B255="","",IF($S255=WkStart,COUNTIF($S$5:$S255,WkStart),""))</f>
        <v/>
      </c>
    </row>
    <row r="256">
      <c r="A256" s="16">
        <f>IF($B256="","",ROW()-4)</f>
        <v/>
      </c>
      <c r="B256" s="17" t="n"/>
      <c r="C256" s="18" t="n"/>
      <c r="D256" s="18" t="n"/>
      <c r="E256" s="19" t="n"/>
      <c r="F256" s="19" t="n"/>
      <c r="G256" s="18" t="n"/>
      <c r="H256" s="18" t="n"/>
      <c r="I256" s="18" t="n"/>
      <c r="J256" s="20" t="n"/>
      <c r="K256" s="21" t="n"/>
      <c r="L256" s="21" t="n"/>
      <c r="M256" s="18" t="n"/>
      <c r="N256" s="22">
        <f>IF($B256="","",CHOOSE(WEEKDAY($B256),"الأحد","الاثنين","الثلاثاء","الأربعاء","الخميس","الجمعة","السبت"))</f>
        <v/>
      </c>
      <c r="O256" s="23">
        <f>IF(OR($K256="",$L256=""),"",HYPERLINK("https://maps.google.com/?q="&amp;$K256&amp;","&amp;$L256,"عرض الموقع"))</f>
        <v/>
      </c>
      <c r="P256" s="23">
        <f>IF(OR($B256="",N($J256)=0),"",HYPERLINK(PhotoDir&amp;"/"&amp;YEAR($B256)&amp;"-"&amp;TEXT(MONTH($B256),"00")&amp;"-"&amp;TEXT(DAY($B256),"00")&amp;"_"&amp;$D256,"فتح الصور ("&amp;$J256&amp;")"))</f>
        <v/>
      </c>
      <c r="Q256" s="24">
        <f>IF($B256="","",MONTH($B256))</f>
        <v/>
      </c>
      <c r="R256" s="24">
        <f>IF($B256="","",YEAR($B256))</f>
        <v/>
      </c>
      <c r="S256" s="25">
        <f>IF($B256="","",$B256-WEEKDAY($B256,3))</f>
        <v/>
      </c>
      <c r="T256" s="24">
        <f>IF($B256="",0,IF(COUNTIFS($B$5:$B256,$B256,$D$5:$D256,$D256)=1,1,0))</f>
        <v/>
      </c>
      <c r="U256" s="24">
        <f>IF($B256="",0,IF(COUNTIFS($B$5:$B256,$B256,$C$5:$C256,$C256)=1,1,0))</f>
        <v/>
      </c>
      <c r="V256" s="24">
        <f>IF(OR($B256="",$G256="",$G256="لا توجد مشاهدات"),0,1)</f>
        <v/>
      </c>
      <c r="W256" s="24">
        <f>IF(AND($B256&lt;&gt;"",$I256="تم تحرير مخالفة"),1,0)</f>
        <v/>
      </c>
      <c r="X256" s="24">
        <f>IF($B256="","",IF($S256=WkStart,COUNTIF($S$5:$S256,WkStart),""))</f>
        <v/>
      </c>
    </row>
    <row r="257">
      <c r="A257" s="16">
        <f>IF($B257="","",ROW()-4)</f>
        <v/>
      </c>
      <c r="B257" s="17" t="n"/>
      <c r="C257" s="18" t="n"/>
      <c r="D257" s="18" t="n"/>
      <c r="E257" s="19" t="n"/>
      <c r="F257" s="19" t="n"/>
      <c r="G257" s="18" t="n"/>
      <c r="H257" s="18" t="n"/>
      <c r="I257" s="18" t="n"/>
      <c r="J257" s="20" t="n"/>
      <c r="K257" s="21" t="n"/>
      <c r="L257" s="21" t="n"/>
      <c r="M257" s="18" t="n"/>
      <c r="N257" s="22">
        <f>IF($B257="","",CHOOSE(WEEKDAY($B257),"الأحد","الاثنين","الثلاثاء","الأربعاء","الخميس","الجمعة","السبت"))</f>
        <v/>
      </c>
      <c r="O257" s="23">
        <f>IF(OR($K257="",$L257=""),"",HYPERLINK("https://maps.google.com/?q="&amp;$K257&amp;","&amp;$L257,"عرض الموقع"))</f>
        <v/>
      </c>
      <c r="P257" s="23">
        <f>IF(OR($B257="",N($J257)=0),"",HYPERLINK(PhotoDir&amp;"/"&amp;YEAR($B257)&amp;"-"&amp;TEXT(MONTH($B257),"00")&amp;"-"&amp;TEXT(DAY($B257),"00")&amp;"_"&amp;$D257,"فتح الصور ("&amp;$J257&amp;")"))</f>
        <v/>
      </c>
      <c r="Q257" s="24">
        <f>IF($B257="","",MONTH($B257))</f>
        <v/>
      </c>
      <c r="R257" s="24">
        <f>IF($B257="","",YEAR($B257))</f>
        <v/>
      </c>
      <c r="S257" s="25">
        <f>IF($B257="","",$B257-WEEKDAY($B257,3))</f>
        <v/>
      </c>
      <c r="T257" s="24">
        <f>IF($B257="",0,IF(COUNTIFS($B$5:$B257,$B257,$D$5:$D257,$D257)=1,1,0))</f>
        <v/>
      </c>
      <c r="U257" s="24">
        <f>IF($B257="",0,IF(COUNTIFS($B$5:$B257,$B257,$C$5:$C257,$C257)=1,1,0))</f>
        <v/>
      </c>
      <c r="V257" s="24">
        <f>IF(OR($B257="",$G257="",$G257="لا توجد مشاهدات"),0,1)</f>
        <v/>
      </c>
      <c r="W257" s="24">
        <f>IF(AND($B257&lt;&gt;"",$I257="تم تحرير مخالفة"),1,0)</f>
        <v/>
      </c>
      <c r="X257" s="24">
        <f>IF($B257="","",IF($S257=WkStart,COUNTIF($S$5:$S257,WkStart),""))</f>
        <v/>
      </c>
    </row>
    <row r="258">
      <c r="A258" s="16">
        <f>IF($B258="","",ROW()-4)</f>
        <v/>
      </c>
      <c r="B258" s="17" t="n"/>
      <c r="C258" s="18" t="n"/>
      <c r="D258" s="18" t="n"/>
      <c r="E258" s="19" t="n"/>
      <c r="F258" s="19" t="n"/>
      <c r="G258" s="18" t="n"/>
      <c r="H258" s="18" t="n"/>
      <c r="I258" s="18" t="n"/>
      <c r="J258" s="20" t="n"/>
      <c r="K258" s="21" t="n"/>
      <c r="L258" s="21" t="n"/>
      <c r="M258" s="18" t="n"/>
      <c r="N258" s="22">
        <f>IF($B258="","",CHOOSE(WEEKDAY($B258),"الأحد","الاثنين","الثلاثاء","الأربعاء","الخميس","الجمعة","السبت"))</f>
        <v/>
      </c>
      <c r="O258" s="23">
        <f>IF(OR($K258="",$L258=""),"",HYPERLINK("https://maps.google.com/?q="&amp;$K258&amp;","&amp;$L258,"عرض الموقع"))</f>
        <v/>
      </c>
      <c r="P258" s="23">
        <f>IF(OR($B258="",N($J258)=0),"",HYPERLINK(PhotoDir&amp;"/"&amp;YEAR($B258)&amp;"-"&amp;TEXT(MONTH($B258),"00")&amp;"-"&amp;TEXT(DAY($B258),"00")&amp;"_"&amp;$D258,"فتح الصور ("&amp;$J258&amp;")"))</f>
        <v/>
      </c>
      <c r="Q258" s="24">
        <f>IF($B258="","",MONTH($B258))</f>
        <v/>
      </c>
      <c r="R258" s="24">
        <f>IF($B258="","",YEAR($B258))</f>
        <v/>
      </c>
      <c r="S258" s="25">
        <f>IF($B258="","",$B258-WEEKDAY($B258,3))</f>
        <v/>
      </c>
      <c r="T258" s="24">
        <f>IF($B258="",0,IF(COUNTIFS($B$5:$B258,$B258,$D$5:$D258,$D258)=1,1,0))</f>
        <v/>
      </c>
      <c r="U258" s="24">
        <f>IF($B258="",0,IF(COUNTIFS($B$5:$B258,$B258,$C$5:$C258,$C258)=1,1,0))</f>
        <v/>
      </c>
      <c r="V258" s="24">
        <f>IF(OR($B258="",$G258="",$G258="لا توجد مشاهدات"),0,1)</f>
        <v/>
      </c>
      <c r="W258" s="24">
        <f>IF(AND($B258&lt;&gt;"",$I258="تم تحرير مخالفة"),1,0)</f>
        <v/>
      </c>
      <c r="X258" s="24">
        <f>IF($B258="","",IF($S258=WkStart,COUNTIF($S$5:$S258,WkStart),""))</f>
        <v/>
      </c>
    </row>
    <row r="259">
      <c r="A259" s="16">
        <f>IF($B259="","",ROW()-4)</f>
        <v/>
      </c>
      <c r="B259" s="17" t="n"/>
      <c r="C259" s="18" t="n"/>
      <c r="D259" s="18" t="n"/>
      <c r="E259" s="19" t="n"/>
      <c r="F259" s="19" t="n"/>
      <c r="G259" s="18" t="n"/>
      <c r="H259" s="18" t="n"/>
      <c r="I259" s="18" t="n"/>
      <c r="J259" s="20" t="n"/>
      <c r="K259" s="21" t="n"/>
      <c r="L259" s="21" t="n"/>
      <c r="M259" s="18" t="n"/>
      <c r="N259" s="22">
        <f>IF($B259="","",CHOOSE(WEEKDAY($B259),"الأحد","الاثنين","الثلاثاء","الأربعاء","الخميس","الجمعة","السبت"))</f>
        <v/>
      </c>
      <c r="O259" s="23">
        <f>IF(OR($K259="",$L259=""),"",HYPERLINK("https://maps.google.com/?q="&amp;$K259&amp;","&amp;$L259,"عرض الموقع"))</f>
        <v/>
      </c>
      <c r="P259" s="23">
        <f>IF(OR($B259="",N($J259)=0),"",HYPERLINK(PhotoDir&amp;"/"&amp;YEAR($B259)&amp;"-"&amp;TEXT(MONTH($B259),"00")&amp;"-"&amp;TEXT(DAY($B259),"00")&amp;"_"&amp;$D259,"فتح الصور ("&amp;$J259&amp;")"))</f>
        <v/>
      </c>
      <c r="Q259" s="24">
        <f>IF($B259="","",MONTH($B259))</f>
        <v/>
      </c>
      <c r="R259" s="24">
        <f>IF($B259="","",YEAR($B259))</f>
        <v/>
      </c>
      <c r="S259" s="25">
        <f>IF($B259="","",$B259-WEEKDAY($B259,3))</f>
        <v/>
      </c>
      <c r="T259" s="24">
        <f>IF($B259="",0,IF(COUNTIFS($B$5:$B259,$B259,$D$5:$D259,$D259)=1,1,0))</f>
        <v/>
      </c>
      <c r="U259" s="24">
        <f>IF($B259="",0,IF(COUNTIFS($B$5:$B259,$B259,$C$5:$C259,$C259)=1,1,0))</f>
        <v/>
      </c>
      <c r="V259" s="24">
        <f>IF(OR($B259="",$G259="",$G259="لا توجد مشاهدات"),0,1)</f>
        <v/>
      </c>
      <c r="W259" s="24">
        <f>IF(AND($B259&lt;&gt;"",$I259="تم تحرير مخالفة"),1,0)</f>
        <v/>
      </c>
      <c r="X259" s="24">
        <f>IF($B259="","",IF($S259=WkStart,COUNTIF($S$5:$S259,WkStart),""))</f>
        <v/>
      </c>
    </row>
    <row r="260">
      <c r="A260" s="16">
        <f>IF($B260="","",ROW()-4)</f>
        <v/>
      </c>
      <c r="B260" s="17" t="n"/>
      <c r="C260" s="18" t="n"/>
      <c r="D260" s="18" t="n"/>
      <c r="E260" s="19" t="n"/>
      <c r="F260" s="19" t="n"/>
      <c r="G260" s="18" t="n"/>
      <c r="H260" s="18" t="n"/>
      <c r="I260" s="18" t="n"/>
      <c r="J260" s="20" t="n"/>
      <c r="K260" s="21" t="n"/>
      <c r="L260" s="21" t="n"/>
      <c r="M260" s="18" t="n"/>
      <c r="N260" s="22">
        <f>IF($B260="","",CHOOSE(WEEKDAY($B260),"الأحد","الاثنين","الثلاثاء","الأربعاء","الخميس","الجمعة","السبت"))</f>
        <v/>
      </c>
      <c r="O260" s="23">
        <f>IF(OR($K260="",$L260=""),"",HYPERLINK("https://maps.google.com/?q="&amp;$K260&amp;","&amp;$L260,"عرض الموقع"))</f>
        <v/>
      </c>
      <c r="P260" s="23">
        <f>IF(OR($B260="",N($J260)=0),"",HYPERLINK(PhotoDir&amp;"/"&amp;YEAR($B260)&amp;"-"&amp;TEXT(MONTH($B260),"00")&amp;"-"&amp;TEXT(DAY($B260),"00")&amp;"_"&amp;$D260,"فتح الصور ("&amp;$J260&amp;")"))</f>
        <v/>
      </c>
      <c r="Q260" s="24">
        <f>IF($B260="","",MONTH($B260))</f>
        <v/>
      </c>
      <c r="R260" s="24">
        <f>IF($B260="","",YEAR($B260))</f>
        <v/>
      </c>
      <c r="S260" s="25">
        <f>IF($B260="","",$B260-WEEKDAY($B260,3))</f>
        <v/>
      </c>
      <c r="T260" s="24">
        <f>IF($B260="",0,IF(COUNTIFS($B$5:$B260,$B260,$D$5:$D260,$D260)=1,1,0))</f>
        <v/>
      </c>
      <c r="U260" s="24">
        <f>IF($B260="",0,IF(COUNTIFS($B$5:$B260,$B260,$C$5:$C260,$C260)=1,1,0))</f>
        <v/>
      </c>
      <c r="V260" s="24">
        <f>IF(OR($B260="",$G260="",$G260="لا توجد مشاهدات"),0,1)</f>
        <v/>
      </c>
      <c r="W260" s="24">
        <f>IF(AND($B260&lt;&gt;"",$I260="تم تحرير مخالفة"),1,0)</f>
        <v/>
      </c>
      <c r="X260" s="24">
        <f>IF($B260="","",IF($S260=WkStart,COUNTIF($S$5:$S260,WkStart),""))</f>
        <v/>
      </c>
    </row>
    <row r="261">
      <c r="A261" s="16">
        <f>IF($B261="","",ROW()-4)</f>
        <v/>
      </c>
      <c r="B261" s="17" t="n"/>
      <c r="C261" s="18" t="n"/>
      <c r="D261" s="18" t="n"/>
      <c r="E261" s="19" t="n"/>
      <c r="F261" s="19" t="n"/>
      <c r="G261" s="18" t="n"/>
      <c r="H261" s="18" t="n"/>
      <c r="I261" s="18" t="n"/>
      <c r="J261" s="20" t="n"/>
      <c r="K261" s="21" t="n"/>
      <c r="L261" s="21" t="n"/>
      <c r="M261" s="18" t="n"/>
      <c r="N261" s="22">
        <f>IF($B261="","",CHOOSE(WEEKDAY($B261),"الأحد","الاثنين","الثلاثاء","الأربعاء","الخميس","الجمعة","السبت"))</f>
        <v/>
      </c>
      <c r="O261" s="23">
        <f>IF(OR($K261="",$L261=""),"",HYPERLINK("https://maps.google.com/?q="&amp;$K261&amp;","&amp;$L261,"عرض الموقع"))</f>
        <v/>
      </c>
      <c r="P261" s="23">
        <f>IF(OR($B261="",N($J261)=0),"",HYPERLINK(PhotoDir&amp;"/"&amp;YEAR($B261)&amp;"-"&amp;TEXT(MONTH($B261),"00")&amp;"-"&amp;TEXT(DAY($B261),"00")&amp;"_"&amp;$D261,"فتح الصور ("&amp;$J261&amp;")"))</f>
        <v/>
      </c>
      <c r="Q261" s="24">
        <f>IF($B261="","",MONTH($B261))</f>
        <v/>
      </c>
      <c r="R261" s="24">
        <f>IF($B261="","",YEAR($B261))</f>
        <v/>
      </c>
      <c r="S261" s="25">
        <f>IF($B261="","",$B261-WEEKDAY($B261,3))</f>
        <v/>
      </c>
      <c r="T261" s="24">
        <f>IF($B261="",0,IF(COUNTIFS($B$5:$B261,$B261,$D$5:$D261,$D261)=1,1,0))</f>
        <v/>
      </c>
      <c r="U261" s="24">
        <f>IF($B261="",0,IF(COUNTIFS($B$5:$B261,$B261,$C$5:$C261,$C261)=1,1,0))</f>
        <v/>
      </c>
      <c r="V261" s="24">
        <f>IF(OR($B261="",$G261="",$G261="لا توجد مشاهدات"),0,1)</f>
        <v/>
      </c>
      <c r="W261" s="24">
        <f>IF(AND($B261&lt;&gt;"",$I261="تم تحرير مخالفة"),1,0)</f>
        <v/>
      </c>
      <c r="X261" s="24">
        <f>IF($B261="","",IF($S261=WkStart,COUNTIF($S$5:$S261,WkStart),""))</f>
        <v/>
      </c>
    </row>
    <row r="262">
      <c r="A262" s="16">
        <f>IF($B262="","",ROW()-4)</f>
        <v/>
      </c>
      <c r="B262" s="17" t="n"/>
      <c r="C262" s="18" t="n"/>
      <c r="D262" s="18" t="n"/>
      <c r="E262" s="19" t="n"/>
      <c r="F262" s="19" t="n"/>
      <c r="G262" s="18" t="n"/>
      <c r="H262" s="18" t="n"/>
      <c r="I262" s="18" t="n"/>
      <c r="J262" s="20" t="n"/>
      <c r="K262" s="21" t="n"/>
      <c r="L262" s="21" t="n"/>
      <c r="M262" s="18" t="n"/>
      <c r="N262" s="22">
        <f>IF($B262="","",CHOOSE(WEEKDAY($B262),"الأحد","الاثنين","الثلاثاء","الأربعاء","الخميس","الجمعة","السبت"))</f>
        <v/>
      </c>
      <c r="O262" s="23">
        <f>IF(OR($K262="",$L262=""),"",HYPERLINK("https://maps.google.com/?q="&amp;$K262&amp;","&amp;$L262,"عرض الموقع"))</f>
        <v/>
      </c>
      <c r="P262" s="23">
        <f>IF(OR($B262="",N($J262)=0),"",HYPERLINK(PhotoDir&amp;"/"&amp;YEAR($B262)&amp;"-"&amp;TEXT(MONTH($B262),"00")&amp;"-"&amp;TEXT(DAY($B262),"00")&amp;"_"&amp;$D262,"فتح الصور ("&amp;$J262&amp;")"))</f>
        <v/>
      </c>
      <c r="Q262" s="24">
        <f>IF($B262="","",MONTH($B262))</f>
        <v/>
      </c>
      <c r="R262" s="24">
        <f>IF($B262="","",YEAR($B262))</f>
        <v/>
      </c>
      <c r="S262" s="25">
        <f>IF($B262="","",$B262-WEEKDAY($B262,3))</f>
        <v/>
      </c>
      <c r="T262" s="24">
        <f>IF($B262="",0,IF(COUNTIFS($B$5:$B262,$B262,$D$5:$D262,$D262)=1,1,0))</f>
        <v/>
      </c>
      <c r="U262" s="24">
        <f>IF($B262="",0,IF(COUNTIFS($B$5:$B262,$B262,$C$5:$C262,$C262)=1,1,0))</f>
        <v/>
      </c>
      <c r="V262" s="24">
        <f>IF(OR($B262="",$G262="",$G262="لا توجد مشاهدات"),0,1)</f>
        <v/>
      </c>
      <c r="W262" s="24">
        <f>IF(AND($B262&lt;&gt;"",$I262="تم تحرير مخالفة"),1,0)</f>
        <v/>
      </c>
      <c r="X262" s="24">
        <f>IF($B262="","",IF($S262=WkStart,COUNTIF($S$5:$S262,WkStart),""))</f>
        <v/>
      </c>
    </row>
    <row r="263">
      <c r="A263" s="16">
        <f>IF($B263="","",ROW()-4)</f>
        <v/>
      </c>
      <c r="B263" s="17" t="n"/>
      <c r="C263" s="18" t="n"/>
      <c r="D263" s="18" t="n"/>
      <c r="E263" s="19" t="n"/>
      <c r="F263" s="19" t="n"/>
      <c r="G263" s="18" t="n"/>
      <c r="H263" s="18" t="n"/>
      <c r="I263" s="18" t="n"/>
      <c r="J263" s="20" t="n"/>
      <c r="K263" s="21" t="n"/>
      <c r="L263" s="21" t="n"/>
      <c r="M263" s="18" t="n"/>
      <c r="N263" s="22">
        <f>IF($B263="","",CHOOSE(WEEKDAY($B263),"الأحد","الاثنين","الثلاثاء","الأربعاء","الخميس","الجمعة","السبت"))</f>
        <v/>
      </c>
      <c r="O263" s="23">
        <f>IF(OR($K263="",$L263=""),"",HYPERLINK("https://maps.google.com/?q="&amp;$K263&amp;","&amp;$L263,"عرض الموقع"))</f>
        <v/>
      </c>
      <c r="P263" s="23">
        <f>IF(OR($B263="",N($J263)=0),"",HYPERLINK(PhotoDir&amp;"/"&amp;YEAR($B263)&amp;"-"&amp;TEXT(MONTH($B263),"00")&amp;"-"&amp;TEXT(DAY($B263),"00")&amp;"_"&amp;$D263,"فتح الصور ("&amp;$J263&amp;")"))</f>
        <v/>
      </c>
      <c r="Q263" s="24">
        <f>IF($B263="","",MONTH($B263))</f>
        <v/>
      </c>
      <c r="R263" s="24">
        <f>IF($B263="","",YEAR($B263))</f>
        <v/>
      </c>
      <c r="S263" s="25">
        <f>IF($B263="","",$B263-WEEKDAY($B263,3))</f>
        <v/>
      </c>
      <c r="T263" s="24">
        <f>IF($B263="",0,IF(COUNTIFS($B$5:$B263,$B263,$D$5:$D263,$D263)=1,1,0))</f>
        <v/>
      </c>
      <c r="U263" s="24">
        <f>IF($B263="",0,IF(COUNTIFS($B$5:$B263,$B263,$C$5:$C263,$C263)=1,1,0))</f>
        <v/>
      </c>
      <c r="V263" s="24">
        <f>IF(OR($B263="",$G263="",$G263="لا توجد مشاهدات"),0,1)</f>
        <v/>
      </c>
      <c r="W263" s="24">
        <f>IF(AND($B263&lt;&gt;"",$I263="تم تحرير مخالفة"),1,0)</f>
        <v/>
      </c>
      <c r="X263" s="24">
        <f>IF($B263="","",IF($S263=WkStart,COUNTIF($S$5:$S263,WkStart),""))</f>
        <v/>
      </c>
    </row>
    <row r="264">
      <c r="A264" s="16">
        <f>IF($B264="","",ROW()-4)</f>
        <v/>
      </c>
      <c r="B264" s="17" t="n"/>
      <c r="C264" s="18" t="n"/>
      <c r="D264" s="18" t="n"/>
      <c r="E264" s="19" t="n"/>
      <c r="F264" s="19" t="n"/>
      <c r="G264" s="18" t="n"/>
      <c r="H264" s="18" t="n"/>
      <c r="I264" s="18" t="n"/>
      <c r="J264" s="20" t="n"/>
      <c r="K264" s="21" t="n"/>
      <c r="L264" s="21" t="n"/>
      <c r="M264" s="18" t="n"/>
      <c r="N264" s="22">
        <f>IF($B264="","",CHOOSE(WEEKDAY($B264),"الأحد","الاثنين","الثلاثاء","الأربعاء","الخميس","الجمعة","السبت"))</f>
        <v/>
      </c>
      <c r="O264" s="23">
        <f>IF(OR($K264="",$L264=""),"",HYPERLINK("https://maps.google.com/?q="&amp;$K264&amp;","&amp;$L264,"عرض الموقع"))</f>
        <v/>
      </c>
      <c r="P264" s="23">
        <f>IF(OR($B264="",N($J264)=0),"",HYPERLINK(PhotoDir&amp;"/"&amp;YEAR($B264)&amp;"-"&amp;TEXT(MONTH($B264),"00")&amp;"-"&amp;TEXT(DAY($B264),"00")&amp;"_"&amp;$D264,"فتح الصور ("&amp;$J264&amp;")"))</f>
        <v/>
      </c>
      <c r="Q264" s="24">
        <f>IF($B264="","",MONTH($B264))</f>
        <v/>
      </c>
      <c r="R264" s="24">
        <f>IF($B264="","",YEAR($B264))</f>
        <v/>
      </c>
      <c r="S264" s="25">
        <f>IF($B264="","",$B264-WEEKDAY($B264,3))</f>
        <v/>
      </c>
      <c r="T264" s="24">
        <f>IF($B264="",0,IF(COUNTIFS($B$5:$B264,$B264,$D$5:$D264,$D264)=1,1,0))</f>
        <v/>
      </c>
      <c r="U264" s="24">
        <f>IF($B264="",0,IF(COUNTIFS($B$5:$B264,$B264,$C$5:$C264,$C264)=1,1,0))</f>
        <v/>
      </c>
      <c r="V264" s="24">
        <f>IF(OR($B264="",$G264="",$G264="لا توجد مشاهدات"),0,1)</f>
        <v/>
      </c>
      <c r="W264" s="24">
        <f>IF(AND($B264&lt;&gt;"",$I264="تم تحرير مخالفة"),1,0)</f>
        <v/>
      </c>
      <c r="X264" s="24">
        <f>IF($B264="","",IF($S264=WkStart,COUNTIF($S$5:$S264,WkStart),""))</f>
        <v/>
      </c>
    </row>
    <row r="265">
      <c r="A265" s="16">
        <f>IF($B265="","",ROW()-4)</f>
        <v/>
      </c>
      <c r="B265" s="17" t="n"/>
      <c r="C265" s="18" t="n"/>
      <c r="D265" s="18" t="n"/>
      <c r="E265" s="19" t="n"/>
      <c r="F265" s="19" t="n"/>
      <c r="G265" s="18" t="n"/>
      <c r="H265" s="18" t="n"/>
      <c r="I265" s="18" t="n"/>
      <c r="J265" s="20" t="n"/>
      <c r="K265" s="21" t="n"/>
      <c r="L265" s="21" t="n"/>
      <c r="M265" s="18" t="n"/>
      <c r="N265" s="22">
        <f>IF($B265="","",CHOOSE(WEEKDAY($B265),"الأحد","الاثنين","الثلاثاء","الأربعاء","الخميس","الجمعة","السبت"))</f>
        <v/>
      </c>
      <c r="O265" s="23">
        <f>IF(OR($K265="",$L265=""),"",HYPERLINK("https://maps.google.com/?q="&amp;$K265&amp;","&amp;$L265,"عرض الموقع"))</f>
        <v/>
      </c>
      <c r="P265" s="23">
        <f>IF(OR($B265="",N($J265)=0),"",HYPERLINK(PhotoDir&amp;"/"&amp;YEAR($B265)&amp;"-"&amp;TEXT(MONTH($B265),"00")&amp;"-"&amp;TEXT(DAY($B265),"00")&amp;"_"&amp;$D265,"فتح الصور ("&amp;$J265&amp;")"))</f>
        <v/>
      </c>
      <c r="Q265" s="24">
        <f>IF($B265="","",MONTH($B265))</f>
        <v/>
      </c>
      <c r="R265" s="24">
        <f>IF($B265="","",YEAR($B265))</f>
        <v/>
      </c>
      <c r="S265" s="25">
        <f>IF($B265="","",$B265-WEEKDAY($B265,3))</f>
        <v/>
      </c>
      <c r="T265" s="24">
        <f>IF($B265="",0,IF(COUNTIFS($B$5:$B265,$B265,$D$5:$D265,$D265)=1,1,0))</f>
        <v/>
      </c>
      <c r="U265" s="24">
        <f>IF($B265="",0,IF(COUNTIFS($B$5:$B265,$B265,$C$5:$C265,$C265)=1,1,0))</f>
        <v/>
      </c>
      <c r="V265" s="24">
        <f>IF(OR($B265="",$G265="",$G265="لا توجد مشاهدات"),0,1)</f>
        <v/>
      </c>
      <c r="W265" s="24">
        <f>IF(AND($B265&lt;&gt;"",$I265="تم تحرير مخالفة"),1,0)</f>
        <v/>
      </c>
      <c r="X265" s="24">
        <f>IF($B265="","",IF($S265=WkStart,COUNTIF($S$5:$S265,WkStart),""))</f>
        <v/>
      </c>
    </row>
    <row r="266">
      <c r="A266" s="16">
        <f>IF($B266="","",ROW()-4)</f>
        <v/>
      </c>
      <c r="B266" s="17" t="n"/>
      <c r="C266" s="18" t="n"/>
      <c r="D266" s="18" t="n"/>
      <c r="E266" s="19" t="n"/>
      <c r="F266" s="19" t="n"/>
      <c r="G266" s="18" t="n"/>
      <c r="H266" s="18" t="n"/>
      <c r="I266" s="18" t="n"/>
      <c r="J266" s="20" t="n"/>
      <c r="K266" s="21" t="n"/>
      <c r="L266" s="21" t="n"/>
      <c r="M266" s="18" t="n"/>
      <c r="N266" s="22">
        <f>IF($B266="","",CHOOSE(WEEKDAY($B266),"الأحد","الاثنين","الثلاثاء","الأربعاء","الخميس","الجمعة","السبت"))</f>
        <v/>
      </c>
      <c r="O266" s="23">
        <f>IF(OR($K266="",$L266=""),"",HYPERLINK("https://maps.google.com/?q="&amp;$K266&amp;","&amp;$L266,"عرض الموقع"))</f>
        <v/>
      </c>
      <c r="P266" s="23">
        <f>IF(OR($B266="",N($J266)=0),"",HYPERLINK(PhotoDir&amp;"/"&amp;YEAR($B266)&amp;"-"&amp;TEXT(MONTH($B266),"00")&amp;"-"&amp;TEXT(DAY($B266),"00")&amp;"_"&amp;$D266,"فتح الصور ("&amp;$J266&amp;")"))</f>
        <v/>
      </c>
      <c r="Q266" s="24">
        <f>IF($B266="","",MONTH($B266))</f>
        <v/>
      </c>
      <c r="R266" s="24">
        <f>IF($B266="","",YEAR($B266))</f>
        <v/>
      </c>
      <c r="S266" s="25">
        <f>IF($B266="","",$B266-WEEKDAY($B266,3))</f>
        <v/>
      </c>
      <c r="T266" s="24">
        <f>IF($B266="",0,IF(COUNTIFS($B$5:$B266,$B266,$D$5:$D266,$D266)=1,1,0))</f>
        <v/>
      </c>
      <c r="U266" s="24">
        <f>IF($B266="",0,IF(COUNTIFS($B$5:$B266,$B266,$C$5:$C266,$C266)=1,1,0))</f>
        <v/>
      </c>
      <c r="V266" s="24">
        <f>IF(OR($B266="",$G266="",$G266="لا توجد مشاهدات"),0,1)</f>
        <v/>
      </c>
      <c r="W266" s="24">
        <f>IF(AND($B266&lt;&gt;"",$I266="تم تحرير مخالفة"),1,0)</f>
        <v/>
      </c>
      <c r="X266" s="24">
        <f>IF($B266="","",IF($S266=WkStart,COUNTIF($S$5:$S266,WkStart),""))</f>
        <v/>
      </c>
    </row>
    <row r="267">
      <c r="A267" s="16">
        <f>IF($B267="","",ROW()-4)</f>
        <v/>
      </c>
      <c r="B267" s="17" t="n"/>
      <c r="C267" s="18" t="n"/>
      <c r="D267" s="18" t="n"/>
      <c r="E267" s="19" t="n"/>
      <c r="F267" s="19" t="n"/>
      <c r="G267" s="18" t="n"/>
      <c r="H267" s="18" t="n"/>
      <c r="I267" s="18" t="n"/>
      <c r="J267" s="20" t="n"/>
      <c r="K267" s="21" t="n"/>
      <c r="L267" s="21" t="n"/>
      <c r="M267" s="18" t="n"/>
      <c r="N267" s="22">
        <f>IF($B267="","",CHOOSE(WEEKDAY($B267),"الأحد","الاثنين","الثلاثاء","الأربعاء","الخميس","الجمعة","السبت"))</f>
        <v/>
      </c>
      <c r="O267" s="23">
        <f>IF(OR($K267="",$L267=""),"",HYPERLINK("https://maps.google.com/?q="&amp;$K267&amp;","&amp;$L267,"عرض الموقع"))</f>
        <v/>
      </c>
      <c r="P267" s="23">
        <f>IF(OR($B267="",N($J267)=0),"",HYPERLINK(PhotoDir&amp;"/"&amp;YEAR($B267)&amp;"-"&amp;TEXT(MONTH($B267),"00")&amp;"-"&amp;TEXT(DAY($B267),"00")&amp;"_"&amp;$D267,"فتح الصور ("&amp;$J267&amp;")"))</f>
        <v/>
      </c>
      <c r="Q267" s="24">
        <f>IF($B267="","",MONTH($B267))</f>
        <v/>
      </c>
      <c r="R267" s="24">
        <f>IF($B267="","",YEAR($B267))</f>
        <v/>
      </c>
      <c r="S267" s="25">
        <f>IF($B267="","",$B267-WEEKDAY($B267,3))</f>
        <v/>
      </c>
      <c r="T267" s="24">
        <f>IF($B267="",0,IF(COUNTIFS($B$5:$B267,$B267,$D$5:$D267,$D267)=1,1,0))</f>
        <v/>
      </c>
      <c r="U267" s="24">
        <f>IF($B267="",0,IF(COUNTIFS($B$5:$B267,$B267,$C$5:$C267,$C267)=1,1,0))</f>
        <v/>
      </c>
      <c r="V267" s="24">
        <f>IF(OR($B267="",$G267="",$G267="لا توجد مشاهدات"),0,1)</f>
        <v/>
      </c>
      <c r="W267" s="24">
        <f>IF(AND($B267&lt;&gt;"",$I267="تم تحرير مخالفة"),1,0)</f>
        <v/>
      </c>
      <c r="X267" s="24">
        <f>IF($B267="","",IF($S267=WkStart,COUNTIF($S$5:$S267,WkStart),""))</f>
        <v/>
      </c>
    </row>
    <row r="268">
      <c r="A268" s="16">
        <f>IF($B268="","",ROW()-4)</f>
        <v/>
      </c>
      <c r="B268" s="17" t="n"/>
      <c r="C268" s="18" t="n"/>
      <c r="D268" s="18" t="n"/>
      <c r="E268" s="19" t="n"/>
      <c r="F268" s="19" t="n"/>
      <c r="G268" s="18" t="n"/>
      <c r="H268" s="18" t="n"/>
      <c r="I268" s="18" t="n"/>
      <c r="J268" s="20" t="n"/>
      <c r="K268" s="21" t="n"/>
      <c r="L268" s="21" t="n"/>
      <c r="M268" s="18" t="n"/>
      <c r="N268" s="22">
        <f>IF($B268="","",CHOOSE(WEEKDAY($B268),"الأحد","الاثنين","الثلاثاء","الأربعاء","الخميس","الجمعة","السبت"))</f>
        <v/>
      </c>
      <c r="O268" s="23">
        <f>IF(OR($K268="",$L268=""),"",HYPERLINK("https://maps.google.com/?q="&amp;$K268&amp;","&amp;$L268,"عرض الموقع"))</f>
        <v/>
      </c>
      <c r="P268" s="23">
        <f>IF(OR($B268="",N($J268)=0),"",HYPERLINK(PhotoDir&amp;"/"&amp;YEAR($B268)&amp;"-"&amp;TEXT(MONTH($B268),"00")&amp;"-"&amp;TEXT(DAY($B268),"00")&amp;"_"&amp;$D268,"فتح الصور ("&amp;$J268&amp;")"))</f>
        <v/>
      </c>
      <c r="Q268" s="24">
        <f>IF($B268="","",MONTH($B268))</f>
        <v/>
      </c>
      <c r="R268" s="24">
        <f>IF($B268="","",YEAR($B268))</f>
        <v/>
      </c>
      <c r="S268" s="25">
        <f>IF($B268="","",$B268-WEEKDAY($B268,3))</f>
        <v/>
      </c>
      <c r="T268" s="24">
        <f>IF($B268="",0,IF(COUNTIFS($B$5:$B268,$B268,$D$5:$D268,$D268)=1,1,0))</f>
        <v/>
      </c>
      <c r="U268" s="24">
        <f>IF($B268="",0,IF(COUNTIFS($B$5:$B268,$B268,$C$5:$C268,$C268)=1,1,0))</f>
        <v/>
      </c>
      <c r="V268" s="24">
        <f>IF(OR($B268="",$G268="",$G268="لا توجد مشاهدات"),0,1)</f>
        <v/>
      </c>
      <c r="W268" s="24">
        <f>IF(AND($B268&lt;&gt;"",$I268="تم تحرير مخالفة"),1,0)</f>
        <v/>
      </c>
      <c r="X268" s="24">
        <f>IF($B268="","",IF($S268=WkStart,COUNTIF($S$5:$S268,WkStart),""))</f>
        <v/>
      </c>
    </row>
    <row r="269">
      <c r="A269" s="16">
        <f>IF($B269="","",ROW()-4)</f>
        <v/>
      </c>
      <c r="B269" s="17" t="n"/>
      <c r="C269" s="18" t="n"/>
      <c r="D269" s="18" t="n"/>
      <c r="E269" s="19" t="n"/>
      <c r="F269" s="19" t="n"/>
      <c r="G269" s="18" t="n"/>
      <c r="H269" s="18" t="n"/>
      <c r="I269" s="18" t="n"/>
      <c r="J269" s="20" t="n"/>
      <c r="K269" s="21" t="n"/>
      <c r="L269" s="21" t="n"/>
      <c r="M269" s="18" t="n"/>
      <c r="N269" s="22">
        <f>IF($B269="","",CHOOSE(WEEKDAY($B269),"الأحد","الاثنين","الثلاثاء","الأربعاء","الخميس","الجمعة","السبت"))</f>
        <v/>
      </c>
      <c r="O269" s="23">
        <f>IF(OR($K269="",$L269=""),"",HYPERLINK("https://maps.google.com/?q="&amp;$K269&amp;","&amp;$L269,"عرض الموقع"))</f>
        <v/>
      </c>
      <c r="P269" s="23">
        <f>IF(OR($B269="",N($J269)=0),"",HYPERLINK(PhotoDir&amp;"/"&amp;YEAR($B269)&amp;"-"&amp;TEXT(MONTH($B269),"00")&amp;"-"&amp;TEXT(DAY($B269),"00")&amp;"_"&amp;$D269,"فتح الصور ("&amp;$J269&amp;")"))</f>
        <v/>
      </c>
      <c r="Q269" s="24">
        <f>IF($B269="","",MONTH($B269))</f>
        <v/>
      </c>
      <c r="R269" s="24">
        <f>IF($B269="","",YEAR($B269))</f>
        <v/>
      </c>
      <c r="S269" s="25">
        <f>IF($B269="","",$B269-WEEKDAY($B269,3))</f>
        <v/>
      </c>
      <c r="T269" s="24">
        <f>IF($B269="",0,IF(COUNTIFS($B$5:$B269,$B269,$D$5:$D269,$D269)=1,1,0))</f>
        <v/>
      </c>
      <c r="U269" s="24">
        <f>IF($B269="",0,IF(COUNTIFS($B$5:$B269,$B269,$C$5:$C269,$C269)=1,1,0))</f>
        <v/>
      </c>
      <c r="V269" s="24">
        <f>IF(OR($B269="",$G269="",$G269="لا توجد مشاهدات"),0,1)</f>
        <v/>
      </c>
      <c r="W269" s="24">
        <f>IF(AND($B269&lt;&gt;"",$I269="تم تحرير مخالفة"),1,0)</f>
        <v/>
      </c>
      <c r="X269" s="24">
        <f>IF($B269="","",IF($S269=WkStart,COUNTIF($S$5:$S269,WkStart),""))</f>
        <v/>
      </c>
    </row>
    <row r="270">
      <c r="A270" s="16">
        <f>IF($B270="","",ROW()-4)</f>
        <v/>
      </c>
      <c r="B270" s="17" t="n"/>
      <c r="C270" s="18" t="n"/>
      <c r="D270" s="18" t="n"/>
      <c r="E270" s="19" t="n"/>
      <c r="F270" s="19" t="n"/>
      <c r="G270" s="18" t="n"/>
      <c r="H270" s="18" t="n"/>
      <c r="I270" s="18" t="n"/>
      <c r="J270" s="20" t="n"/>
      <c r="K270" s="21" t="n"/>
      <c r="L270" s="21" t="n"/>
      <c r="M270" s="18" t="n"/>
      <c r="N270" s="22">
        <f>IF($B270="","",CHOOSE(WEEKDAY($B270),"الأحد","الاثنين","الثلاثاء","الأربعاء","الخميس","الجمعة","السبت"))</f>
        <v/>
      </c>
      <c r="O270" s="23">
        <f>IF(OR($K270="",$L270=""),"",HYPERLINK("https://maps.google.com/?q="&amp;$K270&amp;","&amp;$L270,"عرض الموقع"))</f>
        <v/>
      </c>
      <c r="P270" s="23">
        <f>IF(OR($B270="",N($J270)=0),"",HYPERLINK(PhotoDir&amp;"/"&amp;YEAR($B270)&amp;"-"&amp;TEXT(MONTH($B270),"00")&amp;"-"&amp;TEXT(DAY($B270),"00")&amp;"_"&amp;$D270,"فتح الصور ("&amp;$J270&amp;")"))</f>
        <v/>
      </c>
      <c r="Q270" s="24">
        <f>IF($B270="","",MONTH($B270))</f>
        <v/>
      </c>
      <c r="R270" s="24">
        <f>IF($B270="","",YEAR($B270))</f>
        <v/>
      </c>
      <c r="S270" s="25">
        <f>IF($B270="","",$B270-WEEKDAY($B270,3))</f>
        <v/>
      </c>
      <c r="T270" s="24">
        <f>IF($B270="",0,IF(COUNTIFS($B$5:$B270,$B270,$D$5:$D270,$D270)=1,1,0))</f>
        <v/>
      </c>
      <c r="U270" s="24">
        <f>IF($B270="",0,IF(COUNTIFS($B$5:$B270,$B270,$C$5:$C270,$C270)=1,1,0))</f>
        <v/>
      </c>
      <c r="V270" s="24">
        <f>IF(OR($B270="",$G270="",$G270="لا توجد مشاهدات"),0,1)</f>
        <v/>
      </c>
      <c r="W270" s="24">
        <f>IF(AND($B270&lt;&gt;"",$I270="تم تحرير مخالفة"),1,0)</f>
        <v/>
      </c>
      <c r="X270" s="24">
        <f>IF($B270="","",IF($S270=WkStart,COUNTIF($S$5:$S270,WkStart),""))</f>
        <v/>
      </c>
    </row>
    <row r="271">
      <c r="A271" s="16">
        <f>IF($B271="","",ROW()-4)</f>
        <v/>
      </c>
      <c r="B271" s="17" t="n"/>
      <c r="C271" s="18" t="n"/>
      <c r="D271" s="18" t="n"/>
      <c r="E271" s="19" t="n"/>
      <c r="F271" s="19" t="n"/>
      <c r="G271" s="18" t="n"/>
      <c r="H271" s="18" t="n"/>
      <c r="I271" s="18" t="n"/>
      <c r="J271" s="20" t="n"/>
      <c r="K271" s="21" t="n"/>
      <c r="L271" s="21" t="n"/>
      <c r="M271" s="18" t="n"/>
      <c r="N271" s="22">
        <f>IF($B271="","",CHOOSE(WEEKDAY($B271),"الأحد","الاثنين","الثلاثاء","الأربعاء","الخميس","الجمعة","السبت"))</f>
        <v/>
      </c>
      <c r="O271" s="23">
        <f>IF(OR($K271="",$L271=""),"",HYPERLINK("https://maps.google.com/?q="&amp;$K271&amp;","&amp;$L271,"عرض الموقع"))</f>
        <v/>
      </c>
      <c r="P271" s="23">
        <f>IF(OR($B271="",N($J271)=0),"",HYPERLINK(PhotoDir&amp;"/"&amp;YEAR($B271)&amp;"-"&amp;TEXT(MONTH($B271),"00")&amp;"-"&amp;TEXT(DAY($B271),"00")&amp;"_"&amp;$D271,"فتح الصور ("&amp;$J271&amp;")"))</f>
        <v/>
      </c>
      <c r="Q271" s="24">
        <f>IF($B271="","",MONTH($B271))</f>
        <v/>
      </c>
      <c r="R271" s="24">
        <f>IF($B271="","",YEAR($B271))</f>
        <v/>
      </c>
      <c r="S271" s="25">
        <f>IF($B271="","",$B271-WEEKDAY($B271,3))</f>
        <v/>
      </c>
      <c r="T271" s="24">
        <f>IF($B271="",0,IF(COUNTIFS($B$5:$B271,$B271,$D$5:$D271,$D271)=1,1,0))</f>
        <v/>
      </c>
      <c r="U271" s="24">
        <f>IF($B271="",0,IF(COUNTIFS($B$5:$B271,$B271,$C$5:$C271,$C271)=1,1,0))</f>
        <v/>
      </c>
      <c r="V271" s="24">
        <f>IF(OR($B271="",$G271="",$G271="لا توجد مشاهدات"),0,1)</f>
        <v/>
      </c>
      <c r="W271" s="24">
        <f>IF(AND($B271&lt;&gt;"",$I271="تم تحرير مخالفة"),1,0)</f>
        <v/>
      </c>
      <c r="X271" s="24">
        <f>IF($B271="","",IF($S271=WkStart,COUNTIF($S$5:$S271,WkStart),""))</f>
        <v/>
      </c>
    </row>
    <row r="272">
      <c r="A272" s="16">
        <f>IF($B272="","",ROW()-4)</f>
        <v/>
      </c>
      <c r="B272" s="17" t="n"/>
      <c r="C272" s="18" t="n"/>
      <c r="D272" s="18" t="n"/>
      <c r="E272" s="19" t="n"/>
      <c r="F272" s="19" t="n"/>
      <c r="G272" s="18" t="n"/>
      <c r="H272" s="18" t="n"/>
      <c r="I272" s="18" t="n"/>
      <c r="J272" s="20" t="n"/>
      <c r="K272" s="21" t="n"/>
      <c r="L272" s="21" t="n"/>
      <c r="M272" s="18" t="n"/>
      <c r="N272" s="22">
        <f>IF($B272="","",CHOOSE(WEEKDAY($B272),"الأحد","الاثنين","الثلاثاء","الأربعاء","الخميس","الجمعة","السبت"))</f>
        <v/>
      </c>
      <c r="O272" s="23">
        <f>IF(OR($K272="",$L272=""),"",HYPERLINK("https://maps.google.com/?q="&amp;$K272&amp;","&amp;$L272,"عرض الموقع"))</f>
        <v/>
      </c>
      <c r="P272" s="23">
        <f>IF(OR($B272="",N($J272)=0),"",HYPERLINK(PhotoDir&amp;"/"&amp;YEAR($B272)&amp;"-"&amp;TEXT(MONTH($B272),"00")&amp;"-"&amp;TEXT(DAY($B272),"00")&amp;"_"&amp;$D272,"فتح الصور ("&amp;$J272&amp;")"))</f>
        <v/>
      </c>
      <c r="Q272" s="24">
        <f>IF($B272="","",MONTH($B272))</f>
        <v/>
      </c>
      <c r="R272" s="24">
        <f>IF($B272="","",YEAR($B272))</f>
        <v/>
      </c>
      <c r="S272" s="25">
        <f>IF($B272="","",$B272-WEEKDAY($B272,3))</f>
        <v/>
      </c>
      <c r="T272" s="24">
        <f>IF($B272="",0,IF(COUNTIFS($B$5:$B272,$B272,$D$5:$D272,$D272)=1,1,0))</f>
        <v/>
      </c>
      <c r="U272" s="24">
        <f>IF($B272="",0,IF(COUNTIFS($B$5:$B272,$B272,$C$5:$C272,$C272)=1,1,0))</f>
        <v/>
      </c>
      <c r="V272" s="24">
        <f>IF(OR($B272="",$G272="",$G272="لا توجد مشاهدات"),0,1)</f>
        <v/>
      </c>
      <c r="W272" s="24">
        <f>IF(AND($B272&lt;&gt;"",$I272="تم تحرير مخالفة"),1,0)</f>
        <v/>
      </c>
      <c r="X272" s="24">
        <f>IF($B272="","",IF($S272=WkStart,COUNTIF($S$5:$S272,WkStart),""))</f>
        <v/>
      </c>
    </row>
    <row r="273">
      <c r="A273" s="16">
        <f>IF($B273="","",ROW()-4)</f>
        <v/>
      </c>
      <c r="B273" s="17" t="n"/>
      <c r="C273" s="18" t="n"/>
      <c r="D273" s="18" t="n"/>
      <c r="E273" s="19" t="n"/>
      <c r="F273" s="19" t="n"/>
      <c r="G273" s="18" t="n"/>
      <c r="H273" s="18" t="n"/>
      <c r="I273" s="18" t="n"/>
      <c r="J273" s="20" t="n"/>
      <c r="K273" s="21" t="n"/>
      <c r="L273" s="21" t="n"/>
      <c r="M273" s="18" t="n"/>
      <c r="N273" s="22">
        <f>IF($B273="","",CHOOSE(WEEKDAY($B273),"الأحد","الاثنين","الثلاثاء","الأربعاء","الخميس","الجمعة","السبت"))</f>
        <v/>
      </c>
      <c r="O273" s="23">
        <f>IF(OR($K273="",$L273=""),"",HYPERLINK("https://maps.google.com/?q="&amp;$K273&amp;","&amp;$L273,"عرض الموقع"))</f>
        <v/>
      </c>
      <c r="P273" s="23">
        <f>IF(OR($B273="",N($J273)=0),"",HYPERLINK(PhotoDir&amp;"/"&amp;YEAR($B273)&amp;"-"&amp;TEXT(MONTH($B273),"00")&amp;"-"&amp;TEXT(DAY($B273),"00")&amp;"_"&amp;$D273,"فتح الصور ("&amp;$J273&amp;")"))</f>
        <v/>
      </c>
      <c r="Q273" s="24">
        <f>IF($B273="","",MONTH($B273))</f>
        <v/>
      </c>
      <c r="R273" s="24">
        <f>IF($B273="","",YEAR($B273))</f>
        <v/>
      </c>
      <c r="S273" s="25">
        <f>IF($B273="","",$B273-WEEKDAY($B273,3))</f>
        <v/>
      </c>
      <c r="T273" s="24">
        <f>IF($B273="",0,IF(COUNTIFS($B$5:$B273,$B273,$D$5:$D273,$D273)=1,1,0))</f>
        <v/>
      </c>
      <c r="U273" s="24">
        <f>IF($B273="",0,IF(COUNTIFS($B$5:$B273,$B273,$C$5:$C273,$C273)=1,1,0))</f>
        <v/>
      </c>
      <c r="V273" s="24">
        <f>IF(OR($B273="",$G273="",$G273="لا توجد مشاهدات"),0,1)</f>
        <v/>
      </c>
      <c r="W273" s="24">
        <f>IF(AND($B273&lt;&gt;"",$I273="تم تحرير مخالفة"),1,0)</f>
        <v/>
      </c>
      <c r="X273" s="24">
        <f>IF($B273="","",IF($S273=WkStart,COUNTIF($S$5:$S273,WkStart),""))</f>
        <v/>
      </c>
    </row>
    <row r="274">
      <c r="A274" s="16">
        <f>IF($B274="","",ROW()-4)</f>
        <v/>
      </c>
      <c r="B274" s="17" t="n"/>
      <c r="C274" s="18" t="n"/>
      <c r="D274" s="18" t="n"/>
      <c r="E274" s="19" t="n"/>
      <c r="F274" s="19" t="n"/>
      <c r="G274" s="18" t="n"/>
      <c r="H274" s="18" t="n"/>
      <c r="I274" s="18" t="n"/>
      <c r="J274" s="20" t="n"/>
      <c r="K274" s="21" t="n"/>
      <c r="L274" s="21" t="n"/>
      <c r="M274" s="18" t="n"/>
      <c r="N274" s="22">
        <f>IF($B274="","",CHOOSE(WEEKDAY($B274),"الأحد","الاثنين","الثلاثاء","الأربعاء","الخميس","الجمعة","السبت"))</f>
        <v/>
      </c>
      <c r="O274" s="23">
        <f>IF(OR($K274="",$L274=""),"",HYPERLINK("https://maps.google.com/?q="&amp;$K274&amp;","&amp;$L274,"عرض الموقع"))</f>
        <v/>
      </c>
      <c r="P274" s="23">
        <f>IF(OR($B274="",N($J274)=0),"",HYPERLINK(PhotoDir&amp;"/"&amp;YEAR($B274)&amp;"-"&amp;TEXT(MONTH($B274),"00")&amp;"-"&amp;TEXT(DAY($B274),"00")&amp;"_"&amp;$D274,"فتح الصور ("&amp;$J274&amp;")"))</f>
        <v/>
      </c>
      <c r="Q274" s="24">
        <f>IF($B274="","",MONTH($B274))</f>
        <v/>
      </c>
      <c r="R274" s="24">
        <f>IF($B274="","",YEAR($B274))</f>
        <v/>
      </c>
      <c r="S274" s="25">
        <f>IF($B274="","",$B274-WEEKDAY($B274,3))</f>
        <v/>
      </c>
      <c r="T274" s="24">
        <f>IF($B274="",0,IF(COUNTIFS($B$5:$B274,$B274,$D$5:$D274,$D274)=1,1,0))</f>
        <v/>
      </c>
      <c r="U274" s="24">
        <f>IF($B274="",0,IF(COUNTIFS($B$5:$B274,$B274,$C$5:$C274,$C274)=1,1,0))</f>
        <v/>
      </c>
      <c r="V274" s="24">
        <f>IF(OR($B274="",$G274="",$G274="لا توجد مشاهدات"),0,1)</f>
        <v/>
      </c>
      <c r="W274" s="24">
        <f>IF(AND($B274&lt;&gt;"",$I274="تم تحرير مخالفة"),1,0)</f>
        <v/>
      </c>
      <c r="X274" s="24">
        <f>IF($B274="","",IF($S274=WkStart,COUNTIF($S$5:$S274,WkStart),""))</f>
        <v/>
      </c>
    </row>
    <row r="275">
      <c r="A275" s="16">
        <f>IF($B275="","",ROW()-4)</f>
        <v/>
      </c>
      <c r="B275" s="17" t="n"/>
      <c r="C275" s="18" t="n"/>
      <c r="D275" s="18" t="n"/>
      <c r="E275" s="19" t="n"/>
      <c r="F275" s="19" t="n"/>
      <c r="G275" s="18" t="n"/>
      <c r="H275" s="18" t="n"/>
      <c r="I275" s="18" t="n"/>
      <c r="J275" s="20" t="n"/>
      <c r="K275" s="21" t="n"/>
      <c r="L275" s="21" t="n"/>
      <c r="M275" s="18" t="n"/>
      <c r="N275" s="22">
        <f>IF($B275="","",CHOOSE(WEEKDAY($B275),"الأحد","الاثنين","الثلاثاء","الأربعاء","الخميس","الجمعة","السبت"))</f>
        <v/>
      </c>
      <c r="O275" s="23">
        <f>IF(OR($K275="",$L275=""),"",HYPERLINK("https://maps.google.com/?q="&amp;$K275&amp;","&amp;$L275,"عرض الموقع"))</f>
        <v/>
      </c>
      <c r="P275" s="23">
        <f>IF(OR($B275="",N($J275)=0),"",HYPERLINK(PhotoDir&amp;"/"&amp;YEAR($B275)&amp;"-"&amp;TEXT(MONTH($B275),"00")&amp;"-"&amp;TEXT(DAY($B275),"00")&amp;"_"&amp;$D275,"فتح الصور ("&amp;$J275&amp;")"))</f>
        <v/>
      </c>
      <c r="Q275" s="24">
        <f>IF($B275="","",MONTH($B275))</f>
        <v/>
      </c>
      <c r="R275" s="24">
        <f>IF($B275="","",YEAR($B275))</f>
        <v/>
      </c>
      <c r="S275" s="25">
        <f>IF($B275="","",$B275-WEEKDAY($B275,3))</f>
        <v/>
      </c>
      <c r="T275" s="24">
        <f>IF($B275="",0,IF(COUNTIFS($B$5:$B275,$B275,$D$5:$D275,$D275)=1,1,0))</f>
        <v/>
      </c>
      <c r="U275" s="24">
        <f>IF($B275="",0,IF(COUNTIFS($B$5:$B275,$B275,$C$5:$C275,$C275)=1,1,0))</f>
        <v/>
      </c>
      <c r="V275" s="24">
        <f>IF(OR($B275="",$G275="",$G275="لا توجد مشاهدات"),0,1)</f>
        <v/>
      </c>
      <c r="W275" s="24">
        <f>IF(AND($B275&lt;&gt;"",$I275="تم تحرير مخالفة"),1,0)</f>
        <v/>
      </c>
      <c r="X275" s="24">
        <f>IF($B275="","",IF($S275=WkStart,COUNTIF($S$5:$S275,WkStart),""))</f>
        <v/>
      </c>
    </row>
    <row r="276">
      <c r="A276" s="16">
        <f>IF($B276="","",ROW()-4)</f>
        <v/>
      </c>
      <c r="B276" s="17" t="n"/>
      <c r="C276" s="18" t="n"/>
      <c r="D276" s="18" t="n"/>
      <c r="E276" s="19" t="n"/>
      <c r="F276" s="19" t="n"/>
      <c r="G276" s="18" t="n"/>
      <c r="H276" s="18" t="n"/>
      <c r="I276" s="18" t="n"/>
      <c r="J276" s="20" t="n"/>
      <c r="K276" s="21" t="n"/>
      <c r="L276" s="21" t="n"/>
      <c r="M276" s="18" t="n"/>
      <c r="N276" s="22">
        <f>IF($B276="","",CHOOSE(WEEKDAY($B276),"الأحد","الاثنين","الثلاثاء","الأربعاء","الخميس","الجمعة","السبت"))</f>
        <v/>
      </c>
      <c r="O276" s="23">
        <f>IF(OR($K276="",$L276=""),"",HYPERLINK("https://maps.google.com/?q="&amp;$K276&amp;","&amp;$L276,"عرض الموقع"))</f>
        <v/>
      </c>
      <c r="P276" s="23">
        <f>IF(OR($B276="",N($J276)=0),"",HYPERLINK(PhotoDir&amp;"/"&amp;YEAR($B276)&amp;"-"&amp;TEXT(MONTH($B276),"00")&amp;"-"&amp;TEXT(DAY($B276),"00")&amp;"_"&amp;$D276,"فتح الصور ("&amp;$J276&amp;")"))</f>
        <v/>
      </c>
      <c r="Q276" s="24">
        <f>IF($B276="","",MONTH($B276))</f>
        <v/>
      </c>
      <c r="R276" s="24">
        <f>IF($B276="","",YEAR($B276))</f>
        <v/>
      </c>
      <c r="S276" s="25">
        <f>IF($B276="","",$B276-WEEKDAY($B276,3))</f>
        <v/>
      </c>
      <c r="T276" s="24">
        <f>IF($B276="",0,IF(COUNTIFS($B$5:$B276,$B276,$D$5:$D276,$D276)=1,1,0))</f>
        <v/>
      </c>
      <c r="U276" s="24">
        <f>IF($B276="",0,IF(COUNTIFS($B$5:$B276,$B276,$C$5:$C276,$C276)=1,1,0))</f>
        <v/>
      </c>
      <c r="V276" s="24">
        <f>IF(OR($B276="",$G276="",$G276="لا توجد مشاهدات"),0,1)</f>
        <v/>
      </c>
      <c r="W276" s="24">
        <f>IF(AND($B276&lt;&gt;"",$I276="تم تحرير مخالفة"),1,0)</f>
        <v/>
      </c>
      <c r="X276" s="24">
        <f>IF($B276="","",IF($S276=WkStart,COUNTIF($S$5:$S276,WkStart),""))</f>
        <v/>
      </c>
    </row>
    <row r="277">
      <c r="A277" s="16">
        <f>IF($B277="","",ROW()-4)</f>
        <v/>
      </c>
      <c r="B277" s="17" t="n"/>
      <c r="C277" s="18" t="n"/>
      <c r="D277" s="18" t="n"/>
      <c r="E277" s="19" t="n"/>
      <c r="F277" s="19" t="n"/>
      <c r="G277" s="18" t="n"/>
      <c r="H277" s="18" t="n"/>
      <c r="I277" s="18" t="n"/>
      <c r="J277" s="20" t="n"/>
      <c r="K277" s="21" t="n"/>
      <c r="L277" s="21" t="n"/>
      <c r="M277" s="18" t="n"/>
      <c r="N277" s="22">
        <f>IF($B277="","",CHOOSE(WEEKDAY($B277),"الأحد","الاثنين","الثلاثاء","الأربعاء","الخميس","الجمعة","السبت"))</f>
        <v/>
      </c>
      <c r="O277" s="23">
        <f>IF(OR($K277="",$L277=""),"",HYPERLINK("https://maps.google.com/?q="&amp;$K277&amp;","&amp;$L277,"عرض الموقع"))</f>
        <v/>
      </c>
      <c r="P277" s="23">
        <f>IF(OR($B277="",N($J277)=0),"",HYPERLINK(PhotoDir&amp;"/"&amp;YEAR($B277)&amp;"-"&amp;TEXT(MONTH($B277),"00")&amp;"-"&amp;TEXT(DAY($B277),"00")&amp;"_"&amp;$D277,"فتح الصور ("&amp;$J277&amp;")"))</f>
        <v/>
      </c>
      <c r="Q277" s="24">
        <f>IF($B277="","",MONTH($B277))</f>
        <v/>
      </c>
      <c r="R277" s="24">
        <f>IF($B277="","",YEAR($B277))</f>
        <v/>
      </c>
      <c r="S277" s="25">
        <f>IF($B277="","",$B277-WEEKDAY($B277,3))</f>
        <v/>
      </c>
      <c r="T277" s="24">
        <f>IF($B277="",0,IF(COUNTIFS($B$5:$B277,$B277,$D$5:$D277,$D277)=1,1,0))</f>
        <v/>
      </c>
      <c r="U277" s="24">
        <f>IF($B277="",0,IF(COUNTIFS($B$5:$B277,$B277,$C$5:$C277,$C277)=1,1,0))</f>
        <v/>
      </c>
      <c r="V277" s="24">
        <f>IF(OR($B277="",$G277="",$G277="لا توجد مشاهدات"),0,1)</f>
        <v/>
      </c>
      <c r="W277" s="24">
        <f>IF(AND($B277&lt;&gt;"",$I277="تم تحرير مخالفة"),1,0)</f>
        <v/>
      </c>
      <c r="X277" s="24">
        <f>IF($B277="","",IF($S277=WkStart,COUNTIF($S$5:$S277,WkStart),""))</f>
        <v/>
      </c>
    </row>
    <row r="278">
      <c r="A278" s="16">
        <f>IF($B278="","",ROW()-4)</f>
        <v/>
      </c>
      <c r="B278" s="17" t="n"/>
      <c r="C278" s="18" t="n"/>
      <c r="D278" s="18" t="n"/>
      <c r="E278" s="19" t="n"/>
      <c r="F278" s="19" t="n"/>
      <c r="G278" s="18" t="n"/>
      <c r="H278" s="18" t="n"/>
      <c r="I278" s="18" t="n"/>
      <c r="J278" s="20" t="n"/>
      <c r="K278" s="21" t="n"/>
      <c r="L278" s="21" t="n"/>
      <c r="M278" s="18" t="n"/>
      <c r="N278" s="22">
        <f>IF($B278="","",CHOOSE(WEEKDAY($B278),"الأحد","الاثنين","الثلاثاء","الأربعاء","الخميس","الجمعة","السبت"))</f>
        <v/>
      </c>
      <c r="O278" s="23">
        <f>IF(OR($K278="",$L278=""),"",HYPERLINK("https://maps.google.com/?q="&amp;$K278&amp;","&amp;$L278,"عرض الموقع"))</f>
        <v/>
      </c>
      <c r="P278" s="23">
        <f>IF(OR($B278="",N($J278)=0),"",HYPERLINK(PhotoDir&amp;"/"&amp;YEAR($B278)&amp;"-"&amp;TEXT(MONTH($B278),"00")&amp;"-"&amp;TEXT(DAY($B278),"00")&amp;"_"&amp;$D278,"فتح الصور ("&amp;$J278&amp;")"))</f>
        <v/>
      </c>
      <c r="Q278" s="24">
        <f>IF($B278="","",MONTH($B278))</f>
        <v/>
      </c>
      <c r="R278" s="24">
        <f>IF($B278="","",YEAR($B278))</f>
        <v/>
      </c>
      <c r="S278" s="25">
        <f>IF($B278="","",$B278-WEEKDAY($B278,3))</f>
        <v/>
      </c>
      <c r="T278" s="24">
        <f>IF($B278="",0,IF(COUNTIFS($B$5:$B278,$B278,$D$5:$D278,$D278)=1,1,0))</f>
        <v/>
      </c>
      <c r="U278" s="24">
        <f>IF($B278="",0,IF(COUNTIFS($B$5:$B278,$B278,$C$5:$C278,$C278)=1,1,0))</f>
        <v/>
      </c>
      <c r="V278" s="24">
        <f>IF(OR($B278="",$G278="",$G278="لا توجد مشاهدات"),0,1)</f>
        <v/>
      </c>
      <c r="W278" s="24">
        <f>IF(AND($B278&lt;&gt;"",$I278="تم تحرير مخالفة"),1,0)</f>
        <v/>
      </c>
      <c r="X278" s="24">
        <f>IF($B278="","",IF($S278=WkStart,COUNTIF($S$5:$S278,WkStart),""))</f>
        <v/>
      </c>
    </row>
    <row r="279">
      <c r="A279" s="16">
        <f>IF($B279="","",ROW()-4)</f>
        <v/>
      </c>
      <c r="B279" s="17" t="n"/>
      <c r="C279" s="18" t="n"/>
      <c r="D279" s="18" t="n"/>
      <c r="E279" s="19" t="n"/>
      <c r="F279" s="19" t="n"/>
      <c r="G279" s="18" t="n"/>
      <c r="H279" s="18" t="n"/>
      <c r="I279" s="18" t="n"/>
      <c r="J279" s="20" t="n"/>
      <c r="K279" s="21" t="n"/>
      <c r="L279" s="21" t="n"/>
      <c r="M279" s="18" t="n"/>
      <c r="N279" s="22">
        <f>IF($B279="","",CHOOSE(WEEKDAY($B279),"الأحد","الاثنين","الثلاثاء","الأربعاء","الخميس","الجمعة","السبت"))</f>
        <v/>
      </c>
      <c r="O279" s="23">
        <f>IF(OR($K279="",$L279=""),"",HYPERLINK("https://maps.google.com/?q="&amp;$K279&amp;","&amp;$L279,"عرض الموقع"))</f>
        <v/>
      </c>
      <c r="P279" s="23">
        <f>IF(OR($B279="",N($J279)=0),"",HYPERLINK(PhotoDir&amp;"/"&amp;YEAR($B279)&amp;"-"&amp;TEXT(MONTH($B279),"00")&amp;"-"&amp;TEXT(DAY($B279),"00")&amp;"_"&amp;$D279,"فتح الصور ("&amp;$J279&amp;")"))</f>
        <v/>
      </c>
      <c r="Q279" s="24">
        <f>IF($B279="","",MONTH($B279))</f>
        <v/>
      </c>
      <c r="R279" s="24">
        <f>IF($B279="","",YEAR($B279))</f>
        <v/>
      </c>
      <c r="S279" s="25">
        <f>IF($B279="","",$B279-WEEKDAY($B279,3))</f>
        <v/>
      </c>
      <c r="T279" s="24">
        <f>IF($B279="",0,IF(COUNTIFS($B$5:$B279,$B279,$D$5:$D279,$D279)=1,1,0))</f>
        <v/>
      </c>
      <c r="U279" s="24">
        <f>IF($B279="",0,IF(COUNTIFS($B$5:$B279,$B279,$C$5:$C279,$C279)=1,1,0))</f>
        <v/>
      </c>
      <c r="V279" s="24">
        <f>IF(OR($B279="",$G279="",$G279="لا توجد مشاهدات"),0,1)</f>
        <v/>
      </c>
      <c r="W279" s="24">
        <f>IF(AND($B279&lt;&gt;"",$I279="تم تحرير مخالفة"),1,0)</f>
        <v/>
      </c>
      <c r="X279" s="24">
        <f>IF($B279="","",IF($S279=WkStart,COUNTIF($S$5:$S279,WkStart),""))</f>
        <v/>
      </c>
    </row>
    <row r="280">
      <c r="A280" s="16">
        <f>IF($B280="","",ROW()-4)</f>
        <v/>
      </c>
      <c r="B280" s="17" t="n"/>
      <c r="C280" s="18" t="n"/>
      <c r="D280" s="18" t="n"/>
      <c r="E280" s="19" t="n"/>
      <c r="F280" s="19" t="n"/>
      <c r="G280" s="18" t="n"/>
      <c r="H280" s="18" t="n"/>
      <c r="I280" s="18" t="n"/>
      <c r="J280" s="20" t="n"/>
      <c r="K280" s="21" t="n"/>
      <c r="L280" s="21" t="n"/>
      <c r="M280" s="18" t="n"/>
      <c r="N280" s="22">
        <f>IF($B280="","",CHOOSE(WEEKDAY($B280),"الأحد","الاثنين","الثلاثاء","الأربعاء","الخميس","الجمعة","السبت"))</f>
        <v/>
      </c>
      <c r="O280" s="23">
        <f>IF(OR($K280="",$L280=""),"",HYPERLINK("https://maps.google.com/?q="&amp;$K280&amp;","&amp;$L280,"عرض الموقع"))</f>
        <v/>
      </c>
      <c r="P280" s="23">
        <f>IF(OR($B280="",N($J280)=0),"",HYPERLINK(PhotoDir&amp;"/"&amp;YEAR($B280)&amp;"-"&amp;TEXT(MONTH($B280),"00")&amp;"-"&amp;TEXT(DAY($B280),"00")&amp;"_"&amp;$D280,"فتح الصور ("&amp;$J280&amp;")"))</f>
        <v/>
      </c>
      <c r="Q280" s="24">
        <f>IF($B280="","",MONTH($B280))</f>
        <v/>
      </c>
      <c r="R280" s="24">
        <f>IF($B280="","",YEAR($B280))</f>
        <v/>
      </c>
      <c r="S280" s="25">
        <f>IF($B280="","",$B280-WEEKDAY($B280,3))</f>
        <v/>
      </c>
      <c r="T280" s="24">
        <f>IF($B280="",0,IF(COUNTIFS($B$5:$B280,$B280,$D$5:$D280,$D280)=1,1,0))</f>
        <v/>
      </c>
      <c r="U280" s="24">
        <f>IF($B280="",0,IF(COUNTIFS($B$5:$B280,$B280,$C$5:$C280,$C280)=1,1,0))</f>
        <v/>
      </c>
      <c r="V280" s="24">
        <f>IF(OR($B280="",$G280="",$G280="لا توجد مشاهدات"),0,1)</f>
        <v/>
      </c>
      <c r="W280" s="24">
        <f>IF(AND($B280&lt;&gt;"",$I280="تم تحرير مخالفة"),1,0)</f>
        <v/>
      </c>
      <c r="X280" s="24">
        <f>IF($B280="","",IF($S280=WkStart,COUNTIF($S$5:$S280,WkStart),""))</f>
        <v/>
      </c>
    </row>
    <row r="281">
      <c r="A281" s="16">
        <f>IF($B281="","",ROW()-4)</f>
        <v/>
      </c>
      <c r="B281" s="17" t="n"/>
      <c r="C281" s="18" t="n"/>
      <c r="D281" s="18" t="n"/>
      <c r="E281" s="19" t="n"/>
      <c r="F281" s="19" t="n"/>
      <c r="G281" s="18" t="n"/>
      <c r="H281" s="18" t="n"/>
      <c r="I281" s="18" t="n"/>
      <c r="J281" s="20" t="n"/>
      <c r="K281" s="21" t="n"/>
      <c r="L281" s="21" t="n"/>
      <c r="M281" s="18" t="n"/>
      <c r="N281" s="22">
        <f>IF($B281="","",CHOOSE(WEEKDAY($B281),"الأحد","الاثنين","الثلاثاء","الأربعاء","الخميس","الجمعة","السبت"))</f>
        <v/>
      </c>
      <c r="O281" s="23">
        <f>IF(OR($K281="",$L281=""),"",HYPERLINK("https://maps.google.com/?q="&amp;$K281&amp;","&amp;$L281,"عرض الموقع"))</f>
        <v/>
      </c>
      <c r="P281" s="23">
        <f>IF(OR($B281="",N($J281)=0),"",HYPERLINK(PhotoDir&amp;"/"&amp;YEAR($B281)&amp;"-"&amp;TEXT(MONTH($B281),"00")&amp;"-"&amp;TEXT(DAY($B281),"00")&amp;"_"&amp;$D281,"فتح الصور ("&amp;$J281&amp;")"))</f>
        <v/>
      </c>
      <c r="Q281" s="24">
        <f>IF($B281="","",MONTH($B281))</f>
        <v/>
      </c>
      <c r="R281" s="24">
        <f>IF($B281="","",YEAR($B281))</f>
        <v/>
      </c>
      <c r="S281" s="25">
        <f>IF($B281="","",$B281-WEEKDAY($B281,3))</f>
        <v/>
      </c>
      <c r="T281" s="24">
        <f>IF($B281="",0,IF(COUNTIFS($B$5:$B281,$B281,$D$5:$D281,$D281)=1,1,0))</f>
        <v/>
      </c>
      <c r="U281" s="24">
        <f>IF($B281="",0,IF(COUNTIFS($B$5:$B281,$B281,$C$5:$C281,$C281)=1,1,0))</f>
        <v/>
      </c>
      <c r="V281" s="24">
        <f>IF(OR($B281="",$G281="",$G281="لا توجد مشاهدات"),0,1)</f>
        <v/>
      </c>
      <c r="W281" s="24">
        <f>IF(AND($B281&lt;&gt;"",$I281="تم تحرير مخالفة"),1,0)</f>
        <v/>
      </c>
      <c r="X281" s="24">
        <f>IF($B281="","",IF($S281=WkStart,COUNTIF($S$5:$S281,WkStart),""))</f>
        <v/>
      </c>
    </row>
    <row r="282">
      <c r="A282" s="16">
        <f>IF($B282="","",ROW()-4)</f>
        <v/>
      </c>
      <c r="B282" s="17" t="n"/>
      <c r="C282" s="18" t="n"/>
      <c r="D282" s="18" t="n"/>
      <c r="E282" s="19" t="n"/>
      <c r="F282" s="19" t="n"/>
      <c r="G282" s="18" t="n"/>
      <c r="H282" s="18" t="n"/>
      <c r="I282" s="18" t="n"/>
      <c r="J282" s="20" t="n"/>
      <c r="K282" s="21" t="n"/>
      <c r="L282" s="21" t="n"/>
      <c r="M282" s="18" t="n"/>
      <c r="N282" s="22">
        <f>IF($B282="","",CHOOSE(WEEKDAY($B282),"الأحد","الاثنين","الثلاثاء","الأربعاء","الخميس","الجمعة","السبت"))</f>
        <v/>
      </c>
      <c r="O282" s="23">
        <f>IF(OR($K282="",$L282=""),"",HYPERLINK("https://maps.google.com/?q="&amp;$K282&amp;","&amp;$L282,"عرض الموقع"))</f>
        <v/>
      </c>
      <c r="P282" s="23">
        <f>IF(OR($B282="",N($J282)=0),"",HYPERLINK(PhotoDir&amp;"/"&amp;YEAR($B282)&amp;"-"&amp;TEXT(MONTH($B282),"00")&amp;"-"&amp;TEXT(DAY($B282),"00")&amp;"_"&amp;$D282,"فتح الصور ("&amp;$J282&amp;")"))</f>
        <v/>
      </c>
      <c r="Q282" s="24">
        <f>IF($B282="","",MONTH($B282))</f>
        <v/>
      </c>
      <c r="R282" s="24">
        <f>IF($B282="","",YEAR($B282))</f>
        <v/>
      </c>
      <c r="S282" s="25">
        <f>IF($B282="","",$B282-WEEKDAY($B282,3))</f>
        <v/>
      </c>
      <c r="T282" s="24">
        <f>IF($B282="",0,IF(COUNTIFS($B$5:$B282,$B282,$D$5:$D282,$D282)=1,1,0))</f>
        <v/>
      </c>
      <c r="U282" s="24">
        <f>IF($B282="",0,IF(COUNTIFS($B$5:$B282,$B282,$C$5:$C282,$C282)=1,1,0))</f>
        <v/>
      </c>
      <c r="V282" s="24">
        <f>IF(OR($B282="",$G282="",$G282="لا توجد مشاهدات"),0,1)</f>
        <v/>
      </c>
      <c r="W282" s="24">
        <f>IF(AND($B282&lt;&gt;"",$I282="تم تحرير مخالفة"),1,0)</f>
        <v/>
      </c>
      <c r="X282" s="24">
        <f>IF($B282="","",IF($S282=WkStart,COUNTIF($S$5:$S282,WkStart),""))</f>
        <v/>
      </c>
    </row>
    <row r="283">
      <c r="A283" s="16">
        <f>IF($B283="","",ROW()-4)</f>
        <v/>
      </c>
      <c r="B283" s="17" t="n"/>
      <c r="C283" s="18" t="n"/>
      <c r="D283" s="18" t="n"/>
      <c r="E283" s="19" t="n"/>
      <c r="F283" s="19" t="n"/>
      <c r="G283" s="18" t="n"/>
      <c r="H283" s="18" t="n"/>
      <c r="I283" s="18" t="n"/>
      <c r="J283" s="20" t="n"/>
      <c r="K283" s="21" t="n"/>
      <c r="L283" s="21" t="n"/>
      <c r="M283" s="18" t="n"/>
      <c r="N283" s="22">
        <f>IF($B283="","",CHOOSE(WEEKDAY($B283),"الأحد","الاثنين","الثلاثاء","الأربعاء","الخميس","الجمعة","السبت"))</f>
        <v/>
      </c>
      <c r="O283" s="23">
        <f>IF(OR($K283="",$L283=""),"",HYPERLINK("https://maps.google.com/?q="&amp;$K283&amp;","&amp;$L283,"عرض الموقع"))</f>
        <v/>
      </c>
      <c r="P283" s="23">
        <f>IF(OR($B283="",N($J283)=0),"",HYPERLINK(PhotoDir&amp;"/"&amp;YEAR($B283)&amp;"-"&amp;TEXT(MONTH($B283),"00")&amp;"-"&amp;TEXT(DAY($B283),"00")&amp;"_"&amp;$D283,"فتح الصور ("&amp;$J283&amp;")"))</f>
        <v/>
      </c>
      <c r="Q283" s="24">
        <f>IF($B283="","",MONTH($B283))</f>
        <v/>
      </c>
      <c r="R283" s="24">
        <f>IF($B283="","",YEAR($B283))</f>
        <v/>
      </c>
      <c r="S283" s="25">
        <f>IF($B283="","",$B283-WEEKDAY($B283,3))</f>
        <v/>
      </c>
      <c r="T283" s="24">
        <f>IF($B283="",0,IF(COUNTIFS($B$5:$B283,$B283,$D$5:$D283,$D283)=1,1,0))</f>
        <v/>
      </c>
      <c r="U283" s="24">
        <f>IF($B283="",0,IF(COUNTIFS($B$5:$B283,$B283,$C$5:$C283,$C283)=1,1,0))</f>
        <v/>
      </c>
      <c r="V283" s="24">
        <f>IF(OR($B283="",$G283="",$G283="لا توجد مشاهدات"),0,1)</f>
        <v/>
      </c>
      <c r="W283" s="24">
        <f>IF(AND($B283&lt;&gt;"",$I283="تم تحرير مخالفة"),1,0)</f>
        <v/>
      </c>
      <c r="X283" s="24">
        <f>IF($B283="","",IF($S283=WkStart,COUNTIF($S$5:$S283,WkStart),""))</f>
        <v/>
      </c>
    </row>
    <row r="284">
      <c r="A284" s="16">
        <f>IF($B284="","",ROW()-4)</f>
        <v/>
      </c>
      <c r="B284" s="17" t="n"/>
      <c r="C284" s="18" t="n"/>
      <c r="D284" s="18" t="n"/>
      <c r="E284" s="19" t="n"/>
      <c r="F284" s="19" t="n"/>
      <c r="G284" s="18" t="n"/>
      <c r="H284" s="18" t="n"/>
      <c r="I284" s="18" t="n"/>
      <c r="J284" s="20" t="n"/>
      <c r="K284" s="21" t="n"/>
      <c r="L284" s="21" t="n"/>
      <c r="M284" s="18" t="n"/>
      <c r="N284" s="22">
        <f>IF($B284="","",CHOOSE(WEEKDAY($B284),"الأحد","الاثنين","الثلاثاء","الأربعاء","الخميس","الجمعة","السبت"))</f>
        <v/>
      </c>
      <c r="O284" s="23">
        <f>IF(OR($K284="",$L284=""),"",HYPERLINK("https://maps.google.com/?q="&amp;$K284&amp;","&amp;$L284,"عرض الموقع"))</f>
        <v/>
      </c>
      <c r="P284" s="23">
        <f>IF(OR($B284="",N($J284)=0),"",HYPERLINK(PhotoDir&amp;"/"&amp;YEAR($B284)&amp;"-"&amp;TEXT(MONTH($B284),"00")&amp;"-"&amp;TEXT(DAY($B284),"00")&amp;"_"&amp;$D284,"فتح الصور ("&amp;$J284&amp;")"))</f>
        <v/>
      </c>
      <c r="Q284" s="24">
        <f>IF($B284="","",MONTH($B284))</f>
        <v/>
      </c>
      <c r="R284" s="24">
        <f>IF($B284="","",YEAR($B284))</f>
        <v/>
      </c>
      <c r="S284" s="25">
        <f>IF($B284="","",$B284-WEEKDAY($B284,3))</f>
        <v/>
      </c>
      <c r="T284" s="24">
        <f>IF($B284="",0,IF(COUNTIFS($B$5:$B284,$B284,$D$5:$D284,$D284)=1,1,0))</f>
        <v/>
      </c>
      <c r="U284" s="24">
        <f>IF($B284="",0,IF(COUNTIFS($B$5:$B284,$B284,$C$5:$C284,$C284)=1,1,0))</f>
        <v/>
      </c>
      <c r="V284" s="24">
        <f>IF(OR($B284="",$G284="",$G284="لا توجد مشاهدات"),0,1)</f>
        <v/>
      </c>
      <c r="W284" s="24">
        <f>IF(AND($B284&lt;&gt;"",$I284="تم تحرير مخالفة"),1,0)</f>
        <v/>
      </c>
      <c r="X284" s="24">
        <f>IF($B284="","",IF($S284=WkStart,COUNTIF($S$5:$S284,WkStart),""))</f>
        <v/>
      </c>
    </row>
    <row r="285">
      <c r="A285" s="16">
        <f>IF($B285="","",ROW()-4)</f>
        <v/>
      </c>
      <c r="B285" s="17" t="n"/>
      <c r="C285" s="18" t="n"/>
      <c r="D285" s="18" t="n"/>
      <c r="E285" s="19" t="n"/>
      <c r="F285" s="19" t="n"/>
      <c r="G285" s="18" t="n"/>
      <c r="H285" s="18" t="n"/>
      <c r="I285" s="18" t="n"/>
      <c r="J285" s="20" t="n"/>
      <c r="K285" s="21" t="n"/>
      <c r="L285" s="21" t="n"/>
      <c r="M285" s="18" t="n"/>
      <c r="N285" s="22">
        <f>IF($B285="","",CHOOSE(WEEKDAY($B285),"الأحد","الاثنين","الثلاثاء","الأربعاء","الخميس","الجمعة","السبت"))</f>
        <v/>
      </c>
      <c r="O285" s="23">
        <f>IF(OR($K285="",$L285=""),"",HYPERLINK("https://maps.google.com/?q="&amp;$K285&amp;","&amp;$L285,"عرض الموقع"))</f>
        <v/>
      </c>
      <c r="P285" s="23">
        <f>IF(OR($B285="",N($J285)=0),"",HYPERLINK(PhotoDir&amp;"/"&amp;YEAR($B285)&amp;"-"&amp;TEXT(MONTH($B285),"00")&amp;"-"&amp;TEXT(DAY($B285),"00")&amp;"_"&amp;$D285,"فتح الصور ("&amp;$J285&amp;")"))</f>
        <v/>
      </c>
      <c r="Q285" s="24">
        <f>IF($B285="","",MONTH($B285))</f>
        <v/>
      </c>
      <c r="R285" s="24">
        <f>IF($B285="","",YEAR($B285))</f>
        <v/>
      </c>
      <c r="S285" s="25">
        <f>IF($B285="","",$B285-WEEKDAY($B285,3))</f>
        <v/>
      </c>
      <c r="T285" s="24">
        <f>IF($B285="",0,IF(COUNTIFS($B$5:$B285,$B285,$D$5:$D285,$D285)=1,1,0))</f>
        <v/>
      </c>
      <c r="U285" s="24">
        <f>IF($B285="",0,IF(COUNTIFS($B$5:$B285,$B285,$C$5:$C285,$C285)=1,1,0))</f>
        <v/>
      </c>
      <c r="V285" s="24">
        <f>IF(OR($B285="",$G285="",$G285="لا توجد مشاهدات"),0,1)</f>
        <v/>
      </c>
      <c r="W285" s="24">
        <f>IF(AND($B285&lt;&gt;"",$I285="تم تحرير مخالفة"),1,0)</f>
        <v/>
      </c>
      <c r="X285" s="24">
        <f>IF($B285="","",IF($S285=WkStart,COUNTIF($S$5:$S285,WkStart),""))</f>
        <v/>
      </c>
    </row>
    <row r="286">
      <c r="A286" s="16">
        <f>IF($B286="","",ROW()-4)</f>
        <v/>
      </c>
      <c r="B286" s="17" t="n"/>
      <c r="C286" s="18" t="n"/>
      <c r="D286" s="18" t="n"/>
      <c r="E286" s="19" t="n"/>
      <c r="F286" s="19" t="n"/>
      <c r="G286" s="18" t="n"/>
      <c r="H286" s="18" t="n"/>
      <c r="I286" s="18" t="n"/>
      <c r="J286" s="20" t="n"/>
      <c r="K286" s="21" t="n"/>
      <c r="L286" s="21" t="n"/>
      <c r="M286" s="18" t="n"/>
      <c r="N286" s="22">
        <f>IF($B286="","",CHOOSE(WEEKDAY($B286),"الأحد","الاثنين","الثلاثاء","الأربعاء","الخميس","الجمعة","السبت"))</f>
        <v/>
      </c>
      <c r="O286" s="23">
        <f>IF(OR($K286="",$L286=""),"",HYPERLINK("https://maps.google.com/?q="&amp;$K286&amp;","&amp;$L286,"عرض الموقع"))</f>
        <v/>
      </c>
      <c r="P286" s="23">
        <f>IF(OR($B286="",N($J286)=0),"",HYPERLINK(PhotoDir&amp;"/"&amp;YEAR($B286)&amp;"-"&amp;TEXT(MONTH($B286),"00")&amp;"-"&amp;TEXT(DAY($B286),"00")&amp;"_"&amp;$D286,"فتح الصور ("&amp;$J286&amp;")"))</f>
        <v/>
      </c>
      <c r="Q286" s="24">
        <f>IF($B286="","",MONTH($B286))</f>
        <v/>
      </c>
      <c r="R286" s="24">
        <f>IF($B286="","",YEAR($B286))</f>
        <v/>
      </c>
      <c r="S286" s="25">
        <f>IF($B286="","",$B286-WEEKDAY($B286,3))</f>
        <v/>
      </c>
      <c r="T286" s="24">
        <f>IF($B286="",0,IF(COUNTIFS($B$5:$B286,$B286,$D$5:$D286,$D286)=1,1,0))</f>
        <v/>
      </c>
      <c r="U286" s="24">
        <f>IF($B286="",0,IF(COUNTIFS($B$5:$B286,$B286,$C$5:$C286,$C286)=1,1,0))</f>
        <v/>
      </c>
      <c r="V286" s="24">
        <f>IF(OR($B286="",$G286="",$G286="لا توجد مشاهدات"),0,1)</f>
        <v/>
      </c>
      <c r="W286" s="24">
        <f>IF(AND($B286&lt;&gt;"",$I286="تم تحرير مخالفة"),1,0)</f>
        <v/>
      </c>
      <c r="X286" s="24">
        <f>IF($B286="","",IF($S286=WkStart,COUNTIF($S$5:$S286,WkStart),""))</f>
        <v/>
      </c>
    </row>
    <row r="287">
      <c r="A287" s="16">
        <f>IF($B287="","",ROW()-4)</f>
        <v/>
      </c>
      <c r="B287" s="17" t="n"/>
      <c r="C287" s="18" t="n"/>
      <c r="D287" s="18" t="n"/>
      <c r="E287" s="19" t="n"/>
      <c r="F287" s="19" t="n"/>
      <c r="G287" s="18" t="n"/>
      <c r="H287" s="18" t="n"/>
      <c r="I287" s="18" t="n"/>
      <c r="J287" s="20" t="n"/>
      <c r="K287" s="21" t="n"/>
      <c r="L287" s="21" t="n"/>
      <c r="M287" s="18" t="n"/>
      <c r="N287" s="22">
        <f>IF($B287="","",CHOOSE(WEEKDAY($B287),"الأحد","الاثنين","الثلاثاء","الأربعاء","الخميس","الجمعة","السبت"))</f>
        <v/>
      </c>
      <c r="O287" s="23">
        <f>IF(OR($K287="",$L287=""),"",HYPERLINK("https://maps.google.com/?q="&amp;$K287&amp;","&amp;$L287,"عرض الموقع"))</f>
        <v/>
      </c>
      <c r="P287" s="23">
        <f>IF(OR($B287="",N($J287)=0),"",HYPERLINK(PhotoDir&amp;"/"&amp;YEAR($B287)&amp;"-"&amp;TEXT(MONTH($B287),"00")&amp;"-"&amp;TEXT(DAY($B287),"00")&amp;"_"&amp;$D287,"فتح الصور ("&amp;$J287&amp;")"))</f>
        <v/>
      </c>
      <c r="Q287" s="24">
        <f>IF($B287="","",MONTH($B287))</f>
        <v/>
      </c>
      <c r="R287" s="24">
        <f>IF($B287="","",YEAR($B287))</f>
        <v/>
      </c>
      <c r="S287" s="25">
        <f>IF($B287="","",$B287-WEEKDAY($B287,3))</f>
        <v/>
      </c>
      <c r="T287" s="24">
        <f>IF($B287="",0,IF(COUNTIFS($B$5:$B287,$B287,$D$5:$D287,$D287)=1,1,0))</f>
        <v/>
      </c>
      <c r="U287" s="24">
        <f>IF($B287="",0,IF(COUNTIFS($B$5:$B287,$B287,$C$5:$C287,$C287)=1,1,0))</f>
        <v/>
      </c>
      <c r="V287" s="24">
        <f>IF(OR($B287="",$G287="",$G287="لا توجد مشاهدات"),0,1)</f>
        <v/>
      </c>
      <c r="W287" s="24">
        <f>IF(AND($B287&lt;&gt;"",$I287="تم تحرير مخالفة"),1,0)</f>
        <v/>
      </c>
      <c r="X287" s="24">
        <f>IF($B287="","",IF($S287=WkStart,COUNTIF($S$5:$S287,WkStart),""))</f>
        <v/>
      </c>
    </row>
    <row r="288">
      <c r="A288" s="16">
        <f>IF($B288="","",ROW()-4)</f>
        <v/>
      </c>
      <c r="B288" s="17" t="n"/>
      <c r="C288" s="18" t="n"/>
      <c r="D288" s="18" t="n"/>
      <c r="E288" s="19" t="n"/>
      <c r="F288" s="19" t="n"/>
      <c r="G288" s="18" t="n"/>
      <c r="H288" s="18" t="n"/>
      <c r="I288" s="18" t="n"/>
      <c r="J288" s="20" t="n"/>
      <c r="K288" s="21" t="n"/>
      <c r="L288" s="21" t="n"/>
      <c r="M288" s="18" t="n"/>
      <c r="N288" s="22">
        <f>IF($B288="","",CHOOSE(WEEKDAY($B288),"الأحد","الاثنين","الثلاثاء","الأربعاء","الخميس","الجمعة","السبت"))</f>
        <v/>
      </c>
      <c r="O288" s="23">
        <f>IF(OR($K288="",$L288=""),"",HYPERLINK("https://maps.google.com/?q="&amp;$K288&amp;","&amp;$L288,"عرض الموقع"))</f>
        <v/>
      </c>
      <c r="P288" s="23">
        <f>IF(OR($B288="",N($J288)=0),"",HYPERLINK(PhotoDir&amp;"/"&amp;YEAR($B288)&amp;"-"&amp;TEXT(MONTH($B288),"00")&amp;"-"&amp;TEXT(DAY($B288),"00")&amp;"_"&amp;$D288,"فتح الصور ("&amp;$J288&amp;")"))</f>
        <v/>
      </c>
      <c r="Q288" s="24">
        <f>IF($B288="","",MONTH($B288))</f>
        <v/>
      </c>
      <c r="R288" s="24">
        <f>IF($B288="","",YEAR($B288))</f>
        <v/>
      </c>
      <c r="S288" s="25">
        <f>IF($B288="","",$B288-WEEKDAY($B288,3))</f>
        <v/>
      </c>
      <c r="T288" s="24">
        <f>IF($B288="",0,IF(COUNTIFS($B$5:$B288,$B288,$D$5:$D288,$D288)=1,1,0))</f>
        <v/>
      </c>
      <c r="U288" s="24">
        <f>IF($B288="",0,IF(COUNTIFS($B$5:$B288,$B288,$C$5:$C288,$C288)=1,1,0))</f>
        <v/>
      </c>
      <c r="V288" s="24">
        <f>IF(OR($B288="",$G288="",$G288="لا توجد مشاهدات"),0,1)</f>
        <v/>
      </c>
      <c r="W288" s="24">
        <f>IF(AND($B288&lt;&gt;"",$I288="تم تحرير مخالفة"),1,0)</f>
        <v/>
      </c>
      <c r="X288" s="24">
        <f>IF($B288="","",IF($S288=WkStart,COUNTIF($S$5:$S288,WkStart),""))</f>
        <v/>
      </c>
    </row>
    <row r="289">
      <c r="A289" s="16">
        <f>IF($B289="","",ROW()-4)</f>
        <v/>
      </c>
      <c r="B289" s="17" t="n"/>
      <c r="C289" s="18" t="n"/>
      <c r="D289" s="18" t="n"/>
      <c r="E289" s="19" t="n"/>
      <c r="F289" s="19" t="n"/>
      <c r="G289" s="18" t="n"/>
      <c r="H289" s="18" t="n"/>
      <c r="I289" s="18" t="n"/>
      <c r="J289" s="20" t="n"/>
      <c r="K289" s="21" t="n"/>
      <c r="L289" s="21" t="n"/>
      <c r="M289" s="18" t="n"/>
      <c r="N289" s="22">
        <f>IF($B289="","",CHOOSE(WEEKDAY($B289),"الأحد","الاثنين","الثلاثاء","الأربعاء","الخميس","الجمعة","السبت"))</f>
        <v/>
      </c>
      <c r="O289" s="23">
        <f>IF(OR($K289="",$L289=""),"",HYPERLINK("https://maps.google.com/?q="&amp;$K289&amp;","&amp;$L289,"عرض الموقع"))</f>
        <v/>
      </c>
      <c r="P289" s="23">
        <f>IF(OR($B289="",N($J289)=0),"",HYPERLINK(PhotoDir&amp;"/"&amp;YEAR($B289)&amp;"-"&amp;TEXT(MONTH($B289),"00")&amp;"-"&amp;TEXT(DAY($B289),"00")&amp;"_"&amp;$D289,"فتح الصور ("&amp;$J289&amp;")"))</f>
        <v/>
      </c>
      <c r="Q289" s="24">
        <f>IF($B289="","",MONTH($B289))</f>
        <v/>
      </c>
      <c r="R289" s="24">
        <f>IF($B289="","",YEAR($B289))</f>
        <v/>
      </c>
      <c r="S289" s="25">
        <f>IF($B289="","",$B289-WEEKDAY($B289,3))</f>
        <v/>
      </c>
      <c r="T289" s="24">
        <f>IF($B289="",0,IF(COUNTIFS($B$5:$B289,$B289,$D$5:$D289,$D289)=1,1,0))</f>
        <v/>
      </c>
      <c r="U289" s="24">
        <f>IF($B289="",0,IF(COUNTIFS($B$5:$B289,$B289,$C$5:$C289,$C289)=1,1,0))</f>
        <v/>
      </c>
      <c r="V289" s="24">
        <f>IF(OR($B289="",$G289="",$G289="لا توجد مشاهدات"),0,1)</f>
        <v/>
      </c>
      <c r="W289" s="24">
        <f>IF(AND($B289&lt;&gt;"",$I289="تم تحرير مخالفة"),1,0)</f>
        <v/>
      </c>
      <c r="X289" s="24">
        <f>IF($B289="","",IF($S289=WkStart,COUNTIF($S$5:$S289,WkStart),""))</f>
        <v/>
      </c>
    </row>
    <row r="290">
      <c r="A290" s="16">
        <f>IF($B290="","",ROW()-4)</f>
        <v/>
      </c>
      <c r="B290" s="17" t="n"/>
      <c r="C290" s="18" t="n"/>
      <c r="D290" s="18" t="n"/>
      <c r="E290" s="19" t="n"/>
      <c r="F290" s="19" t="n"/>
      <c r="G290" s="18" t="n"/>
      <c r="H290" s="18" t="n"/>
      <c r="I290" s="18" t="n"/>
      <c r="J290" s="20" t="n"/>
      <c r="K290" s="21" t="n"/>
      <c r="L290" s="21" t="n"/>
      <c r="M290" s="18" t="n"/>
      <c r="N290" s="22">
        <f>IF($B290="","",CHOOSE(WEEKDAY($B290),"الأحد","الاثنين","الثلاثاء","الأربعاء","الخميس","الجمعة","السبت"))</f>
        <v/>
      </c>
      <c r="O290" s="23">
        <f>IF(OR($K290="",$L290=""),"",HYPERLINK("https://maps.google.com/?q="&amp;$K290&amp;","&amp;$L290,"عرض الموقع"))</f>
        <v/>
      </c>
      <c r="P290" s="23">
        <f>IF(OR($B290="",N($J290)=0),"",HYPERLINK(PhotoDir&amp;"/"&amp;YEAR($B290)&amp;"-"&amp;TEXT(MONTH($B290),"00")&amp;"-"&amp;TEXT(DAY($B290),"00")&amp;"_"&amp;$D290,"فتح الصور ("&amp;$J290&amp;")"))</f>
        <v/>
      </c>
      <c r="Q290" s="24">
        <f>IF($B290="","",MONTH($B290))</f>
        <v/>
      </c>
      <c r="R290" s="24">
        <f>IF($B290="","",YEAR($B290))</f>
        <v/>
      </c>
      <c r="S290" s="25">
        <f>IF($B290="","",$B290-WEEKDAY($B290,3))</f>
        <v/>
      </c>
      <c r="T290" s="24">
        <f>IF($B290="",0,IF(COUNTIFS($B$5:$B290,$B290,$D$5:$D290,$D290)=1,1,0))</f>
        <v/>
      </c>
      <c r="U290" s="24">
        <f>IF($B290="",0,IF(COUNTIFS($B$5:$B290,$B290,$C$5:$C290,$C290)=1,1,0))</f>
        <v/>
      </c>
      <c r="V290" s="24">
        <f>IF(OR($B290="",$G290="",$G290="لا توجد مشاهدات"),0,1)</f>
        <v/>
      </c>
      <c r="W290" s="24">
        <f>IF(AND($B290&lt;&gt;"",$I290="تم تحرير مخالفة"),1,0)</f>
        <v/>
      </c>
      <c r="X290" s="24">
        <f>IF($B290="","",IF($S290=WkStart,COUNTIF($S$5:$S290,WkStart),""))</f>
        <v/>
      </c>
    </row>
    <row r="291">
      <c r="A291" s="16">
        <f>IF($B291="","",ROW()-4)</f>
        <v/>
      </c>
      <c r="B291" s="17" t="n"/>
      <c r="C291" s="18" t="n"/>
      <c r="D291" s="18" t="n"/>
      <c r="E291" s="19" t="n"/>
      <c r="F291" s="19" t="n"/>
      <c r="G291" s="18" t="n"/>
      <c r="H291" s="18" t="n"/>
      <c r="I291" s="18" t="n"/>
      <c r="J291" s="20" t="n"/>
      <c r="K291" s="21" t="n"/>
      <c r="L291" s="21" t="n"/>
      <c r="M291" s="18" t="n"/>
      <c r="N291" s="22">
        <f>IF($B291="","",CHOOSE(WEEKDAY($B291),"الأحد","الاثنين","الثلاثاء","الأربعاء","الخميس","الجمعة","السبت"))</f>
        <v/>
      </c>
      <c r="O291" s="23">
        <f>IF(OR($K291="",$L291=""),"",HYPERLINK("https://maps.google.com/?q="&amp;$K291&amp;","&amp;$L291,"عرض الموقع"))</f>
        <v/>
      </c>
      <c r="P291" s="23">
        <f>IF(OR($B291="",N($J291)=0),"",HYPERLINK(PhotoDir&amp;"/"&amp;YEAR($B291)&amp;"-"&amp;TEXT(MONTH($B291),"00")&amp;"-"&amp;TEXT(DAY($B291),"00")&amp;"_"&amp;$D291,"فتح الصور ("&amp;$J291&amp;")"))</f>
        <v/>
      </c>
      <c r="Q291" s="24">
        <f>IF($B291="","",MONTH($B291))</f>
        <v/>
      </c>
      <c r="R291" s="24">
        <f>IF($B291="","",YEAR($B291))</f>
        <v/>
      </c>
      <c r="S291" s="25">
        <f>IF($B291="","",$B291-WEEKDAY($B291,3))</f>
        <v/>
      </c>
      <c r="T291" s="24">
        <f>IF($B291="",0,IF(COUNTIFS($B$5:$B291,$B291,$D$5:$D291,$D291)=1,1,0))</f>
        <v/>
      </c>
      <c r="U291" s="24">
        <f>IF($B291="",0,IF(COUNTIFS($B$5:$B291,$B291,$C$5:$C291,$C291)=1,1,0))</f>
        <v/>
      </c>
      <c r="V291" s="24">
        <f>IF(OR($B291="",$G291="",$G291="لا توجد مشاهدات"),0,1)</f>
        <v/>
      </c>
      <c r="W291" s="24">
        <f>IF(AND($B291&lt;&gt;"",$I291="تم تحرير مخالفة"),1,0)</f>
        <v/>
      </c>
      <c r="X291" s="24">
        <f>IF($B291="","",IF($S291=WkStart,COUNTIF($S$5:$S291,WkStart),""))</f>
        <v/>
      </c>
    </row>
    <row r="292">
      <c r="A292" s="16">
        <f>IF($B292="","",ROW()-4)</f>
        <v/>
      </c>
      <c r="B292" s="17" t="n"/>
      <c r="C292" s="18" t="n"/>
      <c r="D292" s="18" t="n"/>
      <c r="E292" s="19" t="n"/>
      <c r="F292" s="19" t="n"/>
      <c r="G292" s="18" t="n"/>
      <c r="H292" s="18" t="n"/>
      <c r="I292" s="18" t="n"/>
      <c r="J292" s="20" t="n"/>
      <c r="K292" s="21" t="n"/>
      <c r="L292" s="21" t="n"/>
      <c r="M292" s="18" t="n"/>
      <c r="N292" s="22">
        <f>IF($B292="","",CHOOSE(WEEKDAY($B292),"الأحد","الاثنين","الثلاثاء","الأربعاء","الخميس","الجمعة","السبت"))</f>
        <v/>
      </c>
      <c r="O292" s="23">
        <f>IF(OR($K292="",$L292=""),"",HYPERLINK("https://maps.google.com/?q="&amp;$K292&amp;","&amp;$L292,"عرض الموقع"))</f>
        <v/>
      </c>
      <c r="P292" s="23">
        <f>IF(OR($B292="",N($J292)=0),"",HYPERLINK(PhotoDir&amp;"/"&amp;YEAR($B292)&amp;"-"&amp;TEXT(MONTH($B292),"00")&amp;"-"&amp;TEXT(DAY($B292),"00")&amp;"_"&amp;$D292,"فتح الصور ("&amp;$J292&amp;")"))</f>
        <v/>
      </c>
      <c r="Q292" s="24">
        <f>IF($B292="","",MONTH($B292))</f>
        <v/>
      </c>
      <c r="R292" s="24">
        <f>IF($B292="","",YEAR($B292))</f>
        <v/>
      </c>
      <c r="S292" s="25">
        <f>IF($B292="","",$B292-WEEKDAY($B292,3))</f>
        <v/>
      </c>
      <c r="T292" s="24">
        <f>IF($B292="",0,IF(COUNTIFS($B$5:$B292,$B292,$D$5:$D292,$D292)=1,1,0))</f>
        <v/>
      </c>
      <c r="U292" s="24">
        <f>IF($B292="",0,IF(COUNTIFS($B$5:$B292,$B292,$C$5:$C292,$C292)=1,1,0))</f>
        <v/>
      </c>
      <c r="V292" s="24">
        <f>IF(OR($B292="",$G292="",$G292="لا توجد مشاهدات"),0,1)</f>
        <v/>
      </c>
      <c r="W292" s="24">
        <f>IF(AND($B292&lt;&gt;"",$I292="تم تحرير مخالفة"),1,0)</f>
        <v/>
      </c>
      <c r="X292" s="24">
        <f>IF($B292="","",IF($S292=WkStart,COUNTIF($S$5:$S292,WkStart),""))</f>
        <v/>
      </c>
    </row>
    <row r="293">
      <c r="A293" s="16">
        <f>IF($B293="","",ROW()-4)</f>
        <v/>
      </c>
      <c r="B293" s="17" t="n"/>
      <c r="C293" s="18" t="n"/>
      <c r="D293" s="18" t="n"/>
      <c r="E293" s="19" t="n"/>
      <c r="F293" s="19" t="n"/>
      <c r="G293" s="18" t="n"/>
      <c r="H293" s="18" t="n"/>
      <c r="I293" s="18" t="n"/>
      <c r="J293" s="20" t="n"/>
      <c r="K293" s="21" t="n"/>
      <c r="L293" s="21" t="n"/>
      <c r="M293" s="18" t="n"/>
      <c r="N293" s="22">
        <f>IF($B293="","",CHOOSE(WEEKDAY($B293),"الأحد","الاثنين","الثلاثاء","الأربعاء","الخميس","الجمعة","السبت"))</f>
        <v/>
      </c>
      <c r="O293" s="23">
        <f>IF(OR($K293="",$L293=""),"",HYPERLINK("https://maps.google.com/?q="&amp;$K293&amp;","&amp;$L293,"عرض الموقع"))</f>
        <v/>
      </c>
      <c r="P293" s="23">
        <f>IF(OR($B293="",N($J293)=0),"",HYPERLINK(PhotoDir&amp;"/"&amp;YEAR($B293)&amp;"-"&amp;TEXT(MONTH($B293),"00")&amp;"-"&amp;TEXT(DAY($B293),"00")&amp;"_"&amp;$D293,"فتح الصور ("&amp;$J293&amp;")"))</f>
        <v/>
      </c>
      <c r="Q293" s="24">
        <f>IF($B293="","",MONTH($B293))</f>
        <v/>
      </c>
      <c r="R293" s="24">
        <f>IF($B293="","",YEAR($B293))</f>
        <v/>
      </c>
      <c r="S293" s="25">
        <f>IF($B293="","",$B293-WEEKDAY($B293,3))</f>
        <v/>
      </c>
      <c r="T293" s="24">
        <f>IF($B293="",0,IF(COUNTIFS($B$5:$B293,$B293,$D$5:$D293,$D293)=1,1,0))</f>
        <v/>
      </c>
      <c r="U293" s="24">
        <f>IF($B293="",0,IF(COUNTIFS($B$5:$B293,$B293,$C$5:$C293,$C293)=1,1,0))</f>
        <v/>
      </c>
      <c r="V293" s="24">
        <f>IF(OR($B293="",$G293="",$G293="لا توجد مشاهدات"),0,1)</f>
        <v/>
      </c>
      <c r="W293" s="24">
        <f>IF(AND($B293&lt;&gt;"",$I293="تم تحرير مخالفة"),1,0)</f>
        <v/>
      </c>
      <c r="X293" s="24">
        <f>IF($B293="","",IF($S293=WkStart,COUNTIF($S$5:$S293,WkStart),""))</f>
        <v/>
      </c>
    </row>
    <row r="294">
      <c r="A294" s="16">
        <f>IF($B294="","",ROW()-4)</f>
        <v/>
      </c>
      <c r="B294" s="17" t="n"/>
      <c r="C294" s="18" t="n"/>
      <c r="D294" s="18" t="n"/>
      <c r="E294" s="19" t="n"/>
      <c r="F294" s="19" t="n"/>
      <c r="G294" s="18" t="n"/>
      <c r="H294" s="18" t="n"/>
      <c r="I294" s="18" t="n"/>
      <c r="J294" s="20" t="n"/>
      <c r="K294" s="21" t="n"/>
      <c r="L294" s="21" t="n"/>
      <c r="M294" s="18" t="n"/>
      <c r="N294" s="22">
        <f>IF($B294="","",CHOOSE(WEEKDAY($B294),"الأحد","الاثنين","الثلاثاء","الأربعاء","الخميس","الجمعة","السبت"))</f>
        <v/>
      </c>
      <c r="O294" s="23">
        <f>IF(OR($K294="",$L294=""),"",HYPERLINK("https://maps.google.com/?q="&amp;$K294&amp;","&amp;$L294,"عرض الموقع"))</f>
        <v/>
      </c>
      <c r="P294" s="23">
        <f>IF(OR($B294="",N($J294)=0),"",HYPERLINK(PhotoDir&amp;"/"&amp;YEAR($B294)&amp;"-"&amp;TEXT(MONTH($B294),"00")&amp;"-"&amp;TEXT(DAY($B294),"00")&amp;"_"&amp;$D294,"فتح الصور ("&amp;$J294&amp;")"))</f>
        <v/>
      </c>
      <c r="Q294" s="24">
        <f>IF($B294="","",MONTH($B294))</f>
        <v/>
      </c>
      <c r="R294" s="24">
        <f>IF($B294="","",YEAR($B294))</f>
        <v/>
      </c>
      <c r="S294" s="25">
        <f>IF($B294="","",$B294-WEEKDAY($B294,3))</f>
        <v/>
      </c>
      <c r="T294" s="24">
        <f>IF($B294="",0,IF(COUNTIFS($B$5:$B294,$B294,$D$5:$D294,$D294)=1,1,0))</f>
        <v/>
      </c>
      <c r="U294" s="24">
        <f>IF($B294="",0,IF(COUNTIFS($B$5:$B294,$B294,$C$5:$C294,$C294)=1,1,0))</f>
        <v/>
      </c>
      <c r="V294" s="24">
        <f>IF(OR($B294="",$G294="",$G294="لا توجد مشاهدات"),0,1)</f>
        <v/>
      </c>
      <c r="W294" s="24">
        <f>IF(AND($B294&lt;&gt;"",$I294="تم تحرير مخالفة"),1,0)</f>
        <v/>
      </c>
      <c r="X294" s="24">
        <f>IF($B294="","",IF($S294=WkStart,COUNTIF($S$5:$S294,WkStart),""))</f>
        <v/>
      </c>
    </row>
    <row r="295">
      <c r="A295" s="16">
        <f>IF($B295="","",ROW()-4)</f>
        <v/>
      </c>
      <c r="B295" s="17" t="n"/>
      <c r="C295" s="18" t="n"/>
      <c r="D295" s="18" t="n"/>
      <c r="E295" s="19" t="n"/>
      <c r="F295" s="19" t="n"/>
      <c r="G295" s="18" t="n"/>
      <c r="H295" s="18" t="n"/>
      <c r="I295" s="18" t="n"/>
      <c r="J295" s="20" t="n"/>
      <c r="K295" s="21" t="n"/>
      <c r="L295" s="21" t="n"/>
      <c r="M295" s="18" t="n"/>
      <c r="N295" s="22">
        <f>IF($B295="","",CHOOSE(WEEKDAY($B295),"الأحد","الاثنين","الثلاثاء","الأربعاء","الخميس","الجمعة","السبت"))</f>
        <v/>
      </c>
      <c r="O295" s="23">
        <f>IF(OR($K295="",$L295=""),"",HYPERLINK("https://maps.google.com/?q="&amp;$K295&amp;","&amp;$L295,"عرض الموقع"))</f>
        <v/>
      </c>
      <c r="P295" s="23">
        <f>IF(OR($B295="",N($J295)=0),"",HYPERLINK(PhotoDir&amp;"/"&amp;YEAR($B295)&amp;"-"&amp;TEXT(MONTH($B295),"00")&amp;"-"&amp;TEXT(DAY($B295),"00")&amp;"_"&amp;$D295,"فتح الصور ("&amp;$J295&amp;")"))</f>
        <v/>
      </c>
      <c r="Q295" s="24">
        <f>IF($B295="","",MONTH($B295))</f>
        <v/>
      </c>
      <c r="R295" s="24">
        <f>IF($B295="","",YEAR($B295))</f>
        <v/>
      </c>
      <c r="S295" s="25">
        <f>IF($B295="","",$B295-WEEKDAY($B295,3))</f>
        <v/>
      </c>
      <c r="T295" s="24">
        <f>IF($B295="",0,IF(COUNTIFS($B$5:$B295,$B295,$D$5:$D295,$D295)=1,1,0))</f>
        <v/>
      </c>
      <c r="U295" s="24">
        <f>IF($B295="",0,IF(COUNTIFS($B$5:$B295,$B295,$C$5:$C295,$C295)=1,1,0))</f>
        <v/>
      </c>
      <c r="V295" s="24">
        <f>IF(OR($B295="",$G295="",$G295="لا توجد مشاهدات"),0,1)</f>
        <v/>
      </c>
      <c r="W295" s="24">
        <f>IF(AND($B295&lt;&gt;"",$I295="تم تحرير مخالفة"),1,0)</f>
        <v/>
      </c>
      <c r="X295" s="24">
        <f>IF($B295="","",IF($S295=WkStart,COUNTIF($S$5:$S295,WkStart),""))</f>
        <v/>
      </c>
    </row>
    <row r="296">
      <c r="A296" s="16">
        <f>IF($B296="","",ROW()-4)</f>
        <v/>
      </c>
      <c r="B296" s="17" t="n"/>
      <c r="C296" s="18" t="n"/>
      <c r="D296" s="18" t="n"/>
      <c r="E296" s="19" t="n"/>
      <c r="F296" s="19" t="n"/>
      <c r="G296" s="18" t="n"/>
      <c r="H296" s="18" t="n"/>
      <c r="I296" s="18" t="n"/>
      <c r="J296" s="20" t="n"/>
      <c r="K296" s="21" t="n"/>
      <c r="L296" s="21" t="n"/>
      <c r="M296" s="18" t="n"/>
      <c r="N296" s="22">
        <f>IF($B296="","",CHOOSE(WEEKDAY($B296),"الأحد","الاثنين","الثلاثاء","الأربعاء","الخميس","الجمعة","السبت"))</f>
        <v/>
      </c>
      <c r="O296" s="23">
        <f>IF(OR($K296="",$L296=""),"",HYPERLINK("https://maps.google.com/?q="&amp;$K296&amp;","&amp;$L296,"عرض الموقع"))</f>
        <v/>
      </c>
      <c r="P296" s="23">
        <f>IF(OR($B296="",N($J296)=0),"",HYPERLINK(PhotoDir&amp;"/"&amp;YEAR($B296)&amp;"-"&amp;TEXT(MONTH($B296),"00")&amp;"-"&amp;TEXT(DAY($B296),"00")&amp;"_"&amp;$D296,"فتح الصور ("&amp;$J296&amp;")"))</f>
        <v/>
      </c>
      <c r="Q296" s="24">
        <f>IF($B296="","",MONTH($B296))</f>
        <v/>
      </c>
      <c r="R296" s="24">
        <f>IF($B296="","",YEAR($B296))</f>
        <v/>
      </c>
      <c r="S296" s="25">
        <f>IF($B296="","",$B296-WEEKDAY($B296,3))</f>
        <v/>
      </c>
      <c r="T296" s="24">
        <f>IF($B296="",0,IF(COUNTIFS($B$5:$B296,$B296,$D$5:$D296,$D296)=1,1,0))</f>
        <v/>
      </c>
      <c r="U296" s="24">
        <f>IF($B296="",0,IF(COUNTIFS($B$5:$B296,$B296,$C$5:$C296,$C296)=1,1,0))</f>
        <v/>
      </c>
      <c r="V296" s="24">
        <f>IF(OR($B296="",$G296="",$G296="لا توجد مشاهدات"),0,1)</f>
        <v/>
      </c>
      <c r="W296" s="24">
        <f>IF(AND($B296&lt;&gt;"",$I296="تم تحرير مخالفة"),1,0)</f>
        <v/>
      </c>
      <c r="X296" s="24">
        <f>IF($B296="","",IF($S296=WkStart,COUNTIF($S$5:$S296,WkStart),""))</f>
        <v/>
      </c>
    </row>
    <row r="297">
      <c r="A297" s="16">
        <f>IF($B297="","",ROW()-4)</f>
        <v/>
      </c>
      <c r="B297" s="17" t="n"/>
      <c r="C297" s="18" t="n"/>
      <c r="D297" s="18" t="n"/>
      <c r="E297" s="19" t="n"/>
      <c r="F297" s="19" t="n"/>
      <c r="G297" s="18" t="n"/>
      <c r="H297" s="18" t="n"/>
      <c r="I297" s="18" t="n"/>
      <c r="J297" s="20" t="n"/>
      <c r="K297" s="21" t="n"/>
      <c r="L297" s="21" t="n"/>
      <c r="M297" s="18" t="n"/>
      <c r="N297" s="22">
        <f>IF($B297="","",CHOOSE(WEEKDAY($B297),"الأحد","الاثنين","الثلاثاء","الأربعاء","الخميس","الجمعة","السبت"))</f>
        <v/>
      </c>
      <c r="O297" s="23">
        <f>IF(OR($K297="",$L297=""),"",HYPERLINK("https://maps.google.com/?q="&amp;$K297&amp;","&amp;$L297,"عرض الموقع"))</f>
        <v/>
      </c>
      <c r="P297" s="23">
        <f>IF(OR($B297="",N($J297)=0),"",HYPERLINK(PhotoDir&amp;"/"&amp;YEAR($B297)&amp;"-"&amp;TEXT(MONTH($B297),"00")&amp;"-"&amp;TEXT(DAY($B297),"00")&amp;"_"&amp;$D297,"فتح الصور ("&amp;$J297&amp;")"))</f>
        <v/>
      </c>
      <c r="Q297" s="24">
        <f>IF($B297="","",MONTH($B297))</f>
        <v/>
      </c>
      <c r="R297" s="24">
        <f>IF($B297="","",YEAR($B297))</f>
        <v/>
      </c>
      <c r="S297" s="25">
        <f>IF($B297="","",$B297-WEEKDAY($B297,3))</f>
        <v/>
      </c>
      <c r="T297" s="24">
        <f>IF($B297="",0,IF(COUNTIFS($B$5:$B297,$B297,$D$5:$D297,$D297)=1,1,0))</f>
        <v/>
      </c>
      <c r="U297" s="24">
        <f>IF($B297="",0,IF(COUNTIFS($B$5:$B297,$B297,$C$5:$C297,$C297)=1,1,0))</f>
        <v/>
      </c>
      <c r="V297" s="24">
        <f>IF(OR($B297="",$G297="",$G297="لا توجد مشاهدات"),0,1)</f>
        <v/>
      </c>
      <c r="W297" s="24">
        <f>IF(AND($B297&lt;&gt;"",$I297="تم تحرير مخالفة"),1,0)</f>
        <v/>
      </c>
      <c r="X297" s="24">
        <f>IF($B297="","",IF($S297=WkStart,COUNTIF($S$5:$S297,WkStart),""))</f>
        <v/>
      </c>
    </row>
    <row r="298">
      <c r="A298" s="16">
        <f>IF($B298="","",ROW()-4)</f>
        <v/>
      </c>
      <c r="B298" s="17" t="n"/>
      <c r="C298" s="18" t="n"/>
      <c r="D298" s="18" t="n"/>
      <c r="E298" s="19" t="n"/>
      <c r="F298" s="19" t="n"/>
      <c r="G298" s="18" t="n"/>
      <c r="H298" s="18" t="n"/>
      <c r="I298" s="18" t="n"/>
      <c r="J298" s="20" t="n"/>
      <c r="K298" s="21" t="n"/>
      <c r="L298" s="21" t="n"/>
      <c r="M298" s="18" t="n"/>
      <c r="N298" s="22">
        <f>IF($B298="","",CHOOSE(WEEKDAY($B298),"الأحد","الاثنين","الثلاثاء","الأربعاء","الخميس","الجمعة","السبت"))</f>
        <v/>
      </c>
      <c r="O298" s="23">
        <f>IF(OR($K298="",$L298=""),"",HYPERLINK("https://maps.google.com/?q="&amp;$K298&amp;","&amp;$L298,"عرض الموقع"))</f>
        <v/>
      </c>
      <c r="P298" s="23">
        <f>IF(OR($B298="",N($J298)=0),"",HYPERLINK(PhotoDir&amp;"/"&amp;YEAR($B298)&amp;"-"&amp;TEXT(MONTH($B298),"00")&amp;"-"&amp;TEXT(DAY($B298),"00")&amp;"_"&amp;$D298,"فتح الصور ("&amp;$J298&amp;")"))</f>
        <v/>
      </c>
      <c r="Q298" s="24">
        <f>IF($B298="","",MONTH($B298))</f>
        <v/>
      </c>
      <c r="R298" s="24">
        <f>IF($B298="","",YEAR($B298))</f>
        <v/>
      </c>
      <c r="S298" s="25">
        <f>IF($B298="","",$B298-WEEKDAY($B298,3))</f>
        <v/>
      </c>
      <c r="T298" s="24">
        <f>IF($B298="",0,IF(COUNTIFS($B$5:$B298,$B298,$D$5:$D298,$D298)=1,1,0))</f>
        <v/>
      </c>
      <c r="U298" s="24">
        <f>IF($B298="",0,IF(COUNTIFS($B$5:$B298,$B298,$C$5:$C298,$C298)=1,1,0))</f>
        <v/>
      </c>
      <c r="V298" s="24">
        <f>IF(OR($B298="",$G298="",$G298="لا توجد مشاهدات"),0,1)</f>
        <v/>
      </c>
      <c r="W298" s="24">
        <f>IF(AND($B298&lt;&gt;"",$I298="تم تحرير مخالفة"),1,0)</f>
        <v/>
      </c>
      <c r="X298" s="24">
        <f>IF($B298="","",IF($S298=WkStart,COUNTIF($S$5:$S298,WkStart),""))</f>
        <v/>
      </c>
    </row>
    <row r="299">
      <c r="A299" s="16">
        <f>IF($B299="","",ROW()-4)</f>
        <v/>
      </c>
      <c r="B299" s="17" t="n"/>
      <c r="C299" s="18" t="n"/>
      <c r="D299" s="18" t="n"/>
      <c r="E299" s="19" t="n"/>
      <c r="F299" s="19" t="n"/>
      <c r="G299" s="18" t="n"/>
      <c r="H299" s="18" t="n"/>
      <c r="I299" s="18" t="n"/>
      <c r="J299" s="20" t="n"/>
      <c r="K299" s="21" t="n"/>
      <c r="L299" s="21" t="n"/>
      <c r="M299" s="18" t="n"/>
      <c r="N299" s="22">
        <f>IF($B299="","",CHOOSE(WEEKDAY($B299),"الأحد","الاثنين","الثلاثاء","الأربعاء","الخميس","الجمعة","السبت"))</f>
        <v/>
      </c>
      <c r="O299" s="23">
        <f>IF(OR($K299="",$L299=""),"",HYPERLINK("https://maps.google.com/?q="&amp;$K299&amp;","&amp;$L299,"عرض الموقع"))</f>
        <v/>
      </c>
      <c r="P299" s="23">
        <f>IF(OR($B299="",N($J299)=0),"",HYPERLINK(PhotoDir&amp;"/"&amp;YEAR($B299)&amp;"-"&amp;TEXT(MONTH($B299),"00")&amp;"-"&amp;TEXT(DAY($B299),"00")&amp;"_"&amp;$D299,"فتح الصور ("&amp;$J299&amp;")"))</f>
        <v/>
      </c>
      <c r="Q299" s="24">
        <f>IF($B299="","",MONTH($B299))</f>
        <v/>
      </c>
      <c r="R299" s="24">
        <f>IF($B299="","",YEAR($B299))</f>
        <v/>
      </c>
      <c r="S299" s="25">
        <f>IF($B299="","",$B299-WEEKDAY($B299,3))</f>
        <v/>
      </c>
      <c r="T299" s="24">
        <f>IF($B299="",0,IF(COUNTIFS($B$5:$B299,$B299,$D$5:$D299,$D299)=1,1,0))</f>
        <v/>
      </c>
      <c r="U299" s="24">
        <f>IF($B299="",0,IF(COUNTIFS($B$5:$B299,$B299,$C$5:$C299,$C299)=1,1,0))</f>
        <v/>
      </c>
      <c r="V299" s="24">
        <f>IF(OR($B299="",$G299="",$G299="لا توجد مشاهدات"),0,1)</f>
        <v/>
      </c>
      <c r="W299" s="24">
        <f>IF(AND($B299&lt;&gt;"",$I299="تم تحرير مخالفة"),1,0)</f>
        <v/>
      </c>
      <c r="X299" s="24">
        <f>IF($B299="","",IF($S299=WkStart,COUNTIF($S$5:$S299,WkStart),""))</f>
        <v/>
      </c>
    </row>
    <row r="300">
      <c r="A300" s="16">
        <f>IF($B300="","",ROW()-4)</f>
        <v/>
      </c>
      <c r="B300" s="17" t="n"/>
      <c r="C300" s="18" t="n"/>
      <c r="D300" s="18" t="n"/>
      <c r="E300" s="19" t="n"/>
      <c r="F300" s="19" t="n"/>
      <c r="G300" s="18" t="n"/>
      <c r="H300" s="18" t="n"/>
      <c r="I300" s="18" t="n"/>
      <c r="J300" s="20" t="n"/>
      <c r="K300" s="21" t="n"/>
      <c r="L300" s="21" t="n"/>
      <c r="M300" s="18" t="n"/>
      <c r="N300" s="22">
        <f>IF($B300="","",CHOOSE(WEEKDAY($B300),"الأحد","الاثنين","الثلاثاء","الأربعاء","الخميس","الجمعة","السبت"))</f>
        <v/>
      </c>
      <c r="O300" s="23">
        <f>IF(OR($K300="",$L300=""),"",HYPERLINK("https://maps.google.com/?q="&amp;$K300&amp;","&amp;$L300,"عرض الموقع"))</f>
        <v/>
      </c>
      <c r="P300" s="23">
        <f>IF(OR($B300="",N($J300)=0),"",HYPERLINK(PhotoDir&amp;"/"&amp;YEAR($B300)&amp;"-"&amp;TEXT(MONTH($B300),"00")&amp;"-"&amp;TEXT(DAY($B300),"00")&amp;"_"&amp;$D300,"فتح الصور ("&amp;$J300&amp;")"))</f>
        <v/>
      </c>
      <c r="Q300" s="24">
        <f>IF($B300="","",MONTH($B300))</f>
        <v/>
      </c>
      <c r="R300" s="24">
        <f>IF($B300="","",YEAR($B300))</f>
        <v/>
      </c>
      <c r="S300" s="25">
        <f>IF($B300="","",$B300-WEEKDAY($B300,3))</f>
        <v/>
      </c>
      <c r="T300" s="24">
        <f>IF($B300="",0,IF(COUNTIFS($B$5:$B300,$B300,$D$5:$D300,$D300)=1,1,0))</f>
        <v/>
      </c>
      <c r="U300" s="24">
        <f>IF($B300="",0,IF(COUNTIFS($B$5:$B300,$B300,$C$5:$C300,$C300)=1,1,0))</f>
        <v/>
      </c>
      <c r="V300" s="24">
        <f>IF(OR($B300="",$G300="",$G300="لا توجد مشاهدات"),0,1)</f>
        <v/>
      </c>
      <c r="W300" s="24">
        <f>IF(AND($B300&lt;&gt;"",$I300="تم تحرير مخالفة"),1,0)</f>
        <v/>
      </c>
      <c r="X300" s="24">
        <f>IF($B300="","",IF($S300=WkStart,COUNTIF($S$5:$S300,WkStart),""))</f>
        <v/>
      </c>
    </row>
    <row r="301">
      <c r="A301" s="16">
        <f>IF($B301="","",ROW()-4)</f>
        <v/>
      </c>
      <c r="B301" s="17" t="n"/>
      <c r="C301" s="18" t="n"/>
      <c r="D301" s="18" t="n"/>
      <c r="E301" s="19" t="n"/>
      <c r="F301" s="19" t="n"/>
      <c r="G301" s="18" t="n"/>
      <c r="H301" s="18" t="n"/>
      <c r="I301" s="18" t="n"/>
      <c r="J301" s="20" t="n"/>
      <c r="K301" s="21" t="n"/>
      <c r="L301" s="21" t="n"/>
      <c r="M301" s="18" t="n"/>
      <c r="N301" s="22">
        <f>IF($B301="","",CHOOSE(WEEKDAY($B301),"الأحد","الاثنين","الثلاثاء","الأربعاء","الخميس","الجمعة","السبت"))</f>
        <v/>
      </c>
      <c r="O301" s="23">
        <f>IF(OR($K301="",$L301=""),"",HYPERLINK("https://maps.google.com/?q="&amp;$K301&amp;","&amp;$L301,"عرض الموقع"))</f>
        <v/>
      </c>
      <c r="P301" s="23">
        <f>IF(OR($B301="",N($J301)=0),"",HYPERLINK(PhotoDir&amp;"/"&amp;YEAR($B301)&amp;"-"&amp;TEXT(MONTH($B301),"00")&amp;"-"&amp;TEXT(DAY($B301),"00")&amp;"_"&amp;$D301,"فتح الصور ("&amp;$J301&amp;")"))</f>
        <v/>
      </c>
      <c r="Q301" s="24">
        <f>IF($B301="","",MONTH($B301))</f>
        <v/>
      </c>
      <c r="R301" s="24">
        <f>IF($B301="","",YEAR($B301))</f>
        <v/>
      </c>
      <c r="S301" s="25">
        <f>IF($B301="","",$B301-WEEKDAY($B301,3))</f>
        <v/>
      </c>
      <c r="T301" s="24">
        <f>IF($B301="",0,IF(COUNTIFS($B$5:$B301,$B301,$D$5:$D301,$D301)=1,1,0))</f>
        <v/>
      </c>
      <c r="U301" s="24">
        <f>IF($B301="",0,IF(COUNTIFS($B$5:$B301,$B301,$C$5:$C301,$C301)=1,1,0))</f>
        <v/>
      </c>
      <c r="V301" s="24">
        <f>IF(OR($B301="",$G301="",$G301="لا توجد مشاهدات"),0,1)</f>
        <v/>
      </c>
      <c r="W301" s="24">
        <f>IF(AND($B301&lt;&gt;"",$I301="تم تحرير مخالفة"),1,0)</f>
        <v/>
      </c>
      <c r="X301" s="24">
        <f>IF($B301="","",IF($S301=WkStart,COUNTIF($S$5:$S301,WkStart),""))</f>
        <v/>
      </c>
    </row>
    <row r="302">
      <c r="A302" s="16">
        <f>IF($B302="","",ROW()-4)</f>
        <v/>
      </c>
      <c r="B302" s="17" t="n"/>
      <c r="C302" s="18" t="n"/>
      <c r="D302" s="18" t="n"/>
      <c r="E302" s="19" t="n"/>
      <c r="F302" s="19" t="n"/>
      <c r="G302" s="18" t="n"/>
      <c r="H302" s="18" t="n"/>
      <c r="I302" s="18" t="n"/>
      <c r="J302" s="20" t="n"/>
      <c r="K302" s="21" t="n"/>
      <c r="L302" s="21" t="n"/>
      <c r="M302" s="18" t="n"/>
      <c r="N302" s="22">
        <f>IF($B302="","",CHOOSE(WEEKDAY($B302),"الأحد","الاثنين","الثلاثاء","الأربعاء","الخميس","الجمعة","السبت"))</f>
        <v/>
      </c>
      <c r="O302" s="23">
        <f>IF(OR($K302="",$L302=""),"",HYPERLINK("https://maps.google.com/?q="&amp;$K302&amp;","&amp;$L302,"عرض الموقع"))</f>
        <v/>
      </c>
      <c r="P302" s="23">
        <f>IF(OR($B302="",N($J302)=0),"",HYPERLINK(PhotoDir&amp;"/"&amp;YEAR($B302)&amp;"-"&amp;TEXT(MONTH($B302),"00")&amp;"-"&amp;TEXT(DAY($B302),"00")&amp;"_"&amp;$D302,"فتح الصور ("&amp;$J302&amp;")"))</f>
        <v/>
      </c>
      <c r="Q302" s="24">
        <f>IF($B302="","",MONTH($B302))</f>
        <v/>
      </c>
      <c r="R302" s="24">
        <f>IF($B302="","",YEAR($B302))</f>
        <v/>
      </c>
      <c r="S302" s="25">
        <f>IF($B302="","",$B302-WEEKDAY($B302,3))</f>
        <v/>
      </c>
      <c r="T302" s="24">
        <f>IF($B302="",0,IF(COUNTIFS($B$5:$B302,$B302,$D$5:$D302,$D302)=1,1,0))</f>
        <v/>
      </c>
      <c r="U302" s="24">
        <f>IF($B302="",0,IF(COUNTIFS($B$5:$B302,$B302,$C$5:$C302,$C302)=1,1,0))</f>
        <v/>
      </c>
      <c r="V302" s="24">
        <f>IF(OR($B302="",$G302="",$G302="لا توجد مشاهدات"),0,1)</f>
        <v/>
      </c>
      <c r="W302" s="24">
        <f>IF(AND($B302&lt;&gt;"",$I302="تم تحرير مخالفة"),1,0)</f>
        <v/>
      </c>
      <c r="X302" s="24">
        <f>IF($B302="","",IF($S302=WkStart,COUNTIF($S$5:$S302,WkStart),""))</f>
        <v/>
      </c>
    </row>
    <row r="303">
      <c r="A303" s="16">
        <f>IF($B303="","",ROW()-4)</f>
        <v/>
      </c>
      <c r="B303" s="17" t="n"/>
      <c r="C303" s="18" t="n"/>
      <c r="D303" s="18" t="n"/>
      <c r="E303" s="19" t="n"/>
      <c r="F303" s="19" t="n"/>
      <c r="G303" s="18" t="n"/>
      <c r="H303" s="18" t="n"/>
      <c r="I303" s="18" t="n"/>
      <c r="J303" s="20" t="n"/>
      <c r="K303" s="21" t="n"/>
      <c r="L303" s="21" t="n"/>
      <c r="M303" s="18" t="n"/>
      <c r="N303" s="22">
        <f>IF($B303="","",CHOOSE(WEEKDAY($B303),"الأحد","الاثنين","الثلاثاء","الأربعاء","الخميس","الجمعة","السبت"))</f>
        <v/>
      </c>
      <c r="O303" s="23">
        <f>IF(OR($K303="",$L303=""),"",HYPERLINK("https://maps.google.com/?q="&amp;$K303&amp;","&amp;$L303,"عرض الموقع"))</f>
        <v/>
      </c>
      <c r="P303" s="23">
        <f>IF(OR($B303="",N($J303)=0),"",HYPERLINK(PhotoDir&amp;"/"&amp;YEAR($B303)&amp;"-"&amp;TEXT(MONTH($B303),"00")&amp;"-"&amp;TEXT(DAY($B303),"00")&amp;"_"&amp;$D303,"فتح الصور ("&amp;$J303&amp;")"))</f>
        <v/>
      </c>
      <c r="Q303" s="24">
        <f>IF($B303="","",MONTH($B303))</f>
        <v/>
      </c>
      <c r="R303" s="24">
        <f>IF($B303="","",YEAR($B303))</f>
        <v/>
      </c>
      <c r="S303" s="25">
        <f>IF($B303="","",$B303-WEEKDAY($B303,3))</f>
        <v/>
      </c>
      <c r="T303" s="24">
        <f>IF($B303="",0,IF(COUNTIFS($B$5:$B303,$B303,$D$5:$D303,$D303)=1,1,0))</f>
        <v/>
      </c>
      <c r="U303" s="24">
        <f>IF($B303="",0,IF(COUNTIFS($B$5:$B303,$B303,$C$5:$C303,$C303)=1,1,0))</f>
        <v/>
      </c>
      <c r="V303" s="24">
        <f>IF(OR($B303="",$G303="",$G303="لا توجد مشاهدات"),0,1)</f>
        <v/>
      </c>
      <c r="W303" s="24">
        <f>IF(AND($B303&lt;&gt;"",$I303="تم تحرير مخالفة"),1,0)</f>
        <v/>
      </c>
      <c r="X303" s="24">
        <f>IF($B303="","",IF($S303=WkStart,COUNTIF($S$5:$S303,WkStart),""))</f>
        <v/>
      </c>
    </row>
    <row r="304">
      <c r="A304" s="16">
        <f>IF($B304="","",ROW()-4)</f>
        <v/>
      </c>
      <c r="B304" s="17" t="n"/>
      <c r="C304" s="18" t="n"/>
      <c r="D304" s="18" t="n"/>
      <c r="E304" s="19" t="n"/>
      <c r="F304" s="19" t="n"/>
      <c r="G304" s="18" t="n"/>
      <c r="H304" s="18" t="n"/>
      <c r="I304" s="18" t="n"/>
      <c r="J304" s="20" t="n"/>
      <c r="K304" s="21" t="n"/>
      <c r="L304" s="21" t="n"/>
      <c r="M304" s="18" t="n"/>
      <c r="N304" s="22">
        <f>IF($B304="","",CHOOSE(WEEKDAY($B304),"الأحد","الاثنين","الثلاثاء","الأربعاء","الخميس","الجمعة","السبت"))</f>
        <v/>
      </c>
      <c r="O304" s="23">
        <f>IF(OR($K304="",$L304=""),"",HYPERLINK("https://maps.google.com/?q="&amp;$K304&amp;","&amp;$L304,"عرض الموقع"))</f>
        <v/>
      </c>
      <c r="P304" s="23">
        <f>IF(OR($B304="",N($J304)=0),"",HYPERLINK(PhotoDir&amp;"/"&amp;YEAR($B304)&amp;"-"&amp;TEXT(MONTH($B304),"00")&amp;"-"&amp;TEXT(DAY($B304),"00")&amp;"_"&amp;$D304,"فتح الصور ("&amp;$J304&amp;")"))</f>
        <v/>
      </c>
      <c r="Q304" s="24">
        <f>IF($B304="","",MONTH($B304))</f>
        <v/>
      </c>
      <c r="R304" s="24">
        <f>IF($B304="","",YEAR($B304))</f>
        <v/>
      </c>
      <c r="S304" s="25">
        <f>IF($B304="","",$B304-WEEKDAY($B304,3))</f>
        <v/>
      </c>
      <c r="T304" s="24">
        <f>IF($B304="",0,IF(COUNTIFS($B$5:$B304,$B304,$D$5:$D304,$D304)=1,1,0))</f>
        <v/>
      </c>
      <c r="U304" s="24">
        <f>IF($B304="",0,IF(COUNTIFS($B$5:$B304,$B304,$C$5:$C304,$C304)=1,1,0))</f>
        <v/>
      </c>
      <c r="V304" s="24">
        <f>IF(OR($B304="",$G304="",$G304="لا توجد مشاهدات"),0,1)</f>
        <v/>
      </c>
      <c r="W304" s="24">
        <f>IF(AND($B304&lt;&gt;"",$I304="تم تحرير مخالفة"),1,0)</f>
        <v/>
      </c>
      <c r="X304" s="24">
        <f>IF($B304="","",IF($S304=WkStart,COUNTIF($S$5:$S304,WkStart),""))</f>
        <v/>
      </c>
    </row>
    <row r="305">
      <c r="A305" s="16">
        <f>IF($B305="","",ROW()-4)</f>
        <v/>
      </c>
      <c r="B305" s="17" t="n"/>
      <c r="C305" s="18" t="n"/>
      <c r="D305" s="18" t="n"/>
      <c r="E305" s="19" t="n"/>
      <c r="F305" s="19" t="n"/>
      <c r="G305" s="18" t="n"/>
      <c r="H305" s="18" t="n"/>
      <c r="I305" s="18" t="n"/>
      <c r="J305" s="20" t="n"/>
      <c r="K305" s="21" t="n"/>
      <c r="L305" s="21" t="n"/>
      <c r="M305" s="18" t="n"/>
      <c r="N305" s="22">
        <f>IF($B305="","",CHOOSE(WEEKDAY($B305),"الأحد","الاثنين","الثلاثاء","الأربعاء","الخميس","الجمعة","السبت"))</f>
        <v/>
      </c>
      <c r="O305" s="23">
        <f>IF(OR($K305="",$L305=""),"",HYPERLINK("https://maps.google.com/?q="&amp;$K305&amp;","&amp;$L305,"عرض الموقع"))</f>
        <v/>
      </c>
      <c r="P305" s="23">
        <f>IF(OR($B305="",N($J305)=0),"",HYPERLINK(PhotoDir&amp;"/"&amp;YEAR($B305)&amp;"-"&amp;TEXT(MONTH($B305),"00")&amp;"-"&amp;TEXT(DAY($B305),"00")&amp;"_"&amp;$D305,"فتح الصور ("&amp;$J305&amp;")"))</f>
        <v/>
      </c>
      <c r="Q305" s="24">
        <f>IF($B305="","",MONTH($B305))</f>
        <v/>
      </c>
      <c r="R305" s="24">
        <f>IF($B305="","",YEAR($B305))</f>
        <v/>
      </c>
      <c r="S305" s="25">
        <f>IF($B305="","",$B305-WEEKDAY($B305,3))</f>
        <v/>
      </c>
      <c r="T305" s="24">
        <f>IF($B305="",0,IF(COUNTIFS($B$5:$B305,$B305,$D$5:$D305,$D305)=1,1,0))</f>
        <v/>
      </c>
      <c r="U305" s="24">
        <f>IF($B305="",0,IF(COUNTIFS($B$5:$B305,$B305,$C$5:$C305,$C305)=1,1,0))</f>
        <v/>
      </c>
      <c r="V305" s="24">
        <f>IF(OR($B305="",$G305="",$G305="لا توجد مشاهدات"),0,1)</f>
        <v/>
      </c>
      <c r="W305" s="24">
        <f>IF(AND($B305&lt;&gt;"",$I305="تم تحرير مخالفة"),1,0)</f>
        <v/>
      </c>
      <c r="X305" s="24">
        <f>IF($B305="","",IF($S305=WkStart,COUNTIF($S$5:$S305,WkStart),""))</f>
        <v/>
      </c>
    </row>
    <row r="306">
      <c r="A306" s="16">
        <f>IF($B306="","",ROW()-4)</f>
        <v/>
      </c>
      <c r="B306" s="17" t="n"/>
      <c r="C306" s="18" t="n"/>
      <c r="D306" s="18" t="n"/>
      <c r="E306" s="19" t="n"/>
      <c r="F306" s="19" t="n"/>
      <c r="G306" s="18" t="n"/>
      <c r="H306" s="18" t="n"/>
      <c r="I306" s="18" t="n"/>
      <c r="J306" s="20" t="n"/>
      <c r="K306" s="21" t="n"/>
      <c r="L306" s="21" t="n"/>
      <c r="M306" s="18" t="n"/>
      <c r="N306" s="22">
        <f>IF($B306="","",CHOOSE(WEEKDAY($B306),"الأحد","الاثنين","الثلاثاء","الأربعاء","الخميس","الجمعة","السبت"))</f>
        <v/>
      </c>
      <c r="O306" s="23">
        <f>IF(OR($K306="",$L306=""),"",HYPERLINK("https://maps.google.com/?q="&amp;$K306&amp;","&amp;$L306,"عرض الموقع"))</f>
        <v/>
      </c>
      <c r="P306" s="23">
        <f>IF(OR($B306="",N($J306)=0),"",HYPERLINK(PhotoDir&amp;"/"&amp;YEAR($B306)&amp;"-"&amp;TEXT(MONTH($B306),"00")&amp;"-"&amp;TEXT(DAY($B306),"00")&amp;"_"&amp;$D306,"فتح الصور ("&amp;$J306&amp;")"))</f>
        <v/>
      </c>
      <c r="Q306" s="24">
        <f>IF($B306="","",MONTH($B306))</f>
        <v/>
      </c>
      <c r="R306" s="24">
        <f>IF($B306="","",YEAR($B306))</f>
        <v/>
      </c>
      <c r="S306" s="25">
        <f>IF($B306="","",$B306-WEEKDAY($B306,3))</f>
        <v/>
      </c>
      <c r="T306" s="24">
        <f>IF($B306="",0,IF(COUNTIFS($B$5:$B306,$B306,$D$5:$D306,$D306)=1,1,0))</f>
        <v/>
      </c>
      <c r="U306" s="24">
        <f>IF($B306="",0,IF(COUNTIFS($B$5:$B306,$B306,$C$5:$C306,$C306)=1,1,0))</f>
        <v/>
      </c>
      <c r="V306" s="24">
        <f>IF(OR($B306="",$G306="",$G306="لا توجد مشاهدات"),0,1)</f>
        <v/>
      </c>
      <c r="W306" s="24">
        <f>IF(AND($B306&lt;&gt;"",$I306="تم تحرير مخالفة"),1,0)</f>
        <v/>
      </c>
      <c r="X306" s="24">
        <f>IF($B306="","",IF($S306=WkStart,COUNTIF($S$5:$S306,WkStart),""))</f>
        <v/>
      </c>
    </row>
    <row r="307">
      <c r="A307" s="16">
        <f>IF($B307="","",ROW()-4)</f>
        <v/>
      </c>
      <c r="B307" s="17" t="n"/>
      <c r="C307" s="18" t="n"/>
      <c r="D307" s="18" t="n"/>
      <c r="E307" s="19" t="n"/>
      <c r="F307" s="19" t="n"/>
      <c r="G307" s="18" t="n"/>
      <c r="H307" s="18" t="n"/>
      <c r="I307" s="18" t="n"/>
      <c r="J307" s="20" t="n"/>
      <c r="K307" s="21" t="n"/>
      <c r="L307" s="21" t="n"/>
      <c r="M307" s="18" t="n"/>
      <c r="N307" s="22">
        <f>IF($B307="","",CHOOSE(WEEKDAY($B307),"الأحد","الاثنين","الثلاثاء","الأربعاء","الخميس","الجمعة","السبت"))</f>
        <v/>
      </c>
      <c r="O307" s="23">
        <f>IF(OR($K307="",$L307=""),"",HYPERLINK("https://maps.google.com/?q="&amp;$K307&amp;","&amp;$L307,"عرض الموقع"))</f>
        <v/>
      </c>
      <c r="P307" s="23">
        <f>IF(OR($B307="",N($J307)=0),"",HYPERLINK(PhotoDir&amp;"/"&amp;YEAR($B307)&amp;"-"&amp;TEXT(MONTH($B307),"00")&amp;"-"&amp;TEXT(DAY($B307),"00")&amp;"_"&amp;$D307,"فتح الصور ("&amp;$J307&amp;")"))</f>
        <v/>
      </c>
      <c r="Q307" s="24">
        <f>IF($B307="","",MONTH($B307))</f>
        <v/>
      </c>
      <c r="R307" s="24">
        <f>IF($B307="","",YEAR($B307))</f>
        <v/>
      </c>
      <c r="S307" s="25">
        <f>IF($B307="","",$B307-WEEKDAY($B307,3))</f>
        <v/>
      </c>
      <c r="T307" s="24">
        <f>IF($B307="",0,IF(COUNTIFS($B$5:$B307,$B307,$D$5:$D307,$D307)=1,1,0))</f>
        <v/>
      </c>
      <c r="U307" s="24">
        <f>IF($B307="",0,IF(COUNTIFS($B$5:$B307,$B307,$C$5:$C307,$C307)=1,1,0))</f>
        <v/>
      </c>
      <c r="V307" s="24">
        <f>IF(OR($B307="",$G307="",$G307="لا توجد مشاهدات"),0,1)</f>
        <v/>
      </c>
      <c r="W307" s="24">
        <f>IF(AND($B307&lt;&gt;"",$I307="تم تحرير مخالفة"),1,0)</f>
        <v/>
      </c>
      <c r="X307" s="24">
        <f>IF($B307="","",IF($S307=WkStart,COUNTIF($S$5:$S307,WkStart),""))</f>
        <v/>
      </c>
    </row>
    <row r="308">
      <c r="A308" s="16">
        <f>IF($B308="","",ROW()-4)</f>
        <v/>
      </c>
      <c r="B308" s="17" t="n"/>
      <c r="C308" s="18" t="n"/>
      <c r="D308" s="18" t="n"/>
      <c r="E308" s="19" t="n"/>
      <c r="F308" s="19" t="n"/>
      <c r="G308" s="18" t="n"/>
      <c r="H308" s="18" t="n"/>
      <c r="I308" s="18" t="n"/>
      <c r="J308" s="20" t="n"/>
      <c r="K308" s="21" t="n"/>
      <c r="L308" s="21" t="n"/>
      <c r="M308" s="18" t="n"/>
      <c r="N308" s="22">
        <f>IF($B308="","",CHOOSE(WEEKDAY($B308),"الأحد","الاثنين","الثلاثاء","الأربعاء","الخميس","الجمعة","السبت"))</f>
        <v/>
      </c>
      <c r="O308" s="23">
        <f>IF(OR($K308="",$L308=""),"",HYPERLINK("https://maps.google.com/?q="&amp;$K308&amp;","&amp;$L308,"عرض الموقع"))</f>
        <v/>
      </c>
      <c r="P308" s="23">
        <f>IF(OR($B308="",N($J308)=0),"",HYPERLINK(PhotoDir&amp;"/"&amp;YEAR($B308)&amp;"-"&amp;TEXT(MONTH($B308),"00")&amp;"-"&amp;TEXT(DAY($B308),"00")&amp;"_"&amp;$D308,"فتح الصور ("&amp;$J308&amp;")"))</f>
        <v/>
      </c>
      <c r="Q308" s="24">
        <f>IF($B308="","",MONTH($B308))</f>
        <v/>
      </c>
      <c r="R308" s="24">
        <f>IF($B308="","",YEAR($B308))</f>
        <v/>
      </c>
      <c r="S308" s="25">
        <f>IF($B308="","",$B308-WEEKDAY($B308,3))</f>
        <v/>
      </c>
      <c r="T308" s="24">
        <f>IF($B308="",0,IF(COUNTIFS($B$5:$B308,$B308,$D$5:$D308,$D308)=1,1,0))</f>
        <v/>
      </c>
      <c r="U308" s="24">
        <f>IF($B308="",0,IF(COUNTIFS($B$5:$B308,$B308,$C$5:$C308,$C308)=1,1,0))</f>
        <v/>
      </c>
      <c r="V308" s="24">
        <f>IF(OR($B308="",$G308="",$G308="لا توجد مشاهدات"),0,1)</f>
        <v/>
      </c>
      <c r="W308" s="24">
        <f>IF(AND($B308&lt;&gt;"",$I308="تم تحرير مخالفة"),1,0)</f>
        <v/>
      </c>
      <c r="X308" s="24">
        <f>IF($B308="","",IF($S308=WkStart,COUNTIF($S$5:$S308,WkStart),""))</f>
        <v/>
      </c>
    </row>
    <row r="309">
      <c r="A309" s="16">
        <f>IF($B309="","",ROW()-4)</f>
        <v/>
      </c>
      <c r="B309" s="17" t="n"/>
      <c r="C309" s="18" t="n"/>
      <c r="D309" s="18" t="n"/>
      <c r="E309" s="19" t="n"/>
      <c r="F309" s="19" t="n"/>
      <c r="G309" s="18" t="n"/>
      <c r="H309" s="18" t="n"/>
      <c r="I309" s="18" t="n"/>
      <c r="J309" s="20" t="n"/>
      <c r="K309" s="21" t="n"/>
      <c r="L309" s="21" t="n"/>
      <c r="M309" s="18" t="n"/>
      <c r="N309" s="22">
        <f>IF($B309="","",CHOOSE(WEEKDAY($B309),"الأحد","الاثنين","الثلاثاء","الأربعاء","الخميس","الجمعة","السبت"))</f>
        <v/>
      </c>
      <c r="O309" s="23">
        <f>IF(OR($K309="",$L309=""),"",HYPERLINK("https://maps.google.com/?q="&amp;$K309&amp;","&amp;$L309,"عرض الموقع"))</f>
        <v/>
      </c>
      <c r="P309" s="23">
        <f>IF(OR($B309="",N($J309)=0),"",HYPERLINK(PhotoDir&amp;"/"&amp;YEAR($B309)&amp;"-"&amp;TEXT(MONTH($B309),"00")&amp;"-"&amp;TEXT(DAY($B309),"00")&amp;"_"&amp;$D309,"فتح الصور ("&amp;$J309&amp;")"))</f>
        <v/>
      </c>
      <c r="Q309" s="24">
        <f>IF($B309="","",MONTH($B309))</f>
        <v/>
      </c>
      <c r="R309" s="24">
        <f>IF($B309="","",YEAR($B309))</f>
        <v/>
      </c>
      <c r="S309" s="25">
        <f>IF($B309="","",$B309-WEEKDAY($B309,3))</f>
        <v/>
      </c>
      <c r="T309" s="24">
        <f>IF($B309="",0,IF(COUNTIFS($B$5:$B309,$B309,$D$5:$D309,$D309)=1,1,0))</f>
        <v/>
      </c>
      <c r="U309" s="24">
        <f>IF($B309="",0,IF(COUNTIFS($B$5:$B309,$B309,$C$5:$C309,$C309)=1,1,0))</f>
        <v/>
      </c>
      <c r="V309" s="24">
        <f>IF(OR($B309="",$G309="",$G309="لا توجد مشاهدات"),0,1)</f>
        <v/>
      </c>
      <c r="W309" s="24">
        <f>IF(AND($B309&lt;&gt;"",$I309="تم تحرير مخالفة"),1,0)</f>
        <v/>
      </c>
      <c r="X309" s="24">
        <f>IF($B309="","",IF($S309=WkStart,COUNTIF($S$5:$S309,WkStart),""))</f>
        <v/>
      </c>
    </row>
    <row r="310">
      <c r="A310" s="16">
        <f>IF($B310="","",ROW()-4)</f>
        <v/>
      </c>
      <c r="B310" s="17" t="n"/>
      <c r="C310" s="18" t="n"/>
      <c r="D310" s="18" t="n"/>
      <c r="E310" s="19" t="n"/>
      <c r="F310" s="19" t="n"/>
      <c r="G310" s="18" t="n"/>
      <c r="H310" s="18" t="n"/>
      <c r="I310" s="18" t="n"/>
      <c r="J310" s="20" t="n"/>
      <c r="K310" s="21" t="n"/>
      <c r="L310" s="21" t="n"/>
      <c r="M310" s="18" t="n"/>
      <c r="N310" s="22">
        <f>IF($B310="","",CHOOSE(WEEKDAY($B310),"الأحد","الاثنين","الثلاثاء","الأربعاء","الخميس","الجمعة","السبت"))</f>
        <v/>
      </c>
      <c r="O310" s="23">
        <f>IF(OR($K310="",$L310=""),"",HYPERLINK("https://maps.google.com/?q="&amp;$K310&amp;","&amp;$L310,"عرض الموقع"))</f>
        <v/>
      </c>
      <c r="P310" s="23">
        <f>IF(OR($B310="",N($J310)=0),"",HYPERLINK(PhotoDir&amp;"/"&amp;YEAR($B310)&amp;"-"&amp;TEXT(MONTH($B310),"00")&amp;"-"&amp;TEXT(DAY($B310),"00")&amp;"_"&amp;$D310,"فتح الصور ("&amp;$J310&amp;")"))</f>
        <v/>
      </c>
      <c r="Q310" s="24">
        <f>IF($B310="","",MONTH($B310))</f>
        <v/>
      </c>
      <c r="R310" s="24">
        <f>IF($B310="","",YEAR($B310))</f>
        <v/>
      </c>
      <c r="S310" s="25">
        <f>IF($B310="","",$B310-WEEKDAY($B310,3))</f>
        <v/>
      </c>
      <c r="T310" s="24">
        <f>IF($B310="",0,IF(COUNTIFS($B$5:$B310,$B310,$D$5:$D310,$D310)=1,1,0))</f>
        <v/>
      </c>
      <c r="U310" s="24">
        <f>IF($B310="",0,IF(COUNTIFS($B$5:$B310,$B310,$C$5:$C310,$C310)=1,1,0))</f>
        <v/>
      </c>
      <c r="V310" s="24">
        <f>IF(OR($B310="",$G310="",$G310="لا توجد مشاهدات"),0,1)</f>
        <v/>
      </c>
      <c r="W310" s="24">
        <f>IF(AND($B310&lt;&gt;"",$I310="تم تحرير مخالفة"),1,0)</f>
        <v/>
      </c>
      <c r="X310" s="24">
        <f>IF($B310="","",IF($S310=WkStart,COUNTIF($S$5:$S310,WkStart),""))</f>
        <v/>
      </c>
    </row>
    <row r="311">
      <c r="A311" s="16">
        <f>IF($B311="","",ROW()-4)</f>
        <v/>
      </c>
      <c r="B311" s="17" t="n"/>
      <c r="C311" s="18" t="n"/>
      <c r="D311" s="18" t="n"/>
      <c r="E311" s="19" t="n"/>
      <c r="F311" s="19" t="n"/>
      <c r="G311" s="18" t="n"/>
      <c r="H311" s="18" t="n"/>
      <c r="I311" s="18" t="n"/>
      <c r="J311" s="20" t="n"/>
      <c r="K311" s="21" t="n"/>
      <c r="L311" s="21" t="n"/>
      <c r="M311" s="18" t="n"/>
      <c r="N311" s="22">
        <f>IF($B311="","",CHOOSE(WEEKDAY($B311),"الأحد","الاثنين","الثلاثاء","الأربعاء","الخميس","الجمعة","السبت"))</f>
        <v/>
      </c>
      <c r="O311" s="23">
        <f>IF(OR($K311="",$L311=""),"",HYPERLINK("https://maps.google.com/?q="&amp;$K311&amp;","&amp;$L311,"عرض الموقع"))</f>
        <v/>
      </c>
      <c r="P311" s="23">
        <f>IF(OR($B311="",N($J311)=0),"",HYPERLINK(PhotoDir&amp;"/"&amp;YEAR($B311)&amp;"-"&amp;TEXT(MONTH($B311),"00")&amp;"-"&amp;TEXT(DAY($B311),"00")&amp;"_"&amp;$D311,"فتح الصور ("&amp;$J311&amp;")"))</f>
        <v/>
      </c>
      <c r="Q311" s="24">
        <f>IF($B311="","",MONTH($B311))</f>
        <v/>
      </c>
      <c r="R311" s="24">
        <f>IF($B311="","",YEAR($B311))</f>
        <v/>
      </c>
      <c r="S311" s="25">
        <f>IF($B311="","",$B311-WEEKDAY($B311,3))</f>
        <v/>
      </c>
      <c r="T311" s="24">
        <f>IF($B311="",0,IF(COUNTIFS($B$5:$B311,$B311,$D$5:$D311,$D311)=1,1,0))</f>
        <v/>
      </c>
      <c r="U311" s="24">
        <f>IF($B311="",0,IF(COUNTIFS($B$5:$B311,$B311,$C$5:$C311,$C311)=1,1,0))</f>
        <v/>
      </c>
      <c r="V311" s="24">
        <f>IF(OR($B311="",$G311="",$G311="لا توجد مشاهدات"),0,1)</f>
        <v/>
      </c>
      <c r="W311" s="24">
        <f>IF(AND($B311&lt;&gt;"",$I311="تم تحرير مخالفة"),1,0)</f>
        <v/>
      </c>
      <c r="X311" s="24">
        <f>IF($B311="","",IF($S311=WkStart,COUNTIF($S$5:$S311,WkStart),""))</f>
        <v/>
      </c>
    </row>
    <row r="312">
      <c r="A312" s="16">
        <f>IF($B312="","",ROW()-4)</f>
        <v/>
      </c>
      <c r="B312" s="17" t="n"/>
      <c r="C312" s="18" t="n"/>
      <c r="D312" s="18" t="n"/>
      <c r="E312" s="19" t="n"/>
      <c r="F312" s="19" t="n"/>
      <c r="G312" s="18" t="n"/>
      <c r="H312" s="18" t="n"/>
      <c r="I312" s="18" t="n"/>
      <c r="J312" s="20" t="n"/>
      <c r="K312" s="21" t="n"/>
      <c r="L312" s="21" t="n"/>
      <c r="M312" s="18" t="n"/>
      <c r="N312" s="22">
        <f>IF($B312="","",CHOOSE(WEEKDAY($B312),"الأحد","الاثنين","الثلاثاء","الأربعاء","الخميس","الجمعة","السبت"))</f>
        <v/>
      </c>
      <c r="O312" s="23">
        <f>IF(OR($K312="",$L312=""),"",HYPERLINK("https://maps.google.com/?q="&amp;$K312&amp;","&amp;$L312,"عرض الموقع"))</f>
        <v/>
      </c>
      <c r="P312" s="23">
        <f>IF(OR($B312="",N($J312)=0),"",HYPERLINK(PhotoDir&amp;"/"&amp;YEAR($B312)&amp;"-"&amp;TEXT(MONTH($B312),"00")&amp;"-"&amp;TEXT(DAY($B312),"00")&amp;"_"&amp;$D312,"فتح الصور ("&amp;$J312&amp;")"))</f>
        <v/>
      </c>
      <c r="Q312" s="24">
        <f>IF($B312="","",MONTH($B312))</f>
        <v/>
      </c>
      <c r="R312" s="24">
        <f>IF($B312="","",YEAR($B312))</f>
        <v/>
      </c>
      <c r="S312" s="25">
        <f>IF($B312="","",$B312-WEEKDAY($B312,3))</f>
        <v/>
      </c>
      <c r="T312" s="24">
        <f>IF($B312="",0,IF(COUNTIFS($B$5:$B312,$B312,$D$5:$D312,$D312)=1,1,0))</f>
        <v/>
      </c>
      <c r="U312" s="24">
        <f>IF($B312="",0,IF(COUNTIFS($B$5:$B312,$B312,$C$5:$C312,$C312)=1,1,0))</f>
        <v/>
      </c>
      <c r="V312" s="24">
        <f>IF(OR($B312="",$G312="",$G312="لا توجد مشاهدات"),0,1)</f>
        <v/>
      </c>
      <c r="W312" s="24">
        <f>IF(AND($B312&lt;&gt;"",$I312="تم تحرير مخالفة"),1,0)</f>
        <v/>
      </c>
      <c r="X312" s="24">
        <f>IF($B312="","",IF($S312=WkStart,COUNTIF($S$5:$S312,WkStart),""))</f>
        <v/>
      </c>
    </row>
    <row r="313">
      <c r="A313" s="16">
        <f>IF($B313="","",ROW()-4)</f>
        <v/>
      </c>
      <c r="B313" s="17" t="n"/>
      <c r="C313" s="18" t="n"/>
      <c r="D313" s="18" t="n"/>
      <c r="E313" s="19" t="n"/>
      <c r="F313" s="19" t="n"/>
      <c r="G313" s="18" t="n"/>
      <c r="H313" s="18" t="n"/>
      <c r="I313" s="18" t="n"/>
      <c r="J313" s="20" t="n"/>
      <c r="K313" s="21" t="n"/>
      <c r="L313" s="21" t="n"/>
      <c r="M313" s="18" t="n"/>
      <c r="N313" s="22">
        <f>IF($B313="","",CHOOSE(WEEKDAY($B313),"الأحد","الاثنين","الثلاثاء","الأربعاء","الخميس","الجمعة","السبت"))</f>
        <v/>
      </c>
      <c r="O313" s="23">
        <f>IF(OR($K313="",$L313=""),"",HYPERLINK("https://maps.google.com/?q="&amp;$K313&amp;","&amp;$L313,"عرض الموقع"))</f>
        <v/>
      </c>
      <c r="P313" s="23">
        <f>IF(OR($B313="",N($J313)=0),"",HYPERLINK(PhotoDir&amp;"/"&amp;YEAR($B313)&amp;"-"&amp;TEXT(MONTH($B313),"00")&amp;"-"&amp;TEXT(DAY($B313),"00")&amp;"_"&amp;$D313,"فتح الصور ("&amp;$J313&amp;")"))</f>
        <v/>
      </c>
      <c r="Q313" s="24">
        <f>IF($B313="","",MONTH($B313))</f>
        <v/>
      </c>
      <c r="R313" s="24">
        <f>IF($B313="","",YEAR($B313))</f>
        <v/>
      </c>
      <c r="S313" s="25">
        <f>IF($B313="","",$B313-WEEKDAY($B313,3))</f>
        <v/>
      </c>
      <c r="T313" s="24">
        <f>IF($B313="",0,IF(COUNTIFS($B$5:$B313,$B313,$D$5:$D313,$D313)=1,1,0))</f>
        <v/>
      </c>
      <c r="U313" s="24">
        <f>IF($B313="",0,IF(COUNTIFS($B$5:$B313,$B313,$C$5:$C313,$C313)=1,1,0))</f>
        <v/>
      </c>
      <c r="V313" s="24">
        <f>IF(OR($B313="",$G313="",$G313="لا توجد مشاهدات"),0,1)</f>
        <v/>
      </c>
      <c r="W313" s="24">
        <f>IF(AND($B313&lt;&gt;"",$I313="تم تحرير مخالفة"),1,0)</f>
        <v/>
      </c>
      <c r="X313" s="24">
        <f>IF($B313="","",IF($S313=WkStart,COUNTIF($S$5:$S313,WkStart),""))</f>
        <v/>
      </c>
    </row>
    <row r="314">
      <c r="A314" s="16">
        <f>IF($B314="","",ROW()-4)</f>
        <v/>
      </c>
      <c r="B314" s="17" t="n"/>
      <c r="C314" s="18" t="n"/>
      <c r="D314" s="18" t="n"/>
      <c r="E314" s="19" t="n"/>
      <c r="F314" s="19" t="n"/>
      <c r="G314" s="18" t="n"/>
      <c r="H314" s="18" t="n"/>
      <c r="I314" s="18" t="n"/>
      <c r="J314" s="20" t="n"/>
      <c r="K314" s="21" t="n"/>
      <c r="L314" s="21" t="n"/>
      <c r="M314" s="18" t="n"/>
      <c r="N314" s="22">
        <f>IF($B314="","",CHOOSE(WEEKDAY($B314),"الأحد","الاثنين","الثلاثاء","الأربعاء","الخميس","الجمعة","السبت"))</f>
        <v/>
      </c>
      <c r="O314" s="23">
        <f>IF(OR($K314="",$L314=""),"",HYPERLINK("https://maps.google.com/?q="&amp;$K314&amp;","&amp;$L314,"عرض الموقع"))</f>
        <v/>
      </c>
      <c r="P314" s="23">
        <f>IF(OR($B314="",N($J314)=0),"",HYPERLINK(PhotoDir&amp;"/"&amp;YEAR($B314)&amp;"-"&amp;TEXT(MONTH($B314),"00")&amp;"-"&amp;TEXT(DAY($B314),"00")&amp;"_"&amp;$D314,"فتح الصور ("&amp;$J314&amp;")"))</f>
        <v/>
      </c>
      <c r="Q314" s="24">
        <f>IF($B314="","",MONTH($B314))</f>
        <v/>
      </c>
      <c r="R314" s="24">
        <f>IF($B314="","",YEAR($B314))</f>
        <v/>
      </c>
      <c r="S314" s="25">
        <f>IF($B314="","",$B314-WEEKDAY($B314,3))</f>
        <v/>
      </c>
      <c r="T314" s="24">
        <f>IF($B314="",0,IF(COUNTIFS($B$5:$B314,$B314,$D$5:$D314,$D314)=1,1,0))</f>
        <v/>
      </c>
      <c r="U314" s="24">
        <f>IF($B314="",0,IF(COUNTIFS($B$5:$B314,$B314,$C$5:$C314,$C314)=1,1,0))</f>
        <v/>
      </c>
      <c r="V314" s="24">
        <f>IF(OR($B314="",$G314="",$G314="لا توجد مشاهدات"),0,1)</f>
        <v/>
      </c>
      <c r="W314" s="24">
        <f>IF(AND($B314&lt;&gt;"",$I314="تم تحرير مخالفة"),1,0)</f>
        <v/>
      </c>
      <c r="X314" s="24">
        <f>IF($B314="","",IF($S314=WkStart,COUNTIF($S$5:$S314,WkStart),""))</f>
        <v/>
      </c>
    </row>
    <row r="315">
      <c r="A315" s="16">
        <f>IF($B315="","",ROW()-4)</f>
        <v/>
      </c>
      <c r="B315" s="17" t="n"/>
      <c r="C315" s="18" t="n"/>
      <c r="D315" s="18" t="n"/>
      <c r="E315" s="19" t="n"/>
      <c r="F315" s="19" t="n"/>
      <c r="G315" s="18" t="n"/>
      <c r="H315" s="18" t="n"/>
      <c r="I315" s="18" t="n"/>
      <c r="J315" s="20" t="n"/>
      <c r="K315" s="21" t="n"/>
      <c r="L315" s="21" t="n"/>
      <c r="M315" s="18" t="n"/>
      <c r="N315" s="22">
        <f>IF($B315="","",CHOOSE(WEEKDAY($B315),"الأحد","الاثنين","الثلاثاء","الأربعاء","الخميس","الجمعة","السبت"))</f>
        <v/>
      </c>
      <c r="O315" s="23">
        <f>IF(OR($K315="",$L315=""),"",HYPERLINK("https://maps.google.com/?q="&amp;$K315&amp;","&amp;$L315,"عرض الموقع"))</f>
        <v/>
      </c>
      <c r="P315" s="23">
        <f>IF(OR($B315="",N($J315)=0),"",HYPERLINK(PhotoDir&amp;"/"&amp;YEAR($B315)&amp;"-"&amp;TEXT(MONTH($B315),"00")&amp;"-"&amp;TEXT(DAY($B315),"00")&amp;"_"&amp;$D315,"فتح الصور ("&amp;$J315&amp;")"))</f>
        <v/>
      </c>
      <c r="Q315" s="24">
        <f>IF($B315="","",MONTH($B315))</f>
        <v/>
      </c>
      <c r="R315" s="24">
        <f>IF($B315="","",YEAR($B315))</f>
        <v/>
      </c>
      <c r="S315" s="25">
        <f>IF($B315="","",$B315-WEEKDAY($B315,3))</f>
        <v/>
      </c>
      <c r="T315" s="24">
        <f>IF($B315="",0,IF(COUNTIFS($B$5:$B315,$B315,$D$5:$D315,$D315)=1,1,0))</f>
        <v/>
      </c>
      <c r="U315" s="24">
        <f>IF($B315="",0,IF(COUNTIFS($B$5:$B315,$B315,$C$5:$C315,$C315)=1,1,0))</f>
        <v/>
      </c>
      <c r="V315" s="24">
        <f>IF(OR($B315="",$G315="",$G315="لا توجد مشاهدات"),0,1)</f>
        <v/>
      </c>
      <c r="W315" s="24">
        <f>IF(AND($B315&lt;&gt;"",$I315="تم تحرير مخالفة"),1,0)</f>
        <v/>
      </c>
      <c r="X315" s="24">
        <f>IF($B315="","",IF($S315=WkStart,COUNTIF($S$5:$S315,WkStart),""))</f>
        <v/>
      </c>
    </row>
    <row r="316">
      <c r="A316" s="16">
        <f>IF($B316="","",ROW()-4)</f>
        <v/>
      </c>
      <c r="B316" s="17" t="n"/>
      <c r="C316" s="18" t="n"/>
      <c r="D316" s="18" t="n"/>
      <c r="E316" s="19" t="n"/>
      <c r="F316" s="19" t="n"/>
      <c r="G316" s="18" t="n"/>
      <c r="H316" s="18" t="n"/>
      <c r="I316" s="18" t="n"/>
      <c r="J316" s="20" t="n"/>
      <c r="K316" s="21" t="n"/>
      <c r="L316" s="21" t="n"/>
      <c r="M316" s="18" t="n"/>
      <c r="N316" s="22">
        <f>IF($B316="","",CHOOSE(WEEKDAY($B316),"الأحد","الاثنين","الثلاثاء","الأربعاء","الخميس","الجمعة","السبت"))</f>
        <v/>
      </c>
      <c r="O316" s="23">
        <f>IF(OR($K316="",$L316=""),"",HYPERLINK("https://maps.google.com/?q="&amp;$K316&amp;","&amp;$L316,"عرض الموقع"))</f>
        <v/>
      </c>
      <c r="P316" s="23">
        <f>IF(OR($B316="",N($J316)=0),"",HYPERLINK(PhotoDir&amp;"/"&amp;YEAR($B316)&amp;"-"&amp;TEXT(MONTH($B316),"00")&amp;"-"&amp;TEXT(DAY($B316),"00")&amp;"_"&amp;$D316,"فتح الصور ("&amp;$J316&amp;")"))</f>
        <v/>
      </c>
      <c r="Q316" s="24">
        <f>IF($B316="","",MONTH($B316))</f>
        <v/>
      </c>
      <c r="R316" s="24">
        <f>IF($B316="","",YEAR($B316))</f>
        <v/>
      </c>
      <c r="S316" s="25">
        <f>IF($B316="","",$B316-WEEKDAY($B316,3))</f>
        <v/>
      </c>
      <c r="T316" s="24">
        <f>IF($B316="",0,IF(COUNTIFS($B$5:$B316,$B316,$D$5:$D316,$D316)=1,1,0))</f>
        <v/>
      </c>
      <c r="U316" s="24">
        <f>IF($B316="",0,IF(COUNTIFS($B$5:$B316,$B316,$C$5:$C316,$C316)=1,1,0))</f>
        <v/>
      </c>
      <c r="V316" s="24">
        <f>IF(OR($B316="",$G316="",$G316="لا توجد مشاهدات"),0,1)</f>
        <v/>
      </c>
      <c r="W316" s="24">
        <f>IF(AND($B316&lt;&gt;"",$I316="تم تحرير مخالفة"),1,0)</f>
        <v/>
      </c>
      <c r="X316" s="24">
        <f>IF($B316="","",IF($S316=WkStart,COUNTIF($S$5:$S316,WkStart),""))</f>
        <v/>
      </c>
    </row>
    <row r="317">
      <c r="A317" s="16">
        <f>IF($B317="","",ROW()-4)</f>
        <v/>
      </c>
      <c r="B317" s="17" t="n"/>
      <c r="C317" s="18" t="n"/>
      <c r="D317" s="18" t="n"/>
      <c r="E317" s="19" t="n"/>
      <c r="F317" s="19" t="n"/>
      <c r="G317" s="18" t="n"/>
      <c r="H317" s="18" t="n"/>
      <c r="I317" s="18" t="n"/>
      <c r="J317" s="20" t="n"/>
      <c r="K317" s="21" t="n"/>
      <c r="L317" s="21" t="n"/>
      <c r="M317" s="18" t="n"/>
      <c r="N317" s="22">
        <f>IF($B317="","",CHOOSE(WEEKDAY($B317),"الأحد","الاثنين","الثلاثاء","الأربعاء","الخميس","الجمعة","السبت"))</f>
        <v/>
      </c>
      <c r="O317" s="23">
        <f>IF(OR($K317="",$L317=""),"",HYPERLINK("https://maps.google.com/?q="&amp;$K317&amp;","&amp;$L317,"عرض الموقع"))</f>
        <v/>
      </c>
      <c r="P317" s="23">
        <f>IF(OR($B317="",N($J317)=0),"",HYPERLINK(PhotoDir&amp;"/"&amp;YEAR($B317)&amp;"-"&amp;TEXT(MONTH($B317),"00")&amp;"-"&amp;TEXT(DAY($B317),"00")&amp;"_"&amp;$D317,"فتح الصور ("&amp;$J317&amp;")"))</f>
        <v/>
      </c>
      <c r="Q317" s="24">
        <f>IF($B317="","",MONTH($B317))</f>
        <v/>
      </c>
      <c r="R317" s="24">
        <f>IF($B317="","",YEAR($B317))</f>
        <v/>
      </c>
      <c r="S317" s="25">
        <f>IF($B317="","",$B317-WEEKDAY($B317,3))</f>
        <v/>
      </c>
      <c r="T317" s="24">
        <f>IF($B317="",0,IF(COUNTIFS($B$5:$B317,$B317,$D$5:$D317,$D317)=1,1,0))</f>
        <v/>
      </c>
      <c r="U317" s="24">
        <f>IF($B317="",0,IF(COUNTIFS($B$5:$B317,$B317,$C$5:$C317,$C317)=1,1,0))</f>
        <v/>
      </c>
      <c r="V317" s="24">
        <f>IF(OR($B317="",$G317="",$G317="لا توجد مشاهدات"),0,1)</f>
        <v/>
      </c>
      <c r="W317" s="24">
        <f>IF(AND($B317&lt;&gt;"",$I317="تم تحرير مخالفة"),1,0)</f>
        <v/>
      </c>
      <c r="X317" s="24">
        <f>IF($B317="","",IF($S317=WkStart,COUNTIF($S$5:$S317,WkStart),""))</f>
        <v/>
      </c>
    </row>
    <row r="318">
      <c r="A318" s="16">
        <f>IF($B318="","",ROW()-4)</f>
        <v/>
      </c>
      <c r="B318" s="17" t="n"/>
      <c r="C318" s="18" t="n"/>
      <c r="D318" s="18" t="n"/>
      <c r="E318" s="19" t="n"/>
      <c r="F318" s="19" t="n"/>
      <c r="G318" s="18" t="n"/>
      <c r="H318" s="18" t="n"/>
      <c r="I318" s="18" t="n"/>
      <c r="J318" s="20" t="n"/>
      <c r="K318" s="21" t="n"/>
      <c r="L318" s="21" t="n"/>
      <c r="M318" s="18" t="n"/>
      <c r="N318" s="22">
        <f>IF($B318="","",CHOOSE(WEEKDAY($B318),"الأحد","الاثنين","الثلاثاء","الأربعاء","الخميس","الجمعة","السبت"))</f>
        <v/>
      </c>
      <c r="O318" s="23">
        <f>IF(OR($K318="",$L318=""),"",HYPERLINK("https://maps.google.com/?q="&amp;$K318&amp;","&amp;$L318,"عرض الموقع"))</f>
        <v/>
      </c>
      <c r="P318" s="23">
        <f>IF(OR($B318="",N($J318)=0),"",HYPERLINK(PhotoDir&amp;"/"&amp;YEAR($B318)&amp;"-"&amp;TEXT(MONTH($B318),"00")&amp;"-"&amp;TEXT(DAY($B318),"00")&amp;"_"&amp;$D318,"فتح الصور ("&amp;$J318&amp;")"))</f>
        <v/>
      </c>
      <c r="Q318" s="24">
        <f>IF($B318="","",MONTH($B318))</f>
        <v/>
      </c>
      <c r="R318" s="24">
        <f>IF($B318="","",YEAR($B318))</f>
        <v/>
      </c>
      <c r="S318" s="25">
        <f>IF($B318="","",$B318-WEEKDAY($B318,3))</f>
        <v/>
      </c>
      <c r="T318" s="24">
        <f>IF($B318="",0,IF(COUNTIFS($B$5:$B318,$B318,$D$5:$D318,$D318)=1,1,0))</f>
        <v/>
      </c>
      <c r="U318" s="24">
        <f>IF($B318="",0,IF(COUNTIFS($B$5:$B318,$B318,$C$5:$C318,$C318)=1,1,0))</f>
        <v/>
      </c>
      <c r="V318" s="24">
        <f>IF(OR($B318="",$G318="",$G318="لا توجد مشاهدات"),0,1)</f>
        <v/>
      </c>
      <c r="W318" s="24">
        <f>IF(AND($B318&lt;&gt;"",$I318="تم تحرير مخالفة"),1,0)</f>
        <v/>
      </c>
      <c r="X318" s="24">
        <f>IF($B318="","",IF($S318=WkStart,COUNTIF($S$5:$S318,WkStart),""))</f>
        <v/>
      </c>
    </row>
    <row r="319">
      <c r="A319" s="16">
        <f>IF($B319="","",ROW()-4)</f>
        <v/>
      </c>
      <c r="B319" s="17" t="n"/>
      <c r="C319" s="18" t="n"/>
      <c r="D319" s="18" t="n"/>
      <c r="E319" s="19" t="n"/>
      <c r="F319" s="19" t="n"/>
      <c r="G319" s="18" t="n"/>
      <c r="H319" s="18" t="n"/>
      <c r="I319" s="18" t="n"/>
      <c r="J319" s="20" t="n"/>
      <c r="K319" s="21" t="n"/>
      <c r="L319" s="21" t="n"/>
      <c r="M319" s="18" t="n"/>
      <c r="N319" s="22">
        <f>IF($B319="","",CHOOSE(WEEKDAY($B319),"الأحد","الاثنين","الثلاثاء","الأربعاء","الخميس","الجمعة","السبت"))</f>
        <v/>
      </c>
      <c r="O319" s="23">
        <f>IF(OR($K319="",$L319=""),"",HYPERLINK("https://maps.google.com/?q="&amp;$K319&amp;","&amp;$L319,"عرض الموقع"))</f>
        <v/>
      </c>
      <c r="P319" s="23">
        <f>IF(OR($B319="",N($J319)=0),"",HYPERLINK(PhotoDir&amp;"/"&amp;YEAR($B319)&amp;"-"&amp;TEXT(MONTH($B319),"00")&amp;"-"&amp;TEXT(DAY($B319),"00")&amp;"_"&amp;$D319,"فتح الصور ("&amp;$J319&amp;")"))</f>
        <v/>
      </c>
      <c r="Q319" s="24">
        <f>IF($B319="","",MONTH($B319))</f>
        <v/>
      </c>
      <c r="R319" s="24">
        <f>IF($B319="","",YEAR($B319))</f>
        <v/>
      </c>
      <c r="S319" s="25">
        <f>IF($B319="","",$B319-WEEKDAY($B319,3))</f>
        <v/>
      </c>
      <c r="T319" s="24">
        <f>IF($B319="",0,IF(COUNTIFS($B$5:$B319,$B319,$D$5:$D319,$D319)=1,1,0))</f>
        <v/>
      </c>
      <c r="U319" s="24">
        <f>IF($B319="",0,IF(COUNTIFS($B$5:$B319,$B319,$C$5:$C319,$C319)=1,1,0))</f>
        <v/>
      </c>
      <c r="V319" s="24">
        <f>IF(OR($B319="",$G319="",$G319="لا توجد مشاهدات"),0,1)</f>
        <v/>
      </c>
      <c r="W319" s="24">
        <f>IF(AND($B319&lt;&gt;"",$I319="تم تحرير مخالفة"),1,0)</f>
        <v/>
      </c>
      <c r="X319" s="24">
        <f>IF($B319="","",IF($S319=WkStart,COUNTIF($S$5:$S319,WkStart),""))</f>
        <v/>
      </c>
    </row>
    <row r="320">
      <c r="A320" s="16">
        <f>IF($B320="","",ROW()-4)</f>
        <v/>
      </c>
      <c r="B320" s="17" t="n"/>
      <c r="C320" s="18" t="n"/>
      <c r="D320" s="18" t="n"/>
      <c r="E320" s="19" t="n"/>
      <c r="F320" s="19" t="n"/>
      <c r="G320" s="18" t="n"/>
      <c r="H320" s="18" t="n"/>
      <c r="I320" s="18" t="n"/>
      <c r="J320" s="20" t="n"/>
      <c r="K320" s="21" t="n"/>
      <c r="L320" s="21" t="n"/>
      <c r="M320" s="18" t="n"/>
      <c r="N320" s="22">
        <f>IF($B320="","",CHOOSE(WEEKDAY($B320),"الأحد","الاثنين","الثلاثاء","الأربعاء","الخميس","الجمعة","السبت"))</f>
        <v/>
      </c>
      <c r="O320" s="23">
        <f>IF(OR($K320="",$L320=""),"",HYPERLINK("https://maps.google.com/?q="&amp;$K320&amp;","&amp;$L320,"عرض الموقع"))</f>
        <v/>
      </c>
      <c r="P320" s="23">
        <f>IF(OR($B320="",N($J320)=0),"",HYPERLINK(PhotoDir&amp;"/"&amp;YEAR($B320)&amp;"-"&amp;TEXT(MONTH($B320),"00")&amp;"-"&amp;TEXT(DAY($B320),"00")&amp;"_"&amp;$D320,"فتح الصور ("&amp;$J320&amp;")"))</f>
        <v/>
      </c>
      <c r="Q320" s="24">
        <f>IF($B320="","",MONTH($B320))</f>
        <v/>
      </c>
      <c r="R320" s="24">
        <f>IF($B320="","",YEAR($B320))</f>
        <v/>
      </c>
      <c r="S320" s="25">
        <f>IF($B320="","",$B320-WEEKDAY($B320,3))</f>
        <v/>
      </c>
      <c r="T320" s="24">
        <f>IF($B320="",0,IF(COUNTIFS($B$5:$B320,$B320,$D$5:$D320,$D320)=1,1,0))</f>
        <v/>
      </c>
      <c r="U320" s="24">
        <f>IF($B320="",0,IF(COUNTIFS($B$5:$B320,$B320,$C$5:$C320,$C320)=1,1,0))</f>
        <v/>
      </c>
      <c r="V320" s="24">
        <f>IF(OR($B320="",$G320="",$G320="لا توجد مشاهدات"),0,1)</f>
        <v/>
      </c>
      <c r="W320" s="24">
        <f>IF(AND($B320&lt;&gt;"",$I320="تم تحرير مخالفة"),1,0)</f>
        <v/>
      </c>
      <c r="X320" s="24">
        <f>IF($B320="","",IF($S320=WkStart,COUNTIF($S$5:$S320,WkStart),""))</f>
        <v/>
      </c>
    </row>
    <row r="321">
      <c r="A321" s="16">
        <f>IF($B321="","",ROW()-4)</f>
        <v/>
      </c>
      <c r="B321" s="17" t="n"/>
      <c r="C321" s="18" t="n"/>
      <c r="D321" s="18" t="n"/>
      <c r="E321" s="19" t="n"/>
      <c r="F321" s="19" t="n"/>
      <c r="G321" s="18" t="n"/>
      <c r="H321" s="18" t="n"/>
      <c r="I321" s="18" t="n"/>
      <c r="J321" s="20" t="n"/>
      <c r="K321" s="21" t="n"/>
      <c r="L321" s="21" t="n"/>
      <c r="M321" s="18" t="n"/>
      <c r="N321" s="22">
        <f>IF($B321="","",CHOOSE(WEEKDAY($B321),"الأحد","الاثنين","الثلاثاء","الأربعاء","الخميس","الجمعة","السبت"))</f>
        <v/>
      </c>
      <c r="O321" s="23">
        <f>IF(OR($K321="",$L321=""),"",HYPERLINK("https://maps.google.com/?q="&amp;$K321&amp;","&amp;$L321,"عرض الموقع"))</f>
        <v/>
      </c>
      <c r="P321" s="23">
        <f>IF(OR($B321="",N($J321)=0),"",HYPERLINK(PhotoDir&amp;"/"&amp;YEAR($B321)&amp;"-"&amp;TEXT(MONTH($B321),"00")&amp;"-"&amp;TEXT(DAY($B321),"00")&amp;"_"&amp;$D321,"فتح الصور ("&amp;$J321&amp;")"))</f>
        <v/>
      </c>
      <c r="Q321" s="24">
        <f>IF($B321="","",MONTH($B321))</f>
        <v/>
      </c>
      <c r="R321" s="24">
        <f>IF($B321="","",YEAR($B321))</f>
        <v/>
      </c>
      <c r="S321" s="25">
        <f>IF($B321="","",$B321-WEEKDAY($B321,3))</f>
        <v/>
      </c>
      <c r="T321" s="24">
        <f>IF($B321="",0,IF(COUNTIFS($B$5:$B321,$B321,$D$5:$D321,$D321)=1,1,0))</f>
        <v/>
      </c>
      <c r="U321" s="24">
        <f>IF($B321="",0,IF(COUNTIFS($B$5:$B321,$B321,$C$5:$C321,$C321)=1,1,0))</f>
        <v/>
      </c>
      <c r="V321" s="24">
        <f>IF(OR($B321="",$G321="",$G321="لا توجد مشاهدات"),0,1)</f>
        <v/>
      </c>
      <c r="W321" s="24">
        <f>IF(AND($B321&lt;&gt;"",$I321="تم تحرير مخالفة"),1,0)</f>
        <v/>
      </c>
      <c r="X321" s="24">
        <f>IF($B321="","",IF($S321=WkStart,COUNTIF($S$5:$S321,WkStart),""))</f>
        <v/>
      </c>
    </row>
    <row r="322">
      <c r="A322" s="16">
        <f>IF($B322="","",ROW()-4)</f>
        <v/>
      </c>
      <c r="B322" s="17" t="n"/>
      <c r="C322" s="18" t="n"/>
      <c r="D322" s="18" t="n"/>
      <c r="E322" s="19" t="n"/>
      <c r="F322" s="19" t="n"/>
      <c r="G322" s="18" t="n"/>
      <c r="H322" s="18" t="n"/>
      <c r="I322" s="18" t="n"/>
      <c r="J322" s="20" t="n"/>
      <c r="K322" s="21" t="n"/>
      <c r="L322" s="21" t="n"/>
      <c r="M322" s="18" t="n"/>
      <c r="N322" s="22">
        <f>IF($B322="","",CHOOSE(WEEKDAY($B322),"الأحد","الاثنين","الثلاثاء","الأربعاء","الخميس","الجمعة","السبت"))</f>
        <v/>
      </c>
      <c r="O322" s="23">
        <f>IF(OR($K322="",$L322=""),"",HYPERLINK("https://maps.google.com/?q="&amp;$K322&amp;","&amp;$L322,"عرض الموقع"))</f>
        <v/>
      </c>
      <c r="P322" s="23">
        <f>IF(OR($B322="",N($J322)=0),"",HYPERLINK(PhotoDir&amp;"/"&amp;YEAR($B322)&amp;"-"&amp;TEXT(MONTH($B322),"00")&amp;"-"&amp;TEXT(DAY($B322),"00")&amp;"_"&amp;$D322,"فتح الصور ("&amp;$J322&amp;")"))</f>
        <v/>
      </c>
      <c r="Q322" s="24">
        <f>IF($B322="","",MONTH($B322))</f>
        <v/>
      </c>
      <c r="R322" s="24">
        <f>IF($B322="","",YEAR($B322))</f>
        <v/>
      </c>
      <c r="S322" s="25">
        <f>IF($B322="","",$B322-WEEKDAY($B322,3))</f>
        <v/>
      </c>
      <c r="T322" s="24">
        <f>IF($B322="",0,IF(COUNTIFS($B$5:$B322,$B322,$D$5:$D322,$D322)=1,1,0))</f>
        <v/>
      </c>
      <c r="U322" s="24">
        <f>IF($B322="",0,IF(COUNTIFS($B$5:$B322,$B322,$C$5:$C322,$C322)=1,1,0))</f>
        <v/>
      </c>
      <c r="V322" s="24">
        <f>IF(OR($B322="",$G322="",$G322="لا توجد مشاهدات"),0,1)</f>
        <v/>
      </c>
      <c r="W322" s="24">
        <f>IF(AND($B322&lt;&gt;"",$I322="تم تحرير مخالفة"),1,0)</f>
        <v/>
      </c>
      <c r="X322" s="24">
        <f>IF($B322="","",IF($S322=WkStart,COUNTIF($S$5:$S322,WkStart),""))</f>
        <v/>
      </c>
    </row>
    <row r="323">
      <c r="A323" s="16">
        <f>IF($B323="","",ROW()-4)</f>
        <v/>
      </c>
      <c r="B323" s="17" t="n"/>
      <c r="C323" s="18" t="n"/>
      <c r="D323" s="18" t="n"/>
      <c r="E323" s="19" t="n"/>
      <c r="F323" s="19" t="n"/>
      <c r="G323" s="18" t="n"/>
      <c r="H323" s="18" t="n"/>
      <c r="I323" s="18" t="n"/>
      <c r="J323" s="20" t="n"/>
      <c r="K323" s="21" t="n"/>
      <c r="L323" s="21" t="n"/>
      <c r="M323" s="18" t="n"/>
      <c r="N323" s="22">
        <f>IF($B323="","",CHOOSE(WEEKDAY($B323),"الأحد","الاثنين","الثلاثاء","الأربعاء","الخميس","الجمعة","السبت"))</f>
        <v/>
      </c>
      <c r="O323" s="23">
        <f>IF(OR($K323="",$L323=""),"",HYPERLINK("https://maps.google.com/?q="&amp;$K323&amp;","&amp;$L323,"عرض الموقع"))</f>
        <v/>
      </c>
      <c r="P323" s="23">
        <f>IF(OR($B323="",N($J323)=0),"",HYPERLINK(PhotoDir&amp;"/"&amp;YEAR($B323)&amp;"-"&amp;TEXT(MONTH($B323),"00")&amp;"-"&amp;TEXT(DAY($B323),"00")&amp;"_"&amp;$D323,"فتح الصور ("&amp;$J323&amp;")"))</f>
        <v/>
      </c>
      <c r="Q323" s="24">
        <f>IF($B323="","",MONTH($B323))</f>
        <v/>
      </c>
      <c r="R323" s="24">
        <f>IF($B323="","",YEAR($B323))</f>
        <v/>
      </c>
      <c r="S323" s="25">
        <f>IF($B323="","",$B323-WEEKDAY($B323,3))</f>
        <v/>
      </c>
      <c r="T323" s="24">
        <f>IF($B323="",0,IF(COUNTIFS($B$5:$B323,$B323,$D$5:$D323,$D323)=1,1,0))</f>
        <v/>
      </c>
      <c r="U323" s="24">
        <f>IF($B323="",0,IF(COUNTIFS($B$5:$B323,$B323,$C$5:$C323,$C323)=1,1,0))</f>
        <v/>
      </c>
      <c r="V323" s="24">
        <f>IF(OR($B323="",$G323="",$G323="لا توجد مشاهدات"),0,1)</f>
        <v/>
      </c>
      <c r="W323" s="24">
        <f>IF(AND($B323&lt;&gt;"",$I323="تم تحرير مخالفة"),1,0)</f>
        <v/>
      </c>
      <c r="X323" s="24">
        <f>IF($B323="","",IF($S323=WkStart,COUNTIF($S$5:$S323,WkStart),""))</f>
        <v/>
      </c>
    </row>
    <row r="324">
      <c r="A324" s="16">
        <f>IF($B324="","",ROW()-4)</f>
        <v/>
      </c>
      <c r="B324" s="17" t="n"/>
      <c r="C324" s="18" t="n"/>
      <c r="D324" s="18" t="n"/>
      <c r="E324" s="19" t="n"/>
      <c r="F324" s="19" t="n"/>
      <c r="G324" s="18" t="n"/>
      <c r="H324" s="18" t="n"/>
      <c r="I324" s="18" t="n"/>
      <c r="J324" s="20" t="n"/>
      <c r="K324" s="21" t="n"/>
      <c r="L324" s="21" t="n"/>
      <c r="M324" s="18" t="n"/>
      <c r="N324" s="22">
        <f>IF($B324="","",CHOOSE(WEEKDAY($B324),"الأحد","الاثنين","الثلاثاء","الأربعاء","الخميس","الجمعة","السبت"))</f>
        <v/>
      </c>
      <c r="O324" s="23">
        <f>IF(OR($K324="",$L324=""),"",HYPERLINK("https://maps.google.com/?q="&amp;$K324&amp;","&amp;$L324,"عرض الموقع"))</f>
        <v/>
      </c>
      <c r="P324" s="23">
        <f>IF(OR($B324="",N($J324)=0),"",HYPERLINK(PhotoDir&amp;"/"&amp;YEAR($B324)&amp;"-"&amp;TEXT(MONTH($B324),"00")&amp;"-"&amp;TEXT(DAY($B324),"00")&amp;"_"&amp;$D324,"فتح الصور ("&amp;$J324&amp;")"))</f>
        <v/>
      </c>
      <c r="Q324" s="24">
        <f>IF($B324="","",MONTH($B324))</f>
        <v/>
      </c>
      <c r="R324" s="24">
        <f>IF($B324="","",YEAR($B324))</f>
        <v/>
      </c>
      <c r="S324" s="25">
        <f>IF($B324="","",$B324-WEEKDAY($B324,3))</f>
        <v/>
      </c>
      <c r="T324" s="24">
        <f>IF($B324="",0,IF(COUNTIFS($B$5:$B324,$B324,$D$5:$D324,$D324)=1,1,0))</f>
        <v/>
      </c>
      <c r="U324" s="24">
        <f>IF($B324="",0,IF(COUNTIFS($B$5:$B324,$B324,$C$5:$C324,$C324)=1,1,0))</f>
        <v/>
      </c>
      <c r="V324" s="24">
        <f>IF(OR($B324="",$G324="",$G324="لا توجد مشاهدات"),0,1)</f>
        <v/>
      </c>
      <c r="W324" s="24">
        <f>IF(AND($B324&lt;&gt;"",$I324="تم تحرير مخالفة"),1,0)</f>
        <v/>
      </c>
      <c r="X324" s="24">
        <f>IF($B324="","",IF($S324=WkStart,COUNTIF($S$5:$S324,WkStart),""))</f>
        <v/>
      </c>
    </row>
    <row r="325">
      <c r="A325" s="16">
        <f>IF($B325="","",ROW()-4)</f>
        <v/>
      </c>
      <c r="B325" s="17" t="n"/>
      <c r="C325" s="18" t="n"/>
      <c r="D325" s="18" t="n"/>
      <c r="E325" s="19" t="n"/>
      <c r="F325" s="19" t="n"/>
      <c r="G325" s="18" t="n"/>
      <c r="H325" s="18" t="n"/>
      <c r="I325" s="18" t="n"/>
      <c r="J325" s="20" t="n"/>
      <c r="K325" s="21" t="n"/>
      <c r="L325" s="21" t="n"/>
      <c r="M325" s="18" t="n"/>
      <c r="N325" s="22">
        <f>IF($B325="","",CHOOSE(WEEKDAY($B325),"الأحد","الاثنين","الثلاثاء","الأربعاء","الخميس","الجمعة","السبت"))</f>
        <v/>
      </c>
      <c r="O325" s="23">
        <f>IF(OR($K325="",$L325=""),"",HYPERLINK("https://maps.google.com/?q="&amp;$K325&amp;","&amp;$L325,"عرض الموقع"))</f>
        <v/>
      </c>
      <c r="P325" s="23">
        <f>IF(OR($B325="",N($J325)=0),"",HYPERLINK(PhotoDir&amp;"/"&amp;YEAR($B325)&amp;"-"&amp;TEXT(MONTH($B325),"00")&amp;"-"&amp;TEXT(DAY($B325),"00")&amp;"_"&amp;$D325,"فتح الصور ("&amp;$J325&amp;")"))</f>
        <v/>
      </c>
      <c r="Q325" s="24">
        <f>IF($B325="","",MONTH($B325))</f>
        <v/>
      </c>
      <c r="R325" s="24">
        <f>IF($B325="","",YEAR($B325))</f>
        <v/>
      </c>
      <c r="S325" s="25">
        <f>IF($B325="","",$B325-WEEKDAY($B325,3))</f>
        <v/>
      </c>
      <c r="T325" s="24">
        <f>IF($B325="",0,IF(COUNTIFS($B$5:$B325,$B325,$D$5:$D325,$D325)=1,1,0))</f>
        <v/>
      </c>
      <c r="U325" s="24">
        <f>IF($B325="",0,IF(COUNTIFS($B$5:$B325,$B325,$C$5:$C325,$C325)=1,1,0))</f>
        <v/>
      </c>
      <c r="V325" s="24">
        <f>IF(OR($B325="",$G325="",$G325="لا توجد مشاهدات"),0,1)</f>
        <v/>
      </c>
      <c r="W325" s="24">
        <f>IF(AND($B325&lt;&gt;"",$I325="تم تحرير مخالفة"),1,0)</f>
        <v/>
      </c>
      <c r="X325" s="24">
        <f>IF($B325="","",IF($S325=WkStart,COUNTIF($S$5:$S325,WkStart),""))</f>
        <v/>
      </c>
    </row>
    <row r="326">
      <c r="A326" s="16">
        <f>IF($B326="","",ROW()-4)</f>
        <v/>
      </c>
      <c r="B326" s="17" t="n"/>
      <c r="C326" s="18" t="n"/>
      <c r="D326" s="18" t="n"/>
      <c r="E326" s="19" t="n"/>
      <c r="F326" s="19" t="n"/>
      <c r="G326" s="18" t="n"/>
      <c r="H326" s="18" t="n"/>
      <c r="I326" s="18" t="n"/>
      <c r="J326" s="20" t="n"/>
      <c r="K326" s="21" t="n"/>
      <c r="L326" s="21" t="n"/>
      <c r="M326" s="18" t="n"/>
      <c r="N326" s="22">
        <f>IF($B326="","",CHOOSE(WEEKDAY($B326),"الأحد","الاثنين","الثلاثاء","الأربعاء","الخميس","الجمعة","السبت"))</f>
        <v/>
      </c>
      <c r="O326" s="23">
        <f>IF(OR($K326="",$L326=""),"",HYPERLINK("https://maps.google.com/?q="&amp;$K326&amp;","&amp;$L326,"عرض الموقع"))</f>
        <v/>
      </c>
      <c r="P326" s="23">
        <f>IF(OR($B326="",N($J326)=0),"",HYPERLINK(PhotoDir&amp;"/"&amp;YEAR($B326)&amp;"-"&amp;TEXT(MONTH($B326),"00")&amp;"-"&amp;TEXT(DAY($B326),"00")&amp;"_"&amp;$D326,"فتح الصور ("&amp;$J326&amp;")"))</f>
        <v/>
      </c>
      <c r="Q326" s="24">
        <f>IF($B326="","",MONTH($B326))</f>
        <v/>
      </c>
      <c r="R326" s="24">
        <f>IF($B326="","",YEAR($B326))</f>
        <v/>
      </c>
      <c r="S326" s="25">
        <f>IF($B326="","",$B326-WEEKDAY($B326,3))</f>
        <v/>
      </c>
      <c r="T326" s="24">
        <f>IF($B326="",0,IF(COUNTIFS($B$5:$B326,$B326,$D$5:$D326,$D326)=1,1,0))</f>
        <v/>
      </c>
      <c r="U326" s="24">
        <f>IF($B326="",0,IF(COUNTIFS($B$5:$B326,$B326,$C$5:$C326,$C326)=1,1,0))</f>
        <v/>
      </c>
      <c r="V326" s="24">
        <f>IF(OR($B326="",$G326="",$G326="لا توجد مشاهدات"),0,1)</f>
        <v/>
      </c>
      <c r="W326" s="24">
        <f>IF(AND($B326&lt;&gt;"",$I326="تم تحرير مخالفة"),1,0)</f>
        <v/>
      </c>
      <c r="X326" s="24">
        <f>IF($B326="","",IF($S326=WkStart,COUNTIF($S$5:$S326,WkStart),""))</f>
        <v/>
      </c>
    </row>
    <row r="327">
      <c r="A327" s="16">
        <f>IF($B327="","",ROW()-4)</f>
        <v/>
      </c>
      <c r="B327" s="17" t="n"/>
      <c r="C327" s="18" t="n"/>
      <c r="D327" s="18" t="n"/>
      <c r="E327" s="19" t="n"/>
      <c r="F327" s="19" t="n"/>
      <c r="G327" s="18" t="n"/>
      <c r="H327" s="18" t="n"/>
      <c r="I327" s="18" t="n"/>
      <c r="J327" s="20" t="n"/>
      <c r="K327" s="21" t="n"/>
      <c r="L327" s="21" t="n"/>
      <c r="M327" s="18" t="n"/>
      <c r="N327" s="22">
        <f>IF($B327="","",CHOOSE(WEEKDAY($B327),"الأحد","الاثنين","الثلاثاء","الأربعاء","الخميس","الجمعة","السبت"))</f>
        <v/>
      </c>
      <c r="O327" s="23">
        <f>IF(OR($K327="",$L327=""),"",HYPERLINK("https://maps.google.com/?q="&amp;$K327&amp;","&amp;$L327,"عرض الموقع"))</f>
        <v/>
      </c>
      <c r="P327" s="23">
        <f>IF(OR($B327="",N($J327)=0),"",HYPERLINK(PhotoDir&amp;"/"&amp;YEAR($B327)&amp;"-"&amp;TEXT(MONTH($B327),"00")&amp;"-"&amp;TEXT(DAY($B327),"00")&amp;"_"&amp;$D327,"فتح الصور ("&amp;$J327&amp;")"))</f>
        <v/>
      </c>
      <c r="Q327" s="24">
        <f>IF($B327="","",MONTH($B327))</f>
        <v/>
      </c>
      <c r="R327" s="24">
        <f>IF($B327="","",YEAR($B327))</f>
        <v/>
      </c>
      <c r="S327" s="25">
        <f>IF($B327="","",$B327-WEEKDAY($B327,3))</f>
        <v/>
      </c>
      <c r="T327" s="24">
        <f>IF($B327="",0,IF(COUNTIFS($B$5:$B327,$B327,$D$5:$D327,$D327)=1,1,0))</f>
        <v/>
      </c>
      <c r="U327" s="24">
        <f>IF($B327="",0,IF(COUNTIFS($B$5:$B327,$B327,$C$5:$C327,$C327)=1,1,0))</f>
        <v/>
      </c>
      <c r="V327" s="24">
        <f>IF(OR($B327="",$G327="",$G327="لا توجد مشاهدات"),0,1)</f>
        <v/>
      </c>
      <c r="W327" s="24">
        <f>IF(AND($B327&lt;&gt;"",$I327="تم تحرير مخالفة"),1,0)</f>
        <v/>
      </c>
      <c r="X327" s="24">
        <f>IF($B327="","",IF($S327=WkStart,COUNTIF($S$5:$S327,WkStart),""))</f>
        <v/>
      </c>
    </row>
    <row r="328">
      <c r="A328" s="16">
        <f>IF($B328="","",ROW()-4)</f>
        <v/>
      </c>
      <c r="B328" s="17" t="n"/>
      <c r="C328" s="18" t="n"/>
      <c r="D328" s="18" t="n"/>
      <c r="E328" s="19" t="n"/>
      <c r="F328" s="19" t="n"/>
      <c r="G328" s="18" t="n"/>
      <c r="H328" s="18" t="n"/>
      <c r="I328" s="18" t="n"/>
      <c r="J328" s="20" t="n"/>
      <c r="K328" s="21" t="n"/>
      <c r="L328" s="21" t="n"/>
      <c r="M328" s="18" t="n"/>
      <c r="N328" s="22">
        <f>IF($B328="","",CHOOSE(WEEKDAY($B328),"الأحد","الاثنين","الثلاثاء","الأربعاء","الخميس","الجمعة","السبت"))</f>
        <v/>
      </c>
      <c r="O328" s="23">
        <f>IF(OR($K328="",$L328=""),"",HYPERLINK("https://maps.google.com/?q="&amp;$K328&amp;","&amp;$L328,"عرض الموقع"))</f>
        <v/>
      </c>
      <c r="P328" s="23">
        <f>IF(OR($B328="",N($J328)=0),"",HYPERLINK(PhotoDir&amp;"/"&amp;YEAR($B328)&amp;"-"&amp;TEXT(MONTH($B328),"00")&amp;"-"&amp;TEXT(DAY($B328),"00")&amp;"_"&amp;$D328,"فتح الصور ("&amp;$J328&amp;")"))</f>
        <v/>
      </c>
      <c r="Q328" s="24">
        <f>IF($B328="","",MONTH($B328))</f>
        <v/>
      </c>
      <c r="R328" s="24">
        <f>IF($B328="","",YEAR($B328))</f>
        <v/>
      </c>
      <c r="S328" s="25">
        <f>IF($B328="","",$B328-WEEKDAY($B328,3))</f>
        <v/>
      </c>
      <c r="T328" s="24">
        <f>IF($B328="",0,IF(COUNTIFS($B$5:$B328,$B328,$D$5:$D328,$D328)=1,1,0))</f>
        <v/>
      </c>
      <c r="U328" s="24">
        <f>IF($B328="",0,IF(COUNTIFS($B$5:$B328,$B328,$C$5:$C328,$C328)=1,1,0))</f>
        <v/>
      </c>
      <c r="V328" s="24">
        <f>IF(OR($B328="",$G328="",$G328="لا توجد مشاهدات"),0,1)</f>
        <v/>
      </c>
      <c r="W328" s="24">
        <f>IF(AND($B328&lt;&gt;"",$I328="تم تحرير مخالفة"),1,0)</f>
        <v/>
      </c>
      <c r="X328" s="24">
        <f>IF($B328="","",IF($S328=WkStart,COUNTIF($S$5:$S328,WkStart),""))</f>
        <v/>
      </c>
    </row>
    <row r="329">
      <c r="A329" s="16">
        <f>IF($B329="","",ROW()-4)</f>
        <v/>
      </c>
      <c r="B329" s="17" t="n"/>
      <c r="C329" s="18" t="n"/>
      <c r="D329" s="18" t="n"/>
      <c r="E329" s="19" t="n"/>
      <c r="F329" s="19" t="n"/>
      <c r="G329" s="18" t="n"/>
      <c r="H329" s="18" t="n"/>
      <c r="I329" s="18" t="n"/>
      <c r="J329" s="20" t="n"/>
      <c r="K329" s="21" t="n"/>
      <c r="L329" s="21" t="n"/>
      <c r="M329" s="18" t="n"/>
      <c r="N329" s="22">
        <f>IF($B329="","",CHOOSE(WEEKDAY($B329),"الأحد","الاثنين","الثلاثاء","الأربعاء","الخميس","الجمعة","السبت"))</f>
        <v/>
      </c>
      <c r="O329" s="23">
        <f>IF(OR($K329="",$L329=""),"",HYPERLINK("https://maps.google.com/?q="&amp;$K329&amp;","&amp;$L329,"عرض الموقع"))</f>
        <v/>
      </c>
      <c r="P329" s="23">
        <f>IF(OR($B329="",N($J329)=0),"",HYPERLINK(PhotoDir&amp;"/"&amp;YEAR($B329)&amp;"-"&amp;TEXT(MONTH($B329),"00")&amp;"-"&amp;TEXT(DAY($B329),"00")&amp;"_"&amp;$D329,"فتح الصور ("&amp;$J329&amp;")"))</f>
        <v/>
      </c>
      <c r="Q329" s="24">
        <f>IF($B329="","",MONTH($B329))</f>
        <v/>
      </c>
      <c r="R329" s="24">
        <f>IF($B329="","",YEAR($B329))</f>
        <v/>
      </c>
      <c r="S329" s="25">
        <f>IF($B329="","",$B329-WEEKDAY($B329,3))</f>
        <v/>
      </c>
      <c r="T329" s="24">
        <f>IF($B329="",0,IF(COUNTIFS($B$5:$B329,$B329,$D$5:$D329,$D329)=1,1,0))</f>
        <v/>
      </c>
      <c r="U329" s="24">
        <f>IF($B329="",0,IF(COUNTIFS($B$5:$B329,$B329,$C$5:$C329,$C329)=1,1,0))</f>
        <v/>
      </c>
      <c r="V329" s="24">
        <f>IF(OR($B329="",$G329="",$G329="لا توجد مشاهدات"),0,1)</f>
        <v/>
      </c>
      <c r="W329" s="24">
        <f>IF(AND($B329&lt;&gt;"",$I329="تم تحرير مخالفة"),1,0)</f>
        <v/>
      </c>
      <c r="X329" s="24">
        <f>IF($B329="","",IF($S329=WkStart,COUNTIF($S$5:$S329,WkStart),""))</f>
        <v/>
      </c>
    </row>
    <row r="330">
      <c r="A330" s="16">
        <f>IF($B330="","",ROW()-4)</f>
        <v/>
      </c>
      <c r="B330" s="17" t="n"/>
      <c r="C330" s="18" t="n"/>
      <c r="D330" s="18" t="n"/>
      <c r="E330" s="19" t="n"/>
      <c r="F330" s="19" t="n"/>
      <c r="G330" s="18" t="n"/>
      <c r="H330" s="18" t="n"/>
      <c r="I330" s="18" t="n"/>
      <c r="J330" s="20" t="n"/>
      <c r="K330" s="21" t="n"/>
      <c r="L330" s="21" t="n"/>
      <c r="M330" s="18" t="n"/>
      <c r="N330" s="22">
        <f>IF($B330="","",CHOOSE(WEEKDAY($B330),"الأحد","الاثنين","الثلاثاء","الأربعاء","الخميس","الجمعة","السبت"))</f>
        <v/>
      </c>
      <c r="O330" s="23">
        <f>IF(OR($K330="",$L330=""),"",HYPERLINK("https://maps.google.com/?q="&amp;$K330&amp;","&amp;$L330,"عرض الموقع"))</f>
        <v/>
      </c>
      <c r="P330" s="23">
        <f>IF(OR($B330="",N($J330)=0),"",HYPERLINK(PhotoDir&amp;"/"&amp;YEAR($B330)&amp;"-"&amp;TEXT(MONTH($B330),"00")&amp;"-"&amp;TEXT(DAY($B330),"00")&amp;"_"&amp;$D330,"فتح الصور ("&amp;$J330&amp;")"))</f>
        <v/>
      </c>
      <c r="Q330" s="24">
        <f>IF($B330="","",MONTH($B330))</f>
        <v/>
      </c>
      <c r="R330" s="24">
        <f>IF($B330="","",YEAR($B330))</f>
        <v/>
      </c>
      <c r="S330" s="25">
        <f>IF($B330="","",$B330-WEEKDAY($B330,3))</f>
        <v/>
      </c>
      <c r="T330" s="24">
        <f>IF($B330="",0,IF(COUNTIFS($B$5:$B330,$B330,$D$5:$D330,$D330)=1,1,0))</f>
        <v/>
      </c>
      <c r="U330" s="24">
        <f>IF($B330="",0,IF(COUNTIFS($B$5:$B330,$B330,$C$5:$C330,$C330)=1,1,0))</f>
        <v/>
      </c>
      <c r="V330" s="24">
        <f>IF(OR($B330="",$G330="",$G330="لا توجد مشاهدات"),0,1)</f>
        <v/>
      </c>
      <c r="W330" s="24">
        <f>IF(AND($B330&lt;&gt;"",$I330="تم تحرير مخالفة"),1,0)</f>
        <v/>
      </c>
      <c r="X330" s="24">
        <f>IF($B330="","",IF($S330=WkStart,COUNTIF($S$5:$S330,WkStart),""))</f>
        <v/>
      </c>
    </row>
    <row r="331">
      <c r="A331" s="16">
        <f>IF($B331="","",ROW()-4)</f>
        <v/>
      </c>
      <c r="B331" s="17" t="n"/>
      <c r="C331" s="18" t="n"/>
      <c r="D331" s="18" t="n"/>
      <c r="E331" s="19" t="n"/>
      <c r="F331" s="19" t="n"/>
      <c r="G331" s="18" t="n"/>
      <c r="H331" s="18" t="n"/>
      <c r="I331" s="18" t="n"/>
      <c r="J331" s="20" t="n"/>
      <c r="K331" s="21" t="n"/>
      <c r="L331" s="21" t="n"/>
      <c r="M331" s="18" t="n"/>
      <c r="N331" s="22">
        <f>IF($B331="","",CHOOSE(WEEKDAY($B331),"الأحد","الاثنين","الثلاثاء","الأربعاء","الخميس","الجمعة","السبت"))</f>
        <v/>
      </c>
      <c r="O331" s="23">
        <f>IF(OR($K331="",$L331=""),"",HYPERLINK("https://maps.google.com/?q="&amp;$K331&amp;","&amp;$L331,"عرض الموقع"))</f>
        <v/>
      </c>
      <c r="P331" s="23">
        <f>IF(OR($B331="",N($J331)=0),"",HYPERLINK(PhotoDir&amp;"/"&amp;YEAR($B331)&amp;"-"&amp;TEXT(MONTH($B331),"00")&amp;"-"&amp;TEXT(DAY($B331),"00")&amp;"_"&amp;$D331,"فتح الصور ("&amp;$J331&amp;")"))</f>
        <v/>
      </c>
      <c r="Q331" s="24">
        <f>IF($B331="","",MONTH($B331))</f>
        <v/>
      </c>
      <c r="R331" s="24">
        <f>IF($B331="","",YEAR($B331))</f>
        <v/>
      </c>
      <c r="S331" s="25">
        <f>IF($B331="","",$B331-WEEKDAY($B331,3))</f>
        <v/>
      </c>
      <c r="T331" s="24">
        <f>IF($B331="",0,IF(COUNTIFS($B$5:$B331,$B331,$D$5:$D331,$D331)=1,1,0))</f>
        <v/>
      </c>
      <c r="U331" s="24">
        <f>IF($B331="",0,IF(COUNTIFS($B$5:$B331,$B331,$C$5:$C331,$C331)=1,1,0))</f>
        <v/>
      </c>
      <c r="V331" s="24">
        <f>IF(OR($B331="",$G331="",$G331="لا توجد مشاهدات"),0,1)</f>
        <v/>
      </c>
      <c r="W331" s="24">
        <f>IF(AND($B331&lt;&gt;"",$I331="تم تحرير مخالفة"),1,0)</f>
        <v/>
      </c>
      <c r="X331" s="24">
        <f>IF($B331="","",IF($S331=WkStart,COUNTIF($S$5:$S331,WkStart),""))</f>
        <v/>
      </c>
    </row>
    <row r="332">
      <c r="A332" s="16">
        <f>IF($B332="","",ROW()-4)</f>
        <v/>
      </c>
      <c r="B332" s="17" t="n"/>
      <c r="C332" s="18" t="n"/>
      <c r="D332" s="18" t="n"/>
      <c r="E332" s="19" t="n"/>
      <c r="F332" s="19" t="n"/>
      <c r="G332" s="18" t="n"/>
      <c r="H332" s="18" t="n"/>
      <c r="I332" s="18" t="n"/>
      <c r="J332" s="20" t="n"/>
      <c r="K332" s="21" t="n"/>
      <c r="L332" s="21" t="n"/>
      <c r="M332" s="18" t="n"/>
      <c r="N332" s="22">
        <f>IF($B332="","",CHOOSE(WEEKDAY($B332),"الأحد","الاثنين","الثلاثاء","الأربعاء","الخميس","الجمعة","السبت"))</f>
        <v/>
      </c>
      <c r="O332" s="23">
        <f>IF(OR($K332="",$L332=""),"",HYPERLINK("https://maps.google.com/?q="&amp;$K332&amp;","&amp;$L332,"عرض الموقع"))</f>
        <v/>
      </c>
      <c r="P332" s="23">
        <f>IF(OR($B332="",N($J332)=0),"",HYPERLINK(PhotoDir&amp;"/"&amp;YEAR($B332)&amp;"-"&amp;TEXT(MONTH($B332),"00")&amp;"-"&amp;TEXT(DAY($B332),"00")&amp;"_"&amp;$D332,"فتح الصور ("&amp;$J332&amp;")"))</f>
        <v/>
      </c>
      <c r="Q332" s="24">
        <f>IF($B332="","",MONTH($B332))</f>
        <v/>
      </c>
      <c r="R332" s="24">
        <f>IF($B332="","",YEAR($B332))</f>
        <v/>
      </c>
      <c r="S332" s="25">
        <f>IF($B332="","",$B332-WEEKDAY($B332,3))</f>
        <v/>
      </c>
      <c r="T332" s="24">
        <f>IF($B332="",0,IF(COUNTIFS($B$5:$B332,$B332,$D$5:$D332,$D332)=1,1,0))</f>
        <v/>
      </c>
      <c r="U332" s="24">
        <f>IF($B332="",0,IF(COUNTIFS($B$5:$B332,$B332,$C$5:$C332,$C332)=1,1,0))</f>
        <v/>
      </c>
      <c r="V332" s="24">
        <f>IF(OR($B332="",$G332="",$G332="لا توجد مشاهدات"),0,1)</f>
        <v/>
      </c>
      <c r="W332" s="24">
        <f>IF(AND($B332&lt;&gt;"",$I332="تم تحرير مخالفة"),1,0)</f>
        <v/>
      </c>
      <c r="X332" s="24">
        <f>IF($B332="","",IF($S332=WkStart,COUNTIF($S$5:$S332,WkStart),""))</f>
        <v/>
      </c>
    </row>
    <row r="333">
      <c r="A333" s="16">
        <f>IF($B333="","",ROW()-4)</f>
        <v/>
      </c>
      <c r="B333" s="17" t="n"/>
      <c r="C333" s="18" t="n"/>
      <c r="D333" s="18" t="n"/>
      <c r="E333" s="19" t="n"/>
      <c r="F333" s="19" t="n"/>
      <c r="G333" s="18" t="n"/>
      <c r="H333" s="18" t="n"/>
      <c r="I333" s="18" t="n"/>
      <c r="J333" s="20" t="n"/>
      <c r="K333" s="21" t="n"/>
      <c r="L333" s="21" t="n"/>
      <c r="M333" s="18" t="n"/>
      <c r="N333" s="22">
        <f>IF($B333="","",CHOOSE(WEEKDAY($B333),"الأحد","الاثنين","الثلاثاء","الأربعاء","الخميس","الجمعة","السبت"))</f>
        <v/>
      </c>
      <c r="O333" s="23">
        <f>IF(OR($K333="",$L333=""),"",HYPERLINK("https://maps.google.com/?q="&amp;$K333&amp;","&amp;$L333,"عرض الموقع"))</f>
        <v/>
      </c>
      <c r="P333" s="23">
        <f>IF(OR($B333="",N($J333)=0),"",HYPERLINK(PhotoDir&amp;"/"&amp;YEAR($B333)&amp;"-"&amp;TEXT(MONTH($B333),"00")&amp;"-"&amp;TEXT(DAY($B333),"00")&amp;"_"&amp;$D333,"فتح الصور ("&amp;$J333&amp;")"))</f>
        <v/>
      </c>
      <c r="Q333" s="24">
        <f>IF($B333="","",MONTH($B333))</f>
        <v/>
      </c>
      <c r="R333" s="24">
        <f>IF($B333="","",YEAR($B333))</f>
        <v/>
      </c>
      <c r="S333" s="25">
        <f>IF($B333="","",$B333-WEEKDAY($B333,3))</f>
        <v/>
      </c>
      <c r="T333" s="24">
        <f>IF($B333="",0,IF(COUNTIFS($B$5:$B333,$B333,$D$5:$D333,$D333)=1,1,0))</f>
        <v/>
      </c>
      <c r="U333" s="24">
        <f>IF($B333="",0,IF(COUNTIFS($B$5:$B333,$B333,$C$5:$C333,$C333)=1,1,0))</f>
        <v/>
      </c>
      <c r="V333" s="24">
        <f>IF(OR($B333="",$G333="",$G333="لا توجد مشاهدات"),0,1)</f>
        <v/>
      </c>
      <c r="W333" s="24">
        <f>IF(AND($B333&lt;&gt;"",$I333="تم تحرير مخالفة"),1,0)</f>
        <v/>
      </c>
      <c r="X333" s="24">
        <f>IF($B333="","",IF($S333=WkStart,COUNTIF($S$5:$S333,WkStart),""))</f>
        <v/>
      </c>
    </row>
    <row r="334">
      <c r="A334" s="16">
        <f>IF($B334="","",ROW()-4)</f>
        <v/>
      </c>
      <c r="B334" s="17" t="n"/>
      <c r="C334" s="18" t="n"/>
      <c r="D334" s="18" t="n"/>
      <c r="E334" s="19" t="n"/>
      <c r="F334" s="19" t="n"/>
      <c r="G334" s="18" t="n"/>
      <c r="H334" s="18" t="n"/>
      <c r="I334" s="18" t="n"/>
      <c r="J334" s="20" t="n"/>
      <c r="K334" s="21" t="n"/>
      <c r="L334" s="21" t="n"/>
      <c r="M334" s="18" t="n"/>
      <c r="N334" s="22">
        <f>IF($B334="","",CHOOSE(WEEKDAY($B334),"الأحد","الاثنين","الثلاثاء","الأربعاء","الخميس","الجمعة","السبت"))</f>
        <v/>
      </c>
      <c r="O334" s="23">
        <f>IF(OR($K334="",$L334=""),"",HYPERLINK("https://maps.google.com/?q="&amp;$K334&amp;","&amp;$L334,"عرض الموقع"))</f>
        <v/>
      </c>
      <c r="P334" s="23">
        <f>IF(OR($B334="",N($J334)=0),"",HYPERLINK(PhotoDir&amp;"/"&amp;YEAR($B334)&amp;"-"&amp;TEXT(MONTH($B334),"00")&amp;"-"&amp;TEXT(DAY($B334),"00")&amp;"_"&amp;$D334,"فتح الصور ("&amp;$J334&amp;")"))</f>
        <v/>
      </c>
      <c r="Q334" s="24">
        <f>IF($B334="","",MONTH($B334))</f>
        <v/>
      </c>
      <c r="R334" s="24">
        <f>IF($B334="","",YEAR($B334))</f>
        <v/>
      </c>
      <c r="S334" s="25">
        <f>IF($B334="","",$B334-WEEKDAY($B334,3))</f>
        <v/>
      </c>
      <c r="T334" s="24">
        <f>IF($B334="",0,IF(COUNTIFS($B$5:$B334,$B334,$D$5:$D334,$D334)=1,1,0))</f>
        <v/>
      </c>
      <c r="U334" s="24">
        <f>IF($B334="",0,IF(COUNTIFS($B$5:$B334,$B334,$C$5:$C334,$C334)=1,1,0))</f>
        <v/>
      </c>
      <c r="V334" s="24">
        <f>IF(OR($B334="",$G334="",$G334="لا توجد مشاهدات"),0,1)</f>
        <v/>
      </c>
      <c r="W334" s="24">
        <f>IF(AND($B334&lt;&gt;"",$I334="تم تحرير مخالفة"),1,0)</f>
        <v/>
      </c>
      <c r="X334" s="24">
        <f>IF($B334="","",IF($S334=WkStart,COUNTIF($S$5:$S334,WkStart),""))</f>
        <v/>
      </c>
    </row>
    <row r="335">
      <c r="A335" s="16">
        <f>IF($B335="","",ROW()-4)</f>
        <v/>
      </c>
      <c r="B335" s="17" t="n"/>
      <c r="C335" s="18" t="n"/>
      <c r="D335" s="18" t="n"/>
      <c r="E335" s="19" t="n"/>
      <c r="F335" s="19" t="n"/>
      <c r="G335" s="18" t="n"/>
      <c r="H335" s="18" t="n"/>
      <c r="I335" s="18" t="n"/>
      <c r="J335" s="20" t="n"/>
      <c r="K335" s="21" t="n"/>
      <c r="L335" s="21" t="n"/>
      <c r="M335" s="18" t="n"/>
      <c r="N335" s="22">
        <f>IF($B335="","",CHOOSE(WEEKDAY($B335),"الأحد","الاثنين","الثلاثاء","الأربعاء","الخميس","الجمعة","السبت"))</f>
        <v/>
      </c>
      <c r="O335" s="23">
        <f>IF(OR($K335="",$L335=""),"",HYPERLINK("https://maps.google.com/?q="&amp;$K335&amp;","&amp;$L335,"عرض الموقع"))</f>
        <v/>
      </c>
      <c r="P335" s="23">
        <f>IF(OR($B335="",N($J335)=0),"",HYPERLINK(PhotoDir&amp;"/"&amp;YEAR($B335)&amp;"-"&amp;TEXT(MONTH($B335),"00")&amp;"-"&amp;TEXT(DAY($B335),"00")&amp;"_"&amp;$D335,"فتح الصور ("&amp;$J335&amp;")"))</f>
        <v/>
      </c>
      <c r="Q335" s="24">
        <f>IF($B335="","",MONTH($B335))</f>
        <v/>
      </c>
      <c r="R335" s="24">
        <f>IF($B335="","",YEAR($B335))</f>
        <v/>
      </c>
      <c r="S335" s="25">
        <f>IF($B335="","",$B335-WEEKDAY($B335,3))</f>
        <v/>
      </c>
      <c r="T335" s="24">
        <f>IF($B335="",0,IF(COUNTIFS($B$5:$B335,$B335,$D$5:$D335,$D335)=1,1,0))</f>
        <v/>
      </c>
      <c r="U335" s="24">
        <f>IF($B335="",0,IF(COUNTIFS($B$5:$B335,$B335,$C$5:$C335,$C335)=1,1,0))</f>
        <v/>
      </c>
      <c r="V335" s="24">
        <f>IF(OR($B335="",$G335="",$G335="لا توجد مشاهدات"),0,1)</f>
        <v/>
      </c>
      <c r="W335" s="24">
        <f>IF(AND($B335&lt;&gt;"",$I335="تم تحرير مخالفة"),1,0)</f>
        <v/>
      </c>
      <c r="X335" s="24">
        <f>IF($B335="","",IF($S335=WkStart,COUNTIF($S$5:$S335,WkStart),""))</f>
        <v/>
      </c>
    </row>
    <row r="336">
      <c r="A336" s="16">
        <f>IF($B336="","",ROW()-4)</f>
        <v/>
      </c>
      <c r="B336" s="17" t="n"/>
      <c r="C336" s="18" t="n"/>
      <c r="D336" s="18" t="n"/>
      <c r="E336" s="19" t="n"/>
      <c r="F336" s="19" t="n"/>
      <c r="G336" s="18" t="n"/>
      <c r="H336" s="18" t="n"/>
      <c r="I336" s="18" t="n"/>
      <c r="J336" s="20" t="n"/>
      <c r="K336" s="21" t="n"/>
      <c r="L336" s="21" t="n"/>
      <c r="M336" s="18" t="n"/>
      <c r="N336" s="22">
        <f>IF($B336="","",CHOOSE(WEEKDAY($B336),"الأحد","الاثنين","الثلاثاء","الأربعاء","الخميس","الجمعة","السبت"))</f>
        <v/>
      </c>
      <c r="O336" s="23">
        <f>IF(OR($K336="",$L336=""),"",HYPERLINK("https://maps.google.com/?q="&amp;$K336&amp;","&amp;$L336,"عرض الموقع"))</f>
        <v/>
      </c>
      <c r="P336" s="23">
        <f>IF(OR($B336="",N($J336)=0),"",HYPERLINK(PhotoDir&amp;"/"&amp;YEAR($B336)&amp;"-"&amp;TEXT(MONTH($B336),"00")&amp;"-"&amp;TEXT(DAY($B336),"00")&amp;"_"&amp;$D336,"فتح الصور ("&amp;$J336&amp;")"))</f>
        <v/>
      </c>
      <c r="Q336" s="24">
        <f>IF($B336="","",MONTH($B336))</f>
        <v/>
      </c>
      <c r="R336" s="24">
        <f>IF($B336="","",YEAR($B336))</f>
        <v/>
      </c>
      <c r="S336" s="25">
        <f>IF($B336="","",$B336-WEEKDAY($B336,3))</f>
        <v/>
      </c>
      <c r="T336" s="24">
        <f>IF($B336="",0,IF(COUNTIFS($B$5:$B336,$B336,$D$5:$D336,$D336)=1,1,0))</f>
        <v/>
      </c>
      <c r="U336" s="24">
        <f>IF($B336="",0,IF(COUNTIFS($B$5:$B336,$B336,$C$5:$C336,$C336)=1,1,0))</f>
        <v/>
      </c>
      <c r="V336" s="24">
        <f>IF(OR($B336="",$G336="",$G336="لا توجد مشاهدات"),0,1)</f>
        <v/>
      </c>
      <c r="W336" s="24">
        <f>IF(AND($B336&lt;&gt;"",$I336="تم تحرير مخالفة"),1,0)</f>
        <v/>
      </c>
      <c r="X336" s="24">
        <f>IF($B336="","",IF($S336=WkStart,COUNTIF($S$5:$S336,WkStart),""))</f>
        <v/>
      </c>
    </row>
    <row r="337">
      <c r="A337" s="16">
        <f>IF($B337="","",ROW()-4)</f>
        <v/>
      </c>
      <c r="B337" s="17" t="n"/>
      <c r="C337" s="18" t="n"/>
      <c r="D337" s="18" t="n"/>
      <c r="E337" s="19" t="n"/>
      <c r="F337" s="19" t="n"/>
      <c r="G337" s="18" t="n"/>
      <c r="H337" s="18" t="n"/>
      <c r="I337" s="18" t="n"/>
      <c r="J337" s="20" t="n"/>
      <c r="K337" s="21" t="n"/>
      <c r="L337" s="21" t="n"/>
      <c r="M337" s="18" t="n"/>
      <c r="N337" s="22">
        <f>IF($B337="","",CHOOSE(WEEKDAY($B337),"الأحد","الاثنين","الثلاثاء","الأربعاء","الخميس","الجمعة","السبت"))</f>
        <v/>
      </c>
      <c r="O337" s="23">
        <f>IF(OR($K337="",$L337=""),"",HYPERLINK("https://maps.google.com/?q="&amp;$K337&amp;","&amp;$L337,"عرض الموقع"))</f>
        <v/>
      </c>
      <c r="P337" s="23">
        <f>IF(OR($B337="",N($J337)=0),"",HYPERLINK(PhotoDir&amp;"/"&amp;YEAR($B337)&amp;"-"&amp;TEXT(MONTH($B337),"00")&amp;"-"&amp;TEXT(DAY($B337),"00")&amp;"_"&amp;$D337,"فتح الصور ("&amp;$J337&amp;")"))</f>
        <v/>
      </c>
      <c r="Q337" s="24">
        <f>IF($B337="","",MONTH($B337))</f>
        <v/>
      </c>
      <c r="R337" s="24">
        <f>IF($B337="","",YEAR($B337))</f>
        <v/>
      </c>
      <c r="S337" s="25">
        <f>IF($B337="","",$B337-WEEKDAY($B337,3))</f>
        <v/>
      </c>
      <c r="T337" s="24">
        <f>IF($B337="",0,IF(COUNTIFS($B$5:$B337,$B337,$D$5:$D337,$D337)=1,1,0))</f>
        <v/>
      </c>
      <c r="U337" s="24">
        <f>IF($B337="",0,IF(COUNTIFS($B$5:$B337,$B337,$C$5:$C337,$C337)=1,1,0))</f>
        <v/>
      </c>
      <c r="V337" s="24">
        <f>IF(OR($B337="",$G337="",$G337="لا توجد مشاهدات"),0,1)</f>
        <v/>
      </c>
      <c r="W337" s="24">
        <f>IF(AND($B337&lt;&gt;"",$I337="تم تحرير مخالفة"),1,0)</f>
        <v/>
      </c>
      <c r="X337" s="24">
        <f>IF($B337="","",IF($S337=WkStart,COUNTIF($S$5:$S337,WkStart),""))</f>
        <v/>
      </c>
    </row>
    <row r="338">
      <c r="A338" s="16">
        <f>IF($B338="","",ROW()-4)</f>
        <v/>
      </c>
      <c r="B338" s="17" t="n"/>
      <c r="C338" s="18" t="n"/>
      <c r="D338" s="18" t="n"/>
      <c r="E338" s="19" t="n"/>
      <c r="F338" s="19" t="n"/>
      <c r="G338" s="18" t="n"/>
      <c r="H338" s="18" t="n"/>
      <c r="I338" s="18" t="n"/>
      <c r="J338" s="20" t="n"/>
      <c r="K338" s="21" t="n"/>
      <c r="L338" s="21" t="n"/>
      <c r="M338" s="18" t="n"/>
      <c r="N338" s="22">
        <f>IF($B338="","",CHOOSE(WEEKDAY($B338),"الأحد","الاثنين","الثلاثاء","الأربعاء","الخميس","الجمعة","السبت"))</f>
        <v/>
      </c>
      <c r="O338" s="23">
        <f>IF(OR($K338="",$L338=""),"",HYPERLINK("https://maps.google.com/?q="&amp;$K338&amp;","&amp;$L338,"عرض الموقع"))</f>
        <v/>
      </c>
      <c r="P338" s="23">
        <f>IF(OR($B338="",N($J338)=0),"",HYPERLINK(PhotoDir&amp;"/"&amp;YEAR($B338)&amp;"-"&amp;TEXT(MONTH($B338),"00")&amp;"-"&amp;TEXT(DAY($B338),"00")&amp;"_"&amp;$D338,"فتح الصور ("&amp;$J338&amp;")"))</f>
        <v/>
      </c>
      <c r="Q338" s="24">
        <f>IF($B338="","",MONTH($B338))</f>
        <v/>
      </c>
      <c r="R338" s="24">
        <f>IF($B338="","",YEAR($B338))</f>
        <v/>
      </c>
      <c r="S338" s="25">
        <f>IF($B338="","",$B338-WEEKDAY($B338,3))</f>
        <v/>
      </c>
      <c r="T338" s="24">
        <f>IF($B338="",0,IF(COUNTIFS($B$5:$B338,$B338,$D$5:$D338,$D338)=1,1,0))</f>
        <v/>
      </c>
      <c r="U338" s="24">
        <f>IF($B338="",0,IF(COUNTIFS($B$5:$B338,$B338,$C$5:$C338,$C338)=1,1,0))</f>
        <v/>
      </c>
      <c r="V338" s="24">
        <f>IF(OR($B338="",$G338="",$G338="لا توجد مشاهدات"),0,1)</f>
        <v/>
      </c>
      <c r="W338" s="24">
        <f>IF(AND($B338&lt;&gt;"",$I338="تم تحرير مخالفة"),1,0)</f>
        <v/>
      </c>
      <c r="X338" s="24">
        <f>IF($B338="","",IF($S338=WkStart,COUNTIF($S$5:$S338,WkStart),""))</f>
        <v/>
      </c>
    </row>
    <row r="339">
      <c r="A339" s="16">
        <f>IF($B339="","",ROW()-4)</f>
        <v/>
      </c>
      <c r="B339" s="17" t="n"/>
      <c r="C339" s="18" t="n"/>
      <c r="D339" s="18" t="n"/>
      <c r="E339" s="19" t="n"/>
      <c r="F339" s="19" t="n"/>
      <c r="G339" s="18" t="n"/>
      <c r="H339" s="18" t="n"/>
      <c r="I339" s="18" t="n"/>
      <c r="J339" s="20" t="n"/>
      <c r="K339" s="21" t="n"/>
      <c r="L339" s="21" t="n"/>
      <c r="M339" s="18" t="n"/>
      <c r="N339" s="22">
        <f>IF($B339="","",CHOOSE(WEEKDAY($B339),"الأحد","الاثنين","الثلاثاء","الأربعاء","الخميس","الجمعة","السبت"))</f>
        <v/>
      </c>
      <c r="O339" s="23">
        <f>IF(OR($K339="",$L339=""),"",HYPERLINK("https://maps.google.com/?q="&amp;$K339&amp;","&amp;$L339,"عرض الموقع"))</f>
        <v/>
      </c>
      <c r="P339" s="23">
        <f>IF(OR($B339="",N($J339)=0),"",HYPERLINK(PhotoDir&amp;"/"&amp;YEAR($B339)&amp;"-"&amp;TEXT(MONTH($B339),"00")&amp;"-"&amp;TEXT(DAY($B339),"00")&amp;"_"&amp;$D339,"فتح الصور ("&amp;$J339&amp;")"))</f>
        <v/>
      </c>
      <c r="Q339" s="24">
        <f>IF($B339="","",MONTH($B339))</f>
        <v/>
      </c>
      <c r="R339" s="24">
        <f>IF($B339="","",YEAR($B339))</f>
        <v/>
      </c>
      <c r="S339" s="25">
        <f>IF($B339="","",$B339-WEEKDAY($B339,3))</f>
        <v/>
      </c>
      <c r="T339" s="24">
        <f>IF($B339="",0,IF(COUNTIFS($B$5:$B339,$B339,$D$5:$D339,$D339)=1,1,0))</f>
        <v/>
      </c>
      <c r="U339" s="24">
        <f>IF($B339="",0,IF(COUNTIFS($B$5:$B339,$B339,$C$5:$C339,$C339)=1,1,0))</f>
        <v/>
      </c>
      <c r="V339" s="24">
        <f>IF(OR($B339="",$G339="",$G339="لا توجد مشاهدات"),0,1)</f>
        <v/>
      </c>
      <c r="W339" s="24">
        <f>IF(AND($B339&lt;&gt;"",$I339="تم تحرير مخالفة"),1,0)</f>
        <v/>
      </c>
      <c r="X339" s="24">
        <f>IF($B339="","",IF($S339=WkStart,COUNTIF($S$5:$S339,WkStart),""))</f>
        <v/>
      </c>
    </row>
    <row r="340">
      <c r="A340" s="16">
        <f>IF($B340="","",ROW()-4)</f>
        <v/>
      </c>
      <c r="B340" s="17" t="n"/>
      <c r="C340" s="18" t="n"/>
      <c r="D340" s="18" t="n"/>
      <c r="E340" s="19" t="n"/>
      <c r="F340" s="19" t="n"/>
      <c r="G340" s="18" t="n"/>
      <c r="H340" s="18" t="n"/>
      <c r="I340" s="18" t="n"/>
      <c r="J340" s="20" t="n"/>
      <c r="K340" s="21" t="n"/>
      <c r="L340" s="21" t="n"/>
      <c r="M340" s="18" t="n"/>
      <c r="N340" s="22">
        <f>IF($B340="","",CHOOSE(WEEKDAY($B340),"الأحد","الاثنين","الثلاثاء","الأربعاء","الخميس","الجمعة","السبت"))</f>
        <v/>
      </c>
      <c r="O340" s="23">
        <f>IF(OR($K340="",$L340=""),"",HYPERLINK("https://maps.google.com/?q="&amp;$K340&amp;","&amp;$L340,"عرض الموقع"))</f>
        <v/>
      </c>
      <c r="P340" s="23">
        <f>IF(OR($B340="",N($J340)=0),"",HYPERLINK(PhotoDir&amp;"/"&amp;YEAR($B340)&amp;"-"&amp;TEXT(MONTH($B340),"00")&amp;"-"&amp;TEXT(DAY($B340),"00")&amp;"_"&amp;$D340,"فتح الصور ("&amp;$J340&amp;")"))</f>
        <v/>
      </c>
      <c r="Q340" s="24">
        <f>IF($B340="","",MONTH($B340))</f>
        <v/>
      </c>
      <c r="R340" s="24">
        <f>IF($B340="","",YEAR($B340))</f>
        <v/>
      </c>
      <c r="S340" s="25">
        <f>IF($B340="","",$B340-WEEKDAY($B340,3))</f>
        <v/>
      </c>
      <c r="T340" s="24">
        <f>IF($B340="",0,IF(COUNTIFS($B$5:$B340,$B340,$D$5:$D340,$D340)=1,1,0))</f>
        <v/>
      </c>
      <c r="U340" s="24">
        <f>IF($B340="",0,IF(COUNTIFS($B$5:$B340,$B340,$C$5:$C340,$C340)=1,1,0))</f>
        <v/>
      </c>
      <c r="V340" s="24">
        <f>IF(OR($B340="",$G340="",$G340="لا توجد مشاهدات"),0,1)</f>
        <v/>
      </c>
      <c r="W340" s="24">
        <f>IF(AND($B340&lt;&gt;"",$I340="تم تحرير مخالفة"),1,0)</f>
        <v/>
      </c>
      <c r="X340" s="24">
        <f>IF($B340="","",IF($S340=WkStart,COUNTIF($S$5:$S340,WkStart),""))</f>
        <v/>
      </c>
    </row>
    <row r="341">
      <c r="A341" s="16">
        <f>IF($B341="","",ROW()-4)</f>
        <v/>
      </c>
      <c r="B341" s="17" t="n"/>
      <c r="C341" s="18" t="n"/>
      <c r="D341" s="18" t="n"/>
      <c r="E341" s="19" t="n"/>
      <c r="F341" s="19" t="n"/>
      <c r="G341" s="18" t="n"/>
      <c r="H341" s="18" t="n"/>
      <c r="I341" s="18" t="n"/>
      <c r="J341" s="20" t="n"/>
      <c r="K341" s="21" t="n"/>
      <c r="L341" s="21" t="n"/>
      <c r="M341" s="18" t="n"/>
      <c r="N341" s="22">
        <f>IF($B341="","",CHOOSE(WEEKDAY($B341),"الأحد","الاثنين","الثلاثاء","الأربعاء","الخميس","الجمعة","السبت"))</f>
        <v/>
      </c>
      <c r="O341" s="23">
        <f>IF(OR($K341="",$L341=""),"",HYPERLINK("https://maps.google.com/?q="&amp;$K341&amp;","&amp;$L341,"عرض الموقع"))</f>
        <v/>
      </c>
      <c r="P341" s="23">
        <f>IF(OR($B341="",N($J341)=0),"",HYPERLINK(PhotoDir&amp;"/"&amp;YEAR($B341)&amp;"-"&amp;TEXT(MONTH($B341),"00")&amp;"-"&amp;TEXT(DAY($B341),"00")&amp;"_"&amp;$D341,"فتح الصور ("&amp;$J341&amp;")"))</f>
        <v/>
      </c>
      <c r="Q341" s="24">
        <f>IF($B341="","",MONTH($B341))</f>
        <v/>
      </c>
      <c r="R341" s="24">
        <f>IF($B341="","",YEAR($B341))</f>
        <v/>
      </c>
      <c r="S341" s="25">
        <f>IF($B341="","",$B341-WEEKDAY($B341,3))</f>
        <v/>
      </c>
      <c r="T341" s="24">
        <f>IF($B341="",0,IF(COUNTIFS($B$5:$B341,$B341,$D$5:$D341,$D341)=1,1,0))</f>
        <v/>
      </c>
      <c r="U341" s="24">
        <f>IF($B341="",0,IF(COUNTIFS($B$5:$B341,$B341,$C$5:$C341,$C341)=1,1,0))</f>
        <v/>
      </c>
      <c r="V341" s="24">
        <f>IF(OR($B341="",$G341="",$G341="لا توجد مشاهدات"),0,1)</f>
        <v/>
      </c>
      <c r="W341" s="24">
        <f>IF(AND($B341&lt;&gt;"",$I341="تم تحرير مخالفة"),1,0)</f>
        <v/>
      </c>
      <c r="X341" s="24">
        <f>IF($B341="","",IF($S341=WkStart,COUNTIF($S$5:$S341,WkStart),""))</f>
        <v/>
      </c>
    </row>
    <row r="342">
      <c r="A342" s="16">
        <f>IF($B342="","",ROW()-4)</f>
        <v/>
      </c>
      <c r="B342" s="17" t="n"/>
      <c r="C342" s="18" t="n"/>
      <c r="D342" s="18" t="n"/>
      <c r="E342" s="19" t="n"/>
      <c r="F342" s="19" t="n"/>
      <c r="G342" s="18" t="n"/>
      <c r="H342" s="18" t="n"/>
      <c r="I342" s="18" t="n"/>
      <c r="J342" s="20" t="n"/>
      <c r="K342" s="21" t="n"/>
      <c r="L342" s="21" t="n"/>
      <c r="M342" s="18" t="n"/>
      <c r="N342" s="22">
        <f>IF($B342="","",CHOOSE(WEEKDAY($B342),"الأحد","الاثنين","الثلاثاء","الأربعاء","الخميس","الجمعة","السبت"))</f>
        <v/>
      </c>
      <c r="O342" s="23">
        <f>IF(OR($K342="",$L342=""),"",HYPERLINK("https://maps.google.com/?q="&amp;$K342&amp;","&amp;$L342,"عرض الموقع"))</f>
        <v/>
      </c>
      <c r="P342" s="23">
        <f>IF(OR($B342="",N($J342)=0),"",HYPERLINK(PhotoDir&amp;"/"&amp;YEAR($B342)&amp;"-"&amp;TEXT(MONTH($B342),"00")&amp;"-"&amp;TEXT(DAY($B342),"00")&amp;"_"&amp;$D342,"فتح الصور ("&amp;$J342&amp;")"))</f>
        <v/>
      </c>
      <c r="Q342" s="24">
        <f>IF($B342="","",MONTH($B342))</f>
        <v/>
      </c>
      <c r="R342" s="24">
        <f>IF($B342="","",YEAR($B342))</f>
        <v/>
      </c>
      <c r="S342" s="25">
        <f>IF($B342="","",$B342-WEEKDAY($B342,3))</f>
        <v/>
      </c>
      <c r="T342" s="24">
        <f>IF($B342="",0,IF(COUNTIFS($B$5:$B342,$B342,$D$5:$D342,$D342)=1,1,0))</f>
        <v/>
      </c>
      <c r="U342" s="24">
        <f>IF($B342="",0,IF(COUNTIFS($B$5:$B342,$B342,$C$5:$C342,$C342)=1,1,0))</f>
        <v/>
      </c>
      <c r="V342" s="24">
        <f>IF(OR($B342="",$G342="",$G342="لا توجد مشاهدات"),0,1)</f>
        <v/>
      </c>
      <c r="W342" s="24">
        <f>IF(AND($B342&lt;&gt;"",$I342="تم تحرير مخالفة"),1,0)</f>
        <v/>
      </c>
      <c r="X342" s="24">
        <f>IF($B342="","",IF($S342=WkStart,COUNTIF($S$5:$S342,WkStart),""))</f>
        <v/>
      </c>
    </row>
    <row r="343">
      <c r="A343" s="16">
        <f>IF($B343="","",ROW()-4)</f>
        <v/>
      </c>
      <c r="B343" s="17" t="n"/>
      <c r="C343" s="18" t="n"/>
      <c r="D343" s="18" t="n"/>
      <c r="E343" s="19" t="n"/>
      <c r="F343" s="19" t="n"/>
      <c r="G343" s="18" t="n"/>
      <c r="H343" s="18" t="n"/>
      <c r="I343" s="18" t="n"/>
      <c r="J343" s="20" t="n"/>
      <c r="K343" s="21" t="n"/>
      <c r="L343" s="21" t="n"/>
      <c r="M343" s="18" t="n"/>
      <c r="N343" s="22">
        <f>IF($B343="","",CHOOSE(WEEKDAY($B343),"الأحد","الاثنين","الثلاثاء","الأربعاء","الخميس","الجمعة","السبت"))</f>
        <v/>
      </c>
      <c r="O343" s="23">
        <f>IF(OR($K343="",$L343=""),"",HYPERLINK("https://maps.google.com/?q="&amp;$K343&amp;","&amp;$L343,"عرض الموقع"))</f>
        <v/>
      </c>
      <c r="P343" s="23">
        <f>IF(OR($B343="",N($J343)=0),"",HYPERLINK(PhotoDir&amp;"/"&amp;YEAR($B343)&amp;"-"&amp;TEXT(MONTH($B343),"00")&amp;"-"&amp;TEXT(DAY($B343),"00")&amp;"_"&amp;$D343,"فتح الصور ("&amp;$J343&amp;")"))</f>
        <v/>
      </c>
      <c r="Q343" s="24">
        <f>IF($B343="","",MONTH($B343))</f>
        <v/>
      </c>
      <c r="R343" s="24">
        <f>IF($B343="","",YEAR($B343))</f>
        <v/>
      </c>
      <c r="S343" s="25">
        <f>IF($B343="","",$B343-WEEKDAY($B343,3))</f>
        <v/>
      </c>
      <c r="T343" s="24">
        <f>IF($B343="",0,IF(COUNTIFS($B$5:$B343,$B343,$D$5:$D343,$D343)=1,1,0))</f>
        <v/>
      </c>
      <c r="U343" s="24">
        <f>IF($B343="",0,IF(COUNTIFS($B$5:$B343,$B343,$C$5:$C343,$C343)=1,1,0))</f>
        <v/>
      </c>
      <c r="V343" s="24">
        <f>IF(OR($B343="",$G343="",$G343="لا توجد مشاهدات"),0,1)</f>
        <v/>
      </c>
      <c r="W343" s="24">
        <f>IF(AND($B343&lt;&gt;"",$I343="تم تحرير مخالفة"),1,0)</f>
        <v/>
      </c>
      <c r="X343" s="24">
        <f>IF($B343="","",IF($S343=WkStart,COUNTIF($S$5:$S343,WkStart),""))</f>
        <v/>
      </c>
    </row>
    <row r="344">
      <c r="A344" s="16">
        <f>IF($B344="","",ROW()-4)</f>
        <v/>
      </c>
      <c r="B344" s="17" t="n"/>
      <c r="C344" s="18" t="n"/>
      <c r="D344" s="18" t="n"/>
      <c r="E344" s="19" t="n"/>
      <c r="F344" s="19" t="n"/>
      <c r="G344" s="18" t="n"/>
      <c r="H344" s="18" t="n"/>
      <c r="I344" s="18" t="n"/>
      <c r="J344" s="20" t="n"/>
      <c r="K344" s="21" t="n"/>
      <c r="L344" s="21" t="n"/>
      <c r="M344" s="18" t="n"/>
      <c r="N344" s="22">
        <f>IF($B344="","",CHOOSE(WEEKDAY($B344),"الأحد","الاثنين","الثلاثاء","الأربعاء","الخميس","الجمعة","السبت"))</f>
        <v/>
      </c>
      <c r="O344" s="23">
        <f>IF(OR($K344="",$L344=""),"",HYPERLINK("https://maps.google.com/?q="&amp;$K344&amp;","&amp;$L344,"عرض الموقع"))</f>
        <v/>
      </c>
      <c r="P344" s="23">
        <f>IF(OR($B344="",N($J344)=0),"",HYPERLINK(PhotoDir&amp;"/"&amp;YEAR($B344)&amp;"-"&amp;TEXT(MONTH($B344),"00")&amp;"-"&amp;TEXT(DAY($B344),"00")&amp;"_"&amp;$D344,"فتح الصور ("&amp;$J344&amp;")"))</f>
        <v/>
      </c>
      <c r="Q344" s="24">
        <f>IF($B344="","",MONTH($B344))</f>
        <v/>
      </c>
      <c r="R344" s="24">
        <f>IF($B344="","",YEAR($B344))</f>
        <v/>
      </c>
      <c r="S344" s="25">
        <f>IF($B344="","",$B344-WEEKDAY($B344,3))</f>
        <v/>
      </c>
      <c r="T344" s="24">
        <f>IF($B344="",0,IF(COUNTIFS($B$5:$B344,$B344,$D$5:$D344,$D344)=1,1,0))</f>
        <v/>
      </c>
      <c r="U344" s="24">
        <f>IF($B344="",0,IF(COUNTIFS($B$5:$B344,$B344,$C$5:$C344,$C344)=1,1,0))</f>
        <v/>
      </c>
      <c r="V344" s="24">
        <f>IF(OR($B344="",$G344="",$G344="لا توجد مشاهدات"),0,1)</f>
        <v/>
      </c>
      <c r="W344" s="24">
        <f>IF(AND($B344&lt;&gt;"",$I344="تم تحرير مخالفة"),1,0)</f>
        <v/>
      </c>
      <c r="X344" s="24">
        <f>IF($B344="","",IF($S344=WkStart,COUNTIF($S$5:$S344,WkStart),""))</f>
        <v/>
      </c>
    </row>
    <row r="345">
      <c r="A345" s="16">
        <f>IF($B345="","",ROW()-4)</f>
        <v/>
      </c>
      <c r="B345" s="17" t="n"/>
      <c r="C345" s="18" t="n"/>
      <c r="D345" s="18" t="n"/>
      <c r="E345" s="19" t="n"/>
      <c r="F345" s="19" t="n"/>
      <c r="G345" s="18" t="n"/>
      <c r="H345" s="18" t="n"/>
      <c r="I345" s="18" t="n"/>
      <c r="J345" s="20" t="n"/>
      <c r="K345" s="21" t="n"/>
      <c r="L345" s="21" t="n"/>
      <c r="M345" s="18" t="n"/>
      <c r="N345" s="22">
        <f>IF($B345="","",CHOOSE(WEEKDAY($B345),"الأحد","الاثنين","الثلاثاء","الأربعاء","الخميس","الجمعة","السبت"))</f>
        <v/>
      </c>
      <c r="O345" s="23">
        <f>IF(OR($K345="",$L345=""),"",HYPERLINK("https://maps.google.com/?q="&amp;$K345&amp;","&amp;$L345,"عرض الموقع"))</f>
        <v/>
      </c>
      <c r="P345" s="23">
        <f>IF(OR($B345="",N($J345)=0),"",HYPERLINK(PhotoDir&amp;"/"&amp;YEAR($B345)&amp;"-"&amp;TEXT(MONTH($B345),"00")&amp;"-"&amp;TEXT(DAY($B345),"00")&amp;"_"&amp;$D345,"فتح الصور ("&amp;$J345&amp;")"))</f>
        <v/>
      </c>
      <c r="Q345" s="24">
        <f>IF($B345="","",MONTH($B345))</f>
        <v/>
      </c>
      <c r="R345" s="24">
        <f>IF($B345="","",YEAR($B345))</f>
        <v/>
      </c>
      <c r="S345" s="25">
        <f>IF($B345="","",$B345-WEEKDAY($B345,3))</f>
        <v/>
      </c>
      <c r="T345" s="24">
        <f>IF($B345="",0,IF(COUNTIFS($B$5:$B345,$B345,$D$5:$D345,$D345)=1,1,0))</f>
        <v/>
      </c>
      <c r="U345" s="24">
        <f>IF($B345="",0,IF(COUNTIFS($B$5:$B345,$B345,$C$5:$C345,$C345)=1,1,0))</f>
        <v/>
      </c>
      <c r="V345" s="24">
        <f>IF(OR($B345="",$G345="",$G345="لا توجد مشاهدات"),0,1)</f>
        <v/>
      </c>
      <c r="W345" s="24">
        <f>IF(AND($B345&lt;&gt;"",$I345="تم تحرير مخالفة"),1,0)</f>
        <v/>
      </c>
      <c r="X345" s="24">
        <f>IF($B345="","",IF($S345=WkStart,COUNTIF($S$5:$S345,WkStart),""))</f>
        <v/>
      </c>
    </row>
    <row r="346">
      <c r="A346" s="16">
        <f>IF($B346="","",ROW()-4)</f>
        <v/>
      </c>
      <c r="B346" s="17" t="n"/>
      <c r="C346" s="18" t="n"/>
      <c r="D346" s="18" t="n"/>
      <c r="E346" s="19" t="n"/>
      <c r="F346" s="19" t="n"/>
      <c r="G346" s="18" t="n"/>
      <c r="H346" s="18" t="n"/>
      <c r="I346" s="18" t="n"/>
      <c r="J346" s="20" t="n"/>
      <c r="K346" s="21" t="n"/>
      <c r="L346" s="21" t="n"/>
      <c r="M346" s="18" t="n"/>
      <c r="N346" s="22">
        <f>IF($B346="","",CHOOSE(WEEKDAY($B346),"الأحد","الاثنين","الثلاثاء","الأربعاء","الخميس","الجمعة","السبت"))</f>
        <v/>
      </c>
      <c r="O346" s="23">
        <f>IF(OR($K346="",$L346=""),"",HYPERLINK("https://maps.google.com/?q="&amp;$K346&amp;","&amp;$L346,"عرض الموقع"))</f>
        <v/>
      </c>
      <c r="P346" s="23">
        <f>IF(OR($B346="",N($J346)=0),"",HYPERLINK(PhotoDir&amp;"/"&amp;YEAR($B346)&amp;"-"&amp;TEXT(MONTH($B346),"00")&amp;"-"&amp;TEXT(DAY($B346),"00")&amp;"_"&amp;$D346,"فتح الصور ("&amp;$J346&amp;")"))</f>
        <v/>
      </c>
      <c r="Q346" s="24">
        <f>IF($B346="","",MONTH($B346))</f>
        <v/>
      </c>
      <c r="R346" s="24">
        <f>IF($B346="","",YEAR($B346))</f>
        <v/>
      </c>
      <c r="S346" s="25">
        <f>IF($B346="","",$B346-WEEKDAY($B346,3))</f>
        <v/>
      </c>
      <c r="T346" s="24">
        <f>IF($B346="",0,IF(COUNTIFS($B$5:$B346,$B346,$D$5:$D346,$D346)=1,1,0))</f>
        <v/>
      </c>
      <c r="U346" s="24">
        <f>IF($B346="",0,IF(COUNTIFS($B$5:$B346,$B346,$C$5:$C346,$C346)=1,1,0))</f>
        <v/>
      </c>
      <c r="V346" s="24">
        <f>IF(OR($B346="",$G346="",$G346="لا توجد مشاهدات"),0,1)</f>
        <v/>
      </c>
      <c r="W346" s="24">
        <f>IF(AND($B346&lt;&gt;"",$I346="تم تحرير مخالفة"),1,0)</f>
        <v/>
      </c>
      <c r="X346" s="24">
        <f>IF($B346="","",IF($S346=WkStart,COUNTIF($S$5:$S346,WkStart),""))</f>
        <v/>
      </c>
    </row>
    <row r="347">
      <c r="A347" s="16">
        <f>IF($B347="","",ROW()-4)</f>
        <v/>
      </c>
      <c r="B347" s="17" t="n"/>
      <c r="C347" s="18" t="n"/>
      <c r="D347" s="18" t="n"/>
      <c r="E347" s="19" t="n"/>
      <c r="F347" s="19" t="n"/>
      <c r="G347" s="18" t="n"/>
      <c r="H347" s="18" t="n"/>
      <c r="I347" s="18" t="n"/>
      <c r="J347" s="20" t="n"/>
      <c r="K347" s="21" t="n"/>
      <c r="L347" s="21" t="n"/>
      <c r="M347" s="18" t="n"/>
      <c r="N347" s="22">
        <f>IF($B347="","",CHOOSE(WEEKDAY($B347),"الأحد","الاثنين","الثلاثاء","الأربعاء","الخميس","الجمعة","السبت"))</f>
        <v/>
      </c>
      <c r="O347" s="23">
        <f>IF(OR($K347="",$L347=""),"",HYPERLINK("https://maps.google.com/?q="&amp;$K347&amp;","&amp;$L347,"عرض الموقع"))</f>
        <v/>
      </c>
      <c r="P347" s="23">
        <f>IF(OR($B347="",N($J347)=0),"",HYPERLINK(PhotoDir&amp;"/"&amp;YEAR($B347)&amp;"-"&amp;TEXT(MONTH($B347),"00")&amp;"-"&amp;TEXT(DAY($B347),"00")&amp;"_"&amp;$D347,"فتح الصور ("&amp;$J347&amp;")"))</f>
        <v/>
      </c>
      <c r="Q347" s="24">
        <f>IF($B347="","",MONTH($B347))</f>
        <v/>
      </c>
      <c r="R347" s="24">
        <f>IF($B347="","",YEAR($B347))</f>
        <v/>
      </c>
      <c r="S347" s="25">
        <f>IF($B347="","",$B347-WEEKDAY($B347,3))</f>
        <v/>
      </c>
      <c r="T347" s="24">
        <f>IF($B347="",0,IF(COUNTIFS($B$5:$B347,$B347,$D$5:$D347,$D347)=1,1,0))</f>
        <v/>
      </c>
      <c r="U347" s="24">
        <f>IF($B347="",0,IF(COUNTIFS($B$5:$B347,$B347,$C$5:$C347,$C347)=1,1,0))</f>
        <v/>
      </c>
      <c r="V347" s="24">
        <f>IF(OR($B347="",$G347="",$G347="لا توجد مشاهدات"),0,1)</f>
        <v/>
      </c>
      <c r="W347" s="24">
        <f>IF(AND($B347&lt;&gt;"",$I347="تم تحرير مخالفة"),1,0)</f>
        <v/>
      </c>
      <c r="X347" s="24">
        <f>IF($B347="","",IF($S347=WkStart,COUNTIF($S$5:$S347,WkStart),""))</f>
        <v/>
      </c>
    </row>
    <row r="348">
      <c r="A348" s="16">
        <f>IF($B348="","",ROW()-4)</f>
        <v/>
      </c>
      <c r="B348" s="17" t="n"/>
      <c r="C348" s="18" t="n"/>
      <c r="D348" s="18" t="n"/>
      <c r="E348" s="19" t="n"/>
      <c r="F348" s="19" t="n"/>
      <c r="G348" s="18" t="n"/>
      <c r="H348" s="18" t="n"/>
      <c r="I348" s="18" t="n"/>
      <c r="J348" s="20" t="n"/>
      <c r="K348" s="21" t="n"/>
      <c r="L348" s="21" t="n"/>
      <c r="M348" s="18" t="n"/>
      <c r="N348" s="22">
        <f>IF($B348="","",CHOOSE(WEEKDAY($B348),"الأحد","الاثنين","الثلاثاء","الأربعاء","الخميس","الجمعة","السبت"))</f>
        <v/>
      </c>
      <c r="O348" s="23">
        <f>IF(OR($K348="",$L348=""),"",HYPERLINK("https://maps.google.com/?q="&amp;$K348&amp;","&amp;$L348,"عرض الموقع"))</f>
        <v/>
      </c>
      <c r="P348" s="23">
        <f>IF(OR($B348="",N($J348)=0),"",HYPERLINK(PhotoDir&amp;"/"&amp;YEAR($B348)&amp;"-"&amp;TEXT(MONTH($B348),"00")&amp;"-"&amp;TEXT(DAY($B348),"00")&amp;"_"&amp;$D348,"فتح الصور ("&amp;$J348&amp;")"))</f>
        <v/>
      </c>
      <c r="Q348" s="24">
        <f>IF($B348="","",MONTH($B348))</f>
        <v/>
      </c>
      <c r="R348" s="24">
        <f>IF($B348="","",YEAR($B348))</f>
        <v/>
      </c>
      <c r="S348" s="25">
        <f>IF($B348="","",$B348-WEEKDAY($B348,3))</f>
        <v/>
      </c>
      <c r="T348" s="24">
        <f>IF($B348="",0,IF(COUNTIFS($B$5:$B348,$B348,$D$5:$D348,$D348)=1,1,0))</f>
        <v/>
      </c>
      <c r="U348" s="24">
        <f>IF($B348="",0,IF(COUNTIFS($B$5:$B348,$B348,$C$5:$C348,$C348)=1,1,0))</f>
        <v/>
      </c>
      <c r="V348" s="24">
        <f>IF(OR($B348="",$G348="",$G348="لا توجد مشاهدات"),0,1)</f>
        <v/>
      </c>
      <c r="W348" s="24">
        <f>IF(AND($B348&lt;&gt;"",$I348="تم تحرير مخالفة"),1,0)</f>
        <v/>
      </c>
      <c r="X348" s="24">
        <f>IF($B348="","",IF($S348=WkStart,COUNTIF($S$5:$S348,WkStart),""))</f>
        <v/>
      </c>
    </row>
    <row r="349">
      <c r="A349" s="16">
        <f>IF($B349="","",ROW()-4)</f>
        <v/>
      </c>
      <c r="B349" s="17" t="n"/>
      <c r="C349" s="18" t="n"/>
      <c r="D349" s="18" t="n"/>
      <c r="E349" s="19" t="n"/>
      <c r="F349" s="19" t="n"/>
      <c r="G349" s="18" t="n"/>
      <c r="H349" s="18" t="n"/>
      <c r="I349" s="18" t="n"/>
      <c r="J349" s="20" t="n"/>
      <c r="K349" s="21" t="n"/>
      <c r="L349" s="21" t="n"/>
      <c r="M349" s="18" t="n"/>
      <c r="N349" s="22">
        <f>IF($B349="","",CHOOSE(WEEKDAY($B349),"الأحد","الاثنين","الثلاثاء","الأربعاء","الخميس","الجمعة","السبت"))</f>
        <v/>
      </c>
      <c r="O349" s="23">
        <f>IF(OR($K349="",$L349=""),"",HYPERLINK("https://maps.google.com/?q="&amp;$K349&amp;","&amp;$L349,"عرض الموقع"))</f>
        <v/>
      </c>
      <c r="P349" s="23">
        <f>IF(OR($B349="",N($J349)=0),"",HYPERLINK(PhotoDir&amp;"/"&amp;YEAR($B349)&amp;"-"&amp;TEXT(MONTH($B349),"00")&amp;"-"&amp;TEXT(DAY($B349),"00")&amp;"_"&amp;$D349,"فتح الصور ("&amp;$J349&amp;")"))</f>
        <v/>
      </c>
      <c r="Q349" s="24">
        <f>IF($B349="","",MONTH($B349))</f>
        <v/>
      </c>
      <c r="R349" s="24">
        <f>IF($B349="","",YEAR($B349))</f>
        <v/>
      </c>
      <c r="S349" s="25">
        <f>IF($B349="","",$B349-WEEKDAY($B349,3))</f>
        <v/>
      </c>
      <c r="T349" s="24">
        <f>IF($B349="",0,IF(COUNTIFS($B$5:$B349,$B349,$D$5:$D349,$D349)=1,1,0))</f>
        <v/>
      </c>
      <c r="U349" s="24">
        <f>IF($B349="",0,IF(COUNTIFS($B$5:$B349,$B349,$C$5:$C349,$C349)=1,1,0))</f>
        <v/>
      </c>
      <c r="V349" s="24">
        <f>IF(OR($B349="",$G349="",$G349="لا توجد مشاهدات"),0,1)</f>
        <v/>
      </c>
      <c r="W349" s="24">
        <f>IF(AND($B349&lt;&gt;"",$I349="تم تحرير مخالفة"),1,0)</f>
        <v/>
      </c>
      <c r="X349" s="24">
        <f>IF($B349="","",IF($S349=WkStart,COUNTIF($S$5:$S349,WkStart),""))</f>
        <v/>
      </c>
    </row>
    <row r="350">
      <c r="A350" s="16">
        <f>IF($B350="","",ROW()-4)</f>
        <v/>
      </c>
      <c r="B350" s="17" t="n"/>
      <c r="C350" s="18" t="n"/>
      <c r="D350" s="18" t="n"/>
      <c r="E350" s="19" t="n"/>
      <c r="F350" s="19" t="n"/>
      <c r="G350" s="18" t="n"/>
      <c r="H350" s="18" t="n"/>
      <c r="I350" s="18" t="n"/>
      <c r="J350" s="20" t="n"/>
      <c r="K350" s="21" t="n"/>
      <c r="L350" s="21" t="n"/>
      <c r="M350" s="18" t="n"/>
      <c r="N350" s="22">
        <f>IF($B350="","",CHOOSE(WEEKDAY($B350),"الأحد","الاثنين","الثلاثاء","الأربعاء","الخميس","الجمعة","السبت"))</f>
        <v/>
      </c>
      <c r="O350" s="23">
        <f>IF(OR($K350="",$L350=""),"",HYPERLINK("https://maps.google.com/?q="&amp;$K350&amp;","&amp;$L350,"عرض الموقع"))</f>
        <v/>
      </c>
      <c r="P350" s="23">
        <f>IF(OR($B350="",N($J350)=0),"",HYPERLINK(PhotoDir&amp;"/"&amp;YEAR($B350)&amp;"-"&amp;TEXT(MONTH($B350),"00")&amp;"-"&amp;TEXT(DAY($B350),"00")&amp;"_"&amp;$D350,"فتح الصور ("&amp;$J350&amp;")"))</f>
        <v/>
      </c>
      <c r="Q350" s="24">
        <f>IF($B350="","",MONTH($B350))</f>
        <v/>
      </c>
      <c r="R350" s="24">
        <f>IF($B350="","",YEAR($B350))</f>
        <v/>
      </c>
      <c r="S350" s="25">
        <f>IF($B350="","",$B350-WEEKDAY($B350,3))</f>
        <v/>
      </c>
      <c r="T350" s="24">
        <f>IF($B350="",0,IF(COUNTIFS($B$5:$B350,$B350,$D$5:$D350,$D350)=1,1,0))</f>
        <v/>
      </c>
      <c r="U350" s="24">
        <f>IF($B350="",0,IF(COUNTIFS($B$5:$B350,$B350,$C$5:$C350,$C350)=1,1,0))</f>
        <v/>
      </c>
      <c r="V350" s="24">
        <f>IF(OR($B350="",$G350="",$G350="لا توجد مشاهدات"),0,1)</f>
        <v/>
      </c>
      <c r="W350" s="24">
        <f>IF(AND($B350&lt;&gt;"",$I350="تم تحرير مخالفة"),1,0)</f>
        <v/>
      </c>
      <c r="X350" s="24">
        <f>IF($B350="","",IF($S350=WkStart,COUNTIF($S$5:$S350,WkStart),""))</f>
        <v/>
      </c>
    </row>
    <row r="351">
      <c r="A351" s="16">
        <f>IF($B351="","",ROW()-4)</f>
        <v/>
      </c>
      <c r="B351" s="17" t="n"/>
      <c r="C351" s="18" t="n"/>
      <c r="D351" s="18" t="n"/>
      <c r="E351" s="19" t="n"/>
      <c r="F351" s="19" t="n"/>
      <c r="G351" s="18" t="n"/>
      <c r="H351" s="18" t="n"/>
      <c r="I351" s="18" t="n"/>
      <c r="J351" s="20" t="n"/>
      <c r="K351" s="21" t="n"/>
      <c r="L351" s="21" t="n"/>
      <c r="M351" s="18" t="n"/>
      <c r="N351" s="22">
        <f>IF($B351="","",CHOOSE(WEEKDAY($B351),"الأحد","الاثنين","الثلاثاء","الأربعاء","الخميس","الجمعة","السبت"))</f>
        <v/>
      </c>
      <c r="O351" s="23">
        <f>IF(OR($K351="",$L351=""),"",HYPERLINK("https://maps.google.com/?q="&amp;$K351&amp;","&amp;$L351,"عرض الموقع"))</f>
        <v/>
      </c>
      <c r="P351" s="23">
        <f>IF(OR($B351="",N($J351)=0),"",HYPERLINK(PhotoDir&amp;"/"&amp;YEAR($B351)&amp;"-"&amp;TEXT(MONTH($B351),"00")&amp;"-"&amp;TEXT(DAY($B351),"00")&amp;"_"&amp;$D351,"فتح الصور ("&amp;$J351&amp;")"))</f>
        <v/>
      </c>
      <c r="Q351" s="24">
        <f>IF($B351="","",MONTH($B351))</f>
        <v/>
      </c>
      <c r="R351" s="24">
        <f>IF($B351="","",YEAR($B351))</f>
        <v/>
      </c>
      <c r="S351" s="25">
        <f>IF($B351="","",$B351-WEEKDAY($B351,3))</f>
        <v/>
      </c>
      <c r="T351" s="24">
        <f>IF($B351="",0,IF(COUNTIFS($B$5:$B351,$B351,$D$5:$D351,$D351)=1,1,0))</f>
        <v/>
      </c>
      <c r="U351" s="24">
        <f>IF($B351="",0,IF(COUNTIFS($B$5:$B351,$B351,$C$5:$C351,$C351)=1,1,0))</f>
        <v/>
      </c>
      <c r="V351" s="24">
        <f>IF(OR($B351="",$G351="",$G351="لا توجد مشاهدات"),0,1)</f>
        <v/>
      </c>
      <c r="W351" s="24">
        <f>IF(AND($B351&lt;&gt;"",$I351="تم تحرير مخالفة"),1,0)</f>
        <v/>
      </c>
      <c r="X351" s="24">
        <f>IF($B351="","",IF($S351=WkStart,COUNTIF($S$5:$S351,WkStart),""))</f>
        <v/>
      </c>
    </row>
    <row r="352">
      <c r="A352" s="16">
        <f>IF($B352="","",ROW()-4)</f>
        <v/>
      </c>
      <c r="B352" s="17" t="n"/>
      <c r="C352" s="18" t="n"/>
      <c r="D352" s="18" t="n"/>
      <c r="E352" s="19" t="n"/>
      <c r="F352" s="19" t="n"/>
      <c r="G352" s="18" t="n"/>
      <c r="H352" s="18" t="n"/>
      <c r="I352" s="18" t="n"/>
      <c r="J352" s="20" t="n"/>
      <c r="K352" s="21" t="n"/>
      <c r="L352" s="21" t="n"/>
      <c r="M352" s="18" t="n"/>
      <c r="N352" s="22">
        <f>IF($B352="","",CHOOSE(WEEKDAY($B352),"الأحد","الاثنين","الثلاثاء","الأربعاء","الخميس","الجمعة","السبت"))</f>
        <v/>
      </c>
      <c r="O352" s="23">
        <f>IF(OR($K352="",$L352=""),"",HYPERLINK("https://maps.google.com/?q="&amp;$K352&amp;","&amp;$L352,"عرض الموقع"))</f>
        <v/>
      </c>
      <c r="P352" s="23">
        <f>IF(OR($B352="",N($J352)=0),"",HYPERLINK(PhotoDir&amp;"/"&amp;YEAR($B352)&amp;"-"&amp;TEXT(MONTH($B352),"00")&amp;"-"&amp;TEXT(DAY($B352),"00")&amp;"_"&amp;$D352,"فتح الصور ("&amp;$J352&amp;")"))</f>
        <v/>
      </c>
      <c r="Q352" s="24">
        <f>IF($B352="","",MONTH($B352))</f>
        <v/>
      </c>
      <c r="R352" s="24">
        <f>IF($B352="","",YEAR($B352))</f>
        <v/>
      </c>
      <c r="S352" s="25">
        <f>IF($B352="","",$B352-WEEKDAY($B352,3))</f>
        <v/>
      </c>
      <c r="T352" s="24">
        <f>IF($B352="",0,IF(COUNTIFS($B$5:$B352,$B352,$D$5:$D352,$D352)=1,1,0))</f>
        <v/>
      </c>
      <c r="U352" s="24">
        <f>IF($B352="",0,IF(COUNTIFS($B$5:$B352,$B352,$C$5:$C352,$C352)=1,1,0))</f>
        <v/>
      </c>
      <c r="V352" s="24">
        <f>IF(OR($B352="",$G352="",$G352="لا توجد مشاهدات"),0,1)</f>
        <v/>
      </c>
      <c r="W352" s="24">
        <f>IF(AND($B352&lt;&gt;"",$I352="تم تحرير مخالفة"),1,0)</f>
        <v/>
      </c>
      <c r="X352" s="24">
        <f>IF($B352="","",IF($S352=WkStart,COUNTIF($S$5:$S352,WkStart),""))</f>
        <v/>
      </c>
    </row>
    <row r="353">
      <c r="A353" s="16">
        <f>IF($B353="","",ROW()-4)</f>
        <v/>
      </c>
      <c r="B353" s="17" t="n"/>
      <c r="C353" s="18" t="n"/>
      <c r="D353" s="18" t="n"/>
      <c r="E353" s="19" t="n"/>
      <c r="F353" s="19" t="n"/>
      <c r="G353" s="18" t="n"/>
      <c r="H353" s="18" t="n"/>
      <c r="I353" s="18" t="n"/>
      <c r="J353" s="20" t="n"/>
      <c r="K353" s="21" t="n"/>
      <c r="L353" s="21" t="n"/>
      <c r="M353" s="18" t="n"/>
      <c r="N353" s="22">
        <f>IF($B353="","",CHOOSE(WEEKDAY($B353),"الأحد","الاثنين","الثلاثاء","الأربعاء","الخميس","الجمعة","السبت"))</f>
        <v/>
      </c>
      <c r="O353" s="23">
        <f>IF(OR($K353="",$L353=""),"",HYPERLINK("https://maps.google.com/?q="&amp;$K353&amp;","&amp;$L353,"عرض الموقع"))</f>
        <v/>
      </c>
      <c r="P353" s="23">
        <f>IF(OR($B353="",N($J353)=0),"",HYPERLINK(PhotoDir&amp;"/"&amp;YEAR($B353)&amp;"-"&amp;TEXT(MONTH($B353),"00")&amp;"-"&amp;TEXT(DAY($B353),"00")&amp;"_"&amp;$D353,"فتح الصور ("&amp;$J353&amp;")"))</f>
        <v/>
      </c>
      <c r="Q353" s="24">
        <f>IF($B353="","",MONTH($B353))</f>
        <v/>
      </c>
      <c r="R353" s="24">
        <f>IF($B353="","",YEAR($B353))</f>
        <v/>
      </c>
      <c r="S353" s="25">
        <f>IF($B353="","",$B353-WEEKDAY($B353,3))</f>
        <v/>
      </c>
      <c r="T353" s="24">
        <f>IF($B353="",0,IF(COUNTIFS($B$5:$B353,$B353,$D$5:$D353,$D353)=1,1,0))</f>
        <v/>
      </c>
      <c r="U353" s="24">
        <f>IF($B353="",0,IF(COUNTIFS($B$5:$B353,$B353,$C$5:$C353,$C353)=1,1,0))</f>
        <v/>
      </c>
      <c r="V353" s="24">
        <f>IF(OR($B353="",$G353="",$G353="لا توجد مشاهدات"),0,1)</f>
        <v/>
      </c>
      <c r="W353" s="24">
        <f>IF(AND($B353&lt;&gt;"",$I353="تم تحرير مخالفة"),1,0)</f>
        <v/>
      </c>
      <c r="X353" s="24">
        <f>IF($B353="","",IF($S353=WkStart,COUNTIF($S$5:$S353,WkStart),""))</f>
        <v/>
      </c>
    </row>
    <row r="354">
      <c r="A354" s="16">
        <f>IF($B354="","",ROW()-4)</f>
        <v/>
      </c>
      <c r="B354" s="17" t="n"/>
      <c r="C354" s="18" t="n"/>
      <c r="D354" s="18" t="n"/>
      <c r="E354" s="19" t="n"/>
      <c r="F354" s="19" t="n"/>
      <c r="G354" s="18" t="n"/>
      <c r="H354" s="18" t="n"/>
      <c r="I354" s="18" t="n"/>
      <c r="J354" s="20" t="n"/>
      <c r="K354" s="21" t="n"/>
      <c r="L354" s="21" t="n"/>
      <c r="M354" s="18" t="n"/>
      <c r="N354" s="22">
        <f>IF($B354="","",CHOOSE(WEEKDAY($B354),"الأحد","الاثنين","الثلاثاء","الأربعاء","الخميس","الجمعة","السبت"))</f>
        <v/>
      </c>
      <c r="O354" s="23">
        <f>IF(OR($K354="",$L354=""),"",HYPERLINK("https://maps.google.com/?q="&amp;$K354&amp;","&amp;$L354,"عرض الموقع"))</f>
        <v/>
      </c>
      <c r="P354" s="23">
        <f>IF(OR($B354="",N($J354)=0),"",HYPERLINK(PhotoDir&amp;"/"&amp;YEAR($B354)&amp;"-"&amp;TEXT(MONTH($B354),"00")&amp;"-"&amp;TEXT(DAY($B354),"00")&amp;"_"&amp;$D354,"فتح الصور ("&amp;$J354&amp;")"))</f>
        <v/>
      </c>
      <c r="Q354" s="24">
        <f>IF($B354="","",MONTH($B354))</f>
        <v/>
      </c>
      <c r="R354" s="24">
        <f>IF($B354="","",YEAR($B354))</f>
        <v/>
      </c>
      <c r="S354" s="25">
        <f>IF($B354="","",$B354-WEEKDAY($B354,3))</f>
        <v/>
      </c>
      <c r="T354" s="24">
        <f>IF($B354="",0,IF(COUNTIFS($B$5:$B354,$B354,$D$5:$D354,$D354)=1,1,0))</f>
        <v/>
      </c>
      <c r="U354" s="24">
        <f>IF($B354="",0,IF(COUNTIFS($B$5:$B354,$B354,$C$5:$C354,$C354)=1,1,0))</f>
        <v/>
      </c>
      <c r="V354" s="24">
        <f>IF(OR($B354="",$G354="",$G354="لا توجد مشاهدات"),0,1)</f>
        <v/>
      </c>
      <c r="W354" s="24">
        <f>IF(AND($B354&lt;&gt;"",$I354="تم تحرير مخالفة"),1,0)</f>
        <v/>
      </c>
      <c r="X354" s="24">
        <f>IF($B354="","",IF($S354=WkStart,COUNTIF($S$5:$S354,WkStart),""))</f>
        <v/>
      </c>
    </row>
    <row r="355">
      <c r="A355" s="16">
        <f>IF($B355="","",ROW()-4)</f>
        <v/>
      </c>
      <c r="B355" s="17" t="n"/>
      <c r="C355" s="18" t="n"/>
      <c r="D355" s="18" t="n"/>
      <c r="E355" s="19" t="n"/>
      <c r="F355" s="19" t="n"/>
      <c r="G355" s="18" t="n"/>
      <c r="H355" s="18" t="n"/>
      <c r="I355" s="18" t="n"/>
      <c r="J355" s="20" t="n"/>
      <c r="K355" s="21" t="n"/>
      <c r="L355" s="21" t="n"/>
      <c r="M355" s="18" t="n"/>
      <c r="N355" s="22">
        <f>IF($B355="","",CHOOSE(WEEKDAY($B355),"الأحد","الاثنين","الثلاثاء","الأربعاء","الخميس","الجمعة","السبت"))</f>
        <v/>
      </c>
      <c r="O355" s="23">
        <f>IF(OR($K355="",$L355=""),"",HYPERLINK("https://maps.google.com/?q="&amp;$K355&amp;","&amp;$L355,"عرض الموقع"))</f>
        <v/>
      </c>
      <c r="P355" s="23">
        <f>IF(OR($B355="",N($J355)=0),"",HYPERLINK(PhotoDir&amp;"/"&amp;YEAR($B355)&amp;"-"&amp;TEXT(MONTH($B355),"00")&amp;"-"&amp;TEXT(DAY($B355),"00")&amp;"_"&amp;$D355,"فتح الصور ("&amp;$J355&amp;")"))</f>
        <v/>
      </c>
      <c r="Q355" s="24">
        <f>IF($B355="","",MONTH($B355))</f>
        <v/>
      </c>
      <c r="R355" s="24">
        <f>IF($B355="","",YEAR($B355))</f>
        <v/>
      </c>
      <c r="S355" s="25">
        <f>IF($B355="","",$B355-WEEKDAY($B355,3))</f>
        <v/>
      </c>
      <c r="T355" s="24">
        <f>IF($B355="",0,IF(COUNTIFS($B$5:$B355,$B355,$D$5:$D355,$D355)=1,1,0))</f>
        <v/>
      </c>
      <c r="U355" s="24">
        <f>IF($B355="",0,IF(COUNTIFS($B$5:$B355,$B355,$C$5:$C355,$C355)=1,1,0))</f>
        <v/>
      </c>
      <c r="V355" s="24">
        <f>IF(OR($B355="",$G355="",$G355="لا توجد مشاهدات"),0,1)</f>
        <v/>
      </c>
      <c r="W355" s="24">
        <f>IF(AND($B355&lt;&gt;"",$I355="تم تحرير مخالفة"),1,0)</f>
        <v/>
      </c>
      <c r="X355" s="24">
        <f>IF($B355="","",IF($S355=WkStart,COUNTIF($S$5:$S355,WkStart),""))</f>
        <v/>
      </c>
    </row>
    <row r="356">
      <c r="A356" s="16">
        <f>IF($B356="","",ROW()-4)</f>
        <v/>
      </c>
      <c r="B356" s="17" t="n"/>
      <c r="C356" s="18" t="n"/>
      <c r="D356" s="18" t="n"/>
      <c r="E356" s="19" t="n"/>
      <c r="F356" s="19" t="n"/>
      <c r="G356" s="18" t="n"/>
      <c r="H356" s="18" t="n"/>
      <c r="I356" s="18" t="n"/>
      <c r="J356" s="20" t="n"/>
      <c r="K356" s="21" t="n"/>
      <c r="L356" s="21" t="n"/>
      <c r="M356" s="18" t="n"/>
      <c r="N356" s="22">
        <f>IF($B356="","",CHOOSE(WEEKDAY($B356),"الأحد","الاثنين","الثلاثاء","الأربعاء","الخميس","الجمعة","السبت"))</f>
        <v/>
      </c>
      <c r="O356" s="23">
        <f>IF(OR($K356="",$L356=""),"",HYPERLINK("https://maps.google.com/?q="&amp;$K356&amp;","&amp;$L356,"عرض الموقع"))</f>
        <v/>
      </c>
      <c r="P356" s="23">
        <f>IF(OR($B356="",N($J356)=0),"",HYPERLINK(PhotoDir&amp;"/"&amp;YEAR($B356)&amp;"-"&amp;TEXT(MONTH($B356),"00")&amp;"-"&amp;TEXT(DAY($B356),"00")&amp;"_"&amp;$D356,"فتح الصور ("&amp;$J356&amp;")"))</f>
        <v/>
      </c>
      <c r="Q356" s="24">
        <f>IF($B356="","",MONTH($B356))</f>
        <v/>
      </c>
      <c r="R356" s="24">
        <f>IF($B356="","",YEAR($B356))</f>
        <v/>
      </c>
      <c r="S356" s="25">
        <f>IF($B356="","",$B356-WEEKDAY($B356,3))</f>
        <v/>
      </c>
      <c r="T356" s="24">
        <f>IF($B356="",0,IF(COUNTIFS($B$5:$B356,$B356,$D$5:$D356,$D356)=1,1,0))</f>
        <v/>
      </c>
      <c r="U356" s="24">
        <f>IF($B356="",0,IF(COUNTIFS($B$5:$B356,$B356,$C$5:$C356,$C356)=1,1,0))</f>
        <v/>
      </c>
      <c r="V356" s="24">
        <f>IF(OR($B356="",$G356="",$G356="لا توجد مشاهدات"),0,1)</f>
        <v/>
      </c>
      <c r="W356" s="24">
        <f>IF(AND($B356&lt;&gt;"",$I356="تم تحرير مخالفة"),1,0)</f>
        <v/>
      </c>
      <c r="X356" s="24">
        <f>IF($B356="","",IF($S356=WkStart,COUNTIF($S$5:$S356,WkStart),""))</f>
        <v/>
      </c>
    </row>
    <row r="357">
      <c r="A357" s="16">
        <f>IF($B357="","",ROW()-4)</f>
        <v/>
      </c>
      <c r="B357" s="17" t="n"/>
      <c r="C357" s="18" t="n"/>
      <c r="D357" s="18" t="n"/>
      <c r="E357" s="19" t="n"/>
      <c r="F357" s="19" t="n"/>
      <c r="G357" s="18" t="n"/>
      <c r="H357" s="18" t="n"/>
      <c r="I357" s="18" t="n"/>
      <c r="J357" s="20" t="n"/>
      <c r="K357" s="21" t="n"/>
      <c r="L357" s="21" t="n"/>
      <c r="M357" s="18" t="n"/>
      <c r="N357" s="22">
        <f>IF($B357="","",CHOOSE(WEEKDAY($B357),"الأحد","الاثنين","الثلاثاء","الأربعاء","الخميس","الجمعة","السبت"))</f>
        <v/>
      </c>
      <c r="O357" s="23">
        <f>IF(OR($K357="",$L357=""),"",HYPERLINK("https://maps.google.com/?q="&amp;$K357&amp;","&amp;$L357,"عرض الموقع"))</f>
        <v/>
      </c>
      <c r="P357" s="23">
        <f>IF(OR($B357="",N($J357)=0),"",HYPERLINK(PhotoDir&amp;"/"&amp;YEAR($B357)&amp;"-"&amp;TEXT(MONTH($B357),"00")&amp;"-"&amp;TEXT(DAY($B357),"00")&amp;"_"&amp;$D357,"فتح الصور ("&amp;$J357&amp;")"))</f>
        <v/>
      </c>
      <c r="Q357" s="24">
        <f>IF($B357="","",MONTH($B357))</f>
        <v/>
      </c>
      <c r="R357" s="24">
        <f>IF($B357="","",YEAR($B357))</f>
        <v/>
      </c>
      <c r="S357" s="25">
        <f>IF($B357="","",$B357-WEEKDAY($B357,3))</f>
        <v/>
      </c>
      <c r="T357" s="24">
        <f>IF($B357="",0,IF(COUNTIFS($B$5:$B357,$B357,$D$5:$D357,$D357)=1,1,0))</f>
        <v/>
      </c>
      <c r="U357" s="24">
        <f>IF($B357="",0,IF(COUNTIFS($B$5:$B357,$B357,$C$5:$C357,$C357)=1,1,0))</f>
        <v/>
      </c>
      <c r="V357" s="24">
        <f>IF(OR($B357="",$G357="",$G357="لا توجد مشاهدات"),0,1)</f>
        <v/>
      </c>
      <c r="W357" s="24">
        <f>IF(AND($B357&lt;&gt;"",$I357="تم تحرير مخالفة"),1,0)</f>
        <v/>
      </c>
      <c r="X357" s="24">
        <f>IF($B357="","",IF($S357=WkStart,COUNTIF($S$5:$S357,WkStart),""))</f>
        <v/>
      </c>
    </row>
    <row r="358">
      <c r="A358" s="16">
        <f>IF($B358="","",ROW()-4)</f>
        <v/>
      </c>
      <c r="B358" s="17" t="n"/>
      <c r="C358" s="18" t="n"/>
      <c r="D358" s="18" t="n"/>
      <c r="E358" s="19" t="n"/>
      <c r="F358" s="19" t="n"/>
      <c r="G358" s="18" t="n"/>
      <c r="H358" s="18" t="n"/>
      <c r="I358" s="18" t="n"/>
      <c r="J358" s="20" t="n"/>
      <c r="K358" s="21" t="n"/>
      <c r="L358" s="21" t="n"/>
      <c r="M358" s="18" t="n"/>
      <c r="N358" s="22">
        <f>IF($B358="","",CHOOSE(WEEKDAY($B358),"الأحد","الاثنين","الثلاثاء","الأربعاء","الخميس","الجمعة","السبت"))</f>
        <v/>
      </c>
      <c r="O358" s="23">
        <f>IF(OR($K358="",$L358=""),"",HYPERLINK("https://maps.google.com/?q="&amp;$K358&amp;","&amp;$L358,"عرض الموقع"))</f>
        <v/>
      </c>
      <c r="P358" s="23">
        <f>IF(OR($B358="",N($J358)=0),"",HYPERLINK(PhotoDir&amp;"/"&amp;YEAR($B358)&amp;"-"&amp;TEXT(MONTH($B358),"00")&amp;"-"&amp;TEXT(DAY($B358),"00")&amp;"_"&amp;$D358,"فتح الصور ("&amp;$J358&amp;")"))</f>
        <v/>
      </c>
      <c r="Q358" s="24">
        <f>IF($B358="","",MONTH($B358))</f>
        <v/>
      </c>
      <c r="R358" s="24">
        <f>IF($B358="","",YEAR($B358))</f>
        <v/>
      </c>
      <c r="S358" s="25">
        <f>IF($B358="","",$B358-WEEKDAY($B358,3))</f>
        <v/>
      </c>
      <c r="T358" s="24">
        <f>IF($B358="",0,IF(COUNTIFS($B$5:$B358,$B358,$D$5:$D358,$D358)=1,1,0))</f>
        <v/>
      </c>
      <c r="U358" s="24">
        <f>IF($B358="",0,IF(COUNTIFS($B$5:$B358,$B358,$C$5:$C358,$C358)=1,1,0))</f>
        <v/>
      </c>
      <c r="V358" s="24">
        <f>IF(OR($B358="",$G358="",$G358="لا توجد مشاهدات"),0,1)</f>
        <v/>
      </c>
      <c r="W358" s="24">
        <f>IF(AND($B358&lt;&gt;"",$I358="تم تحرير مخالفة"),1,0)</f>
        <v/>
      </c>
      <c r="X358" s="24">
        <f>IF($B358="","",IF($S358=WkStart,COUNTIF($S$5:$S358,WkStart),""))</f>
        <v/>
      </c>
    </row>
    <row r="359">
      <c r="A359" s="16">
        <f>IF($B359="","",ROW()-4)</f>
        <v/>
      </c>
      <c r="B359" s="17" t="n"/>
      <c r="C359" s="18" t="n"/>
      <c r="D359" s="18" t="n"/>
      <c r="E359" s="19" t="n"/>
      <c r="F359" s="19" t="n"/>
      <c r="G359" s="18" t="n"/>
      <c r="H359" s="18" t="n"/>
      <c r="I359" s="18" t="n"/>
      <c r="J359" s="20" t="n"/>
      <c r="K359" s="21" t="n"/>
      <c r="L359" s="21" t="n"/>
      <c r="M359" s="18" t="n"/>
      <c r="N359" s="22">
        <f>IF($B359="","",CHOOSE(WEEKDAY($B359),"الأحد","الاثنين","الثلاثاء","الأربعاء","الخميس","الجمعة","السبت"))</f>
        <v/>
      </c>
      <c r="O359" s="23">
        <f>IF(OR($K359="",$L359=""),"",HYPERLINK("https://maps.google.com/?q="&amp;$K359&amp;","&amp;$L359,"عرض الموقع"))</f>
        <v/>
      </c>
      <c r="P359" s="23">
        <f>IF(OR($B359="",N($J359)=0),"",HYPERLINK(PhotoDir&amp;"/"&amp;YEAR($B359)&amp;"-"&amp;TEXT(MONTH($B359),"00")&amp;"-"&amp;TEXT(DAY($B359),"00")&amp;"_"&amp;$D359,"فتح الصور ("&amp;$J359&amp;")"))</f>
        <v/>
      </c>
      <c r="Q359" s="24">
        <f>IF($B359="","",MONTH($B359))</f>
        <v/>
      </c>
      <c r="R359" s="24">
        <f>IF($B359="","",YEAR($B359))</f>
        <v/>
      </c>
      <c r="S359" s="25">
        <f>IF($B359="","",$B359-WEEKDAY($B359,3))</f>
        <v/>
      </c>
      <c r="T359" s="24">
        <f>IF($B359="",0,IF(COUNTIFS($B$5:$B359,$B359,$D$5:$D359,$D359)=1,1,0))</f>
        <v/>
      </c>
      <c r="U359" s="24">
        <f>IF($B359="",0,IF(COUNTIFS($B$5:$B359,$B359,$C$5:$C359,$C359)=1,1,0))</f>
        <v/>
      </c>
      <c r="V359" s="24">
        <f>IF(OR($B359="",$G359="",$G359="لا توجد مشاهدات"),0,1)</f>
        <v/>
      </c>
      <c r="W359" s="24">
        <f>IF(AND($B359&lt;&gt;"",$I359="تم تحرير مخالفة"),1,0)</f>
        <v/>
      </c>
      <c r="X359" s="24">
        <f>IF($B359="","",IF($S359=WkStart,COUNTIF($S$5:$S359,WkStart),""))</f>
        <v/>
      </c>
    </row>
    <row r="360">
      <c r="A360" s="16">
        <f>IF($B360="","",ROW()-4)</f>
        <v/>
      </c>
      <c r="B360" s="17" t="n"/>
      <c r="C360" s="18" t="n"/>
      <c r="D360" s="18" t="n"/>
      <c r="E360" s="19" t="n"/>
      <c r="F360" s="19" t="n"/>
      <c r="G360" s="18" t="n"/>
      <c r="H360" s="18" t="n"/>
      <c r="I360" s="18" t="n"/>
      <c r="J360" s="20" t="n"/>
      <c r="K360" s="21" t="n"/>
      <c r="L360" s="21" t="n"/>
      <c r="M360" s="18" t="n"/>
      <c r="N360" s="22">
        <f>IF($B360="","",CHOOSE(WEEKDAY($B360),"الأحد","الاثنين","الثلاثاء","الأربعاء","الخميس","الجمعة","السبت"))</f>
        <v/>
      </c>
      <c r="O360" s="23">
        <f>IF(OR($K360="",$L360=""),"",HYPERLINK("https://maps.google.com/?q="&amp;$K360&amp;","&amp;$L360,"عرض الموقع"))</f>
        <v/>
      </c>
      <c r="P360" s="23">
        <f>IF(OR($B360="",N($J360)=0),"",HYPERLINK(PhotoDir&amp;"/"&amp;YEAR($B360)&amp;"-"&amp;TEXT(MONTH($B360),"00")&amp;"-"&amp;TEXT(DAY($B360),"00")&amp;"_"&amp;$D360,"فتح الصور ("&amp;$J360&amp;")"))</f>
        <v/>
      </c>
      <c r="Q360" s="24">
        <f>IF($B360="","",MONTH($B360))</f>
        <v/>
      </c>
      <c r="R360" s="24">
        <f>IF($B360="","",YEAR($B360))</f>
        <v/>
      </c>
      <c r="S360" s="25">
        <f>IF($B360="","",$B360-WEEKDAY($B360,3))</f>
        <v/>
      </c>
      <c r="T360" s="24">
        <f>IF($B360="",0,IF(COUNTIFS($B$5:$B360,$B360,$D$5:$D360,$D360)=1,1,0))</f>
        <v/>
      </c>
      <c r="U360" s="24">
        <f>IF($B360="",0,IF(COUNTIFS($B$5:$B360,$B360,$C$5:$C360,$C360)=1,1,0))</f>
        <v/>
      </c>
      <c r="V360" s="24">
        <f>IF(OR($B360="",$G360="",$G360="لا توجد مشاهدات"),0,1)</f>
        <v/>
      </c>
      <c r="W360" s="24">
        <f>IF(AND($B360&lt;&gt;"",$I360="تم تحرير مخالفة"),1,0)</f>
        <v/>
      </c>
      <c r="X360" s="24">
        <f>IF($B360="","",IF($S360=WkStart,COUNTIF($S$5:$S360,WkStart),""))</f>
        <v/>
      </c>
    </row>
    <row r="361">
      <c r="A361" s="16">
        <f>IF($B361="","",ROW()-4)</f>
        <v/>
      </c>
      <c r="B361" s="17" t="n"/>
      <c r="C361" s="18" t="n"/>
      <c r="D361" s="18" t="n"/>
      <c r="E361" s="19" t="n"/>
      <c r="F361" s="19" t="n"/>
      <c r="G361" s="18" t="n"/>
      <c r="H361" s="18" t="n"/>
      <c r="I361" s="18" t="n"/>
      <c r="J361" s="20" t="n"/>
      <c r="K361" s="21" t="n"/>
      <c r="L361" s="21" t="n"/>
      <c r="M361" s="18" t="n"/>
      <c r="N361" s="22">
        <f>IF($B361="","",CHOOSE(WEEKDAY($B361),"الأحد","الاثنين","الثلاثاء","الأربعاء","الخميس","الجمعة","السبت"))</f>
        <v/>
      </c>
      <c r="O361" s="23">
        <f>IF(OR($K361="",$L361=""),"",HYPERLINK("https://maps.google.com/?q="&amp;$K361&amp;","&amp;$L361,"عرض الموقع"))</f>
        <v/>
      </c>
      <c r="P361" s="23">
        <f>IF(OR($B361="",N($J361)=0),"",HYPERLINK(PhotoDir&amp;"/"&amp;YEAR($B361)&amp;"-"&amp;TEXT(MONTH($B361),"00")&amp;"-"&amp;TEXT(DAY($B361),"00")&amp;"_"&amp;$D361,"فتح الصور ("&amp;$J361&amp;")"))</f>
        <v/>
      </c>
      <c r="Q361" s="24">
        <f>IF($B361="","",MONTH($B361))</f>
        <v/>
      </c>
      <c r="R361" s="24">
        <f>IF($B361="","",YEAR($B361))</f>
        <v/>
      </c>
      <c r="S361" s="25">
        <f>IF($B361="","",$B361-WEEKDAY($B361,3))</f>
        <v/>
      </c>
      <c r="T361" s="24">
        <f>IF($B361="",0,IF(COUNTIFS($B$5:$B361,$B361,$D$5:$D361,$D361)=1,1,0))</f>
        <v/>
      </c>
      <c r="U361" s="24">
        <f>IF($B361="",0,IF(COUNTIFS($B$5:$B361,$B361,$C$5:$C361,$C361)=1,1,0))</f>
        <v/>
      </c>
      <c r="V361" s="24">
        <f>IF(OR($B361="",$G361="",$G361="لا توجد مشاهدات"),0,1)</f>
        <v/>
      </c>
      <c r="W361" s="24">
        <f>IF(AND($B361&lt;&gt;"",$I361="تم تحرير مخالفة"),1,0)</f>
        <v/>
      </c>
      <c r="X361" s="24">
        <f>IF($B361="","",IF($S361=WkStart,COUNTIF($S$5:$S361,WkStart),""))</f>
        <v/>
      </c>
    </row>
    <row r="362">
      <c r="A362" s="16">
        <f>IF($B362="","",ROW()-4)</f>
        <v/>
      </c>
      <c r="B362" s="17" t="n"/>
      <c r="C362" s="18" t="n"/>
      <c r="D362" s="18" t="n"/>
      <c r="E362" s="19" t="n"/>
      <c r="F362" s="19" t="n"/>
      <c r="G362" s="18" t="n"/>
      <c r="H362" s="18" t="n"/>
      <c r="I362" s="18" t="n"/>
      <c r="J362" s="20" t="n"/>
      <c r="K362" s="21" t="n"/>
      <c r="L362" s="21" t="n"/>
      <c r="M362" s="18" t="n"/>
      <c r="N362" s="22">
        <f>IF($B362="","",CHOOSE(WEEKDAY($B362),"الأحد","الاثنين","الثلاثاء","الأربعاء","الخميس","الجمعة","السبت"))</f>
        <v/>
      </c>
      <c r="O362" s="23">
        <f>IF(OR($K362="",$L362=""),"",HYPERLINK("https://maps.google.com/?q="&amp;$K362&amp;","&amp;$L362,"عرض الموقع"))</f>
        <v/>
      </c>
      <c r="P362" s="23">
        <f>IF(OR($B362="",N($J362)=0),"",HYPERLINK(PhotoDir&amp;"/"&amp;YEAR($B362)&amp;"-"&amp;TEXT(MONTH($B362),"00")&amp;"-"&amp;TEXT(DAY($B362),"00")&amp;"_"&amp;$D362,"فتح الصور ("&amp;$J362&amp;")"))</f>
        <v/>
      </c>
      <c r="Q362" s="24">
        <f>IF($B362="","",MONTH($B362))</f>
        <v/>
      </c>
      <c r="R362" s="24">
        <f>IF($B362="","",YEAR($B362))</f>
        <v/>
      </c>
      <c r="S362" s="25">
        <f>IF($B362="","",$B362-WEEKDAY($B362,3))</f>
        <v/>
      </c>
      <c r="T362" s="24">
        <f>IF($B362="",0,IF(COUNTIFS($B$5:$B362,$B362,$D$5:$D362,$D362)=1,1,0))</f>
        <v/>
      </c>
      <c r="U362" s="24">
        <f>IF($B362="",0,IF(COUNTIFS($B$5:$B362,$B362,$C$5:$C362,$C362)=1,1,0))</f>
        <v/>
      </c>
      <c r="V362" s="24">
        <f>IF(OR($B362="",$G362="",$G362="لا توجد مشاهدات"),0,1)</f>
        <v/>
      </c>
      <c r="W362" s="24">
        <f>IF(AND($B362&lt;&gt;"",$I362="تم تحرير مخالفة"),1,0)</f>
        <v/>
      </c>
      <c r="X362" s="24">
        <f>IF($B362="","",IF($S362=WkStart,COUNTIF($S$5:$S362,WkStart),""))</f>
        <v/>
      </c>
    </row>
    <row r="363">
      <c r="A363" s="16">
        <f>IF($B363="","",ROW()-4)</f>
        <v/>
      </c>
      <c r="B363" s="17" t="n"/>
      <c r="C363" s="18" t="n"/>
      <c r="D363" s="18" t="n"/>
      <c r="E363" s="19" t="n"/>
      <c r="F363" s="19" t="n"/>
      <c r="G363" s="18" t="n"/>
      <c r="H363" s="18" t="n"/>
      <c r="I363" s="18" t="n"/>
      <c r="J363" s="20" t="n"/>
      <c r="K363" s="21" t="n"/>
      <c r="L363" s="21" t="n"/>
      <c r="M363" s="18" t="n"/>
      <c r="N363" s="22">
        <f>IF($B363="","",CHOOSE(WEEKDAY($B363),"الأحد","الاثنين","الثلاثاء","الأربعاء","الخميس","الجمعة","السبت"))</f>
        <v/>
      </c>
      <c r="O363" s="23">
        <f>IF(OR($K363="",$L363=""),"",HYPERLINK("https://maps.google.com/?q="&amp;$K363&amp;","&amp;$L363,"عرض الموقع"))</f>
        <v/>
      </c>
      <c r="P363" s="23">
        <f>IF(OR($B363="",N($J363)=0),"",HYPERLINK(PhotoDir&amp;"/"&amp;YEAR($B363)&amp;"-"&amp;TEXT(MONTH($B363),"00")&amp;"-"&amp;TEXT(DAY($B363),"00")&amp;"_"&amp;$D363,"فتح الصور ("&amp;$J363&amp;")"))</f>
        <v/>
      </c>
      <c r="Q363" s="24">
        <f>IF($B363="","",MONTH($B363))</f>
        <v/>
      </c>
      <c r="R363" s="24">
        <f>IF($B363="","",YEAR($B363))</f>
        <v/>
      </c>
      <c r="S363" s="25">
        <f>IF($B363="","",$B363-WEEKDAY($B363,3))</f>
        <v/>
      </c>
      <c r="T363" s="24">
        <f>IF($B363="",0,IF(COUNTIFS($B$5:$B363,$B363,$D$5:$D363,$D363)=1,1,0))</f>
        <v/>
      </c>
      <c r="U363" s="24">
        <f>IF($B363="",0,IF(COUNTIFS($B$5:$B363,$B363,$C$5:$C363,$C363)=1,1,0))</f>
        <v/>
      </c>
      <c r="V363" s="24">
        <f>IF(OR($B363="",$G363="",$G363="لا توجد مشاهدات"),0,1)</f>
        <v/>
      </c>
      <c r="W363" s="24">
        <f>IF(AND($B363&lt;&gt;"",$I363="تم تحرير مخالفة"),1,0)</f>
        <v/>
      </c>
      <c r="X363" s="24">
        <f>IF($B363="","",IF($S363=WkStart,COUNTIF($S$5:$S363,WkStart),""))</f>
        <v/>
      </c>
    </row>
    <row r="364">
      <c r="A364" s="16">
        <f>IF($B364="","",ROW()-4)</f>
        <v/>
      </c>
      <c r="B364" s="17" t="n"/>
      <c r="C364" s="18" t="n"/>
      <c r="D364" s="18" t="n"/>
      <c r="E364" s="19" t="n"/>
      <c r="F364" s="19" t="n"/>
      <c r="G364" s="18" t="n"/>
      <c r="H364" s="18" t="n"/>
      <c r="I364" s="18" t="n"/>
      <c r="J364" s="20" t="n"/>
      <c r="K364" s="21" t="n"/>
      <c r="L364" s="21" t="n"/>
      <c r="M364" s="18" t="n"/>
      <c r="N364" s="22">
        <f>IF($B364="","",CHOOSE(WEEKDAY($B364),"الأحد","الاثنين","الثلاثاء","الأربعاء","الخميس","الجمعة","السبت"))</f>
        <v/>
      </c>
      <c r="O364" s="23">
        <f>IF(OR($K364="",$L364=""),"",HYPERLINK("https://maps.google.com/?q="&amp;$K364&amp;","&amp;$L364,"عرض الموقع"))</f>
        <v/>
      </c>
      <c r="P364" s="23">
        <f>IF(OR($B364="",N($J364)=0),"",HYPERLINK(PhotoDir&amp;"/"&amp;YEAR($B364)&amp;"-"&amp;TEXT(MONTH($B364),"00")&amp;"-"&amp;TEXT(DAY($B364),"00")&amp;"_"&amp;$D364,"فتح الصور ("&amp;$J364&amp;")"))</f>
        <v/>
      </c>
      <c r="Q364" s="24">
        <f>IF($B364="","",MONTH($B364))</f>
        <v/>
      </c>
      <c r="R364" s="24">
        <f>IF($B364="","",YEAR($B364))</f>
        <v/>
      </c>
      <c r="S364" s="25">
        <f>IF($B364="","",$B364-WEEKDAY($B364,3))</f>
        <v/>
      </c>
      <c r="T364" s="24">
        <f>IF($B364="",0,IF(COUNTIFS($B$5:$B364,$B364,$D$5:$D364,$D364)=1,1,0))</f>
        <v/>
      </c>
      <c r="U364" s="24">
        <f>IF($B364="",0,IF(COUNTIFS($B$5:$B364,$B364,$C$5:$C364,$C364)=1,1,0))</f>
        <v/>
      </c>
      <c r="V364" s="24">
        <f>IF(OR($B364="",$G364="",$G364="لا توجد مشاهدات"),0,1)</f>
        <v/>
      </c>
      <c r="W364" s="24">
        <f>IF(AND($B364&lt;&gt;"",$I364="تم تحرير مخالفة"),1,0)</f>
        <v/>
      </c>
      <c r="X364" s="24">
        <f>IF($B364="","",IF($S364=WkStart,COUNTIF($S$5:$S364,WkStart),""))</f>
        <v/>
      </c>
    </row>
    <row r="365">
      <c r="A365" s="16">
        <f>IF($B365="","",ROW()-4)</f>
        <v/>
      </c>
      <c r="B365" s="17" t="n"/>
      <c r="C365" s="18" t="n"/>
      <c r="D365" s="18" t="n"/>
      <c r="E365" s="19" t="n"/>
      <c r="F365" s="19" t="n"/>
      <c r="G365" s="18" t="n"/>
      <c r="H365" s="18" t="n"/>
      <c r="I365" s="18" t="n"/>
      <c r="J365" s="20" t="n"/>
      <c r="K365" s="21" t="n"/>
      <c r="L365" s="21" t="n"/>
      <c r="M365" s="18" t="n"/>
      <c r="N365" s="22">
        <f>IF($B365="","",CHOOSE(WEEKDAY($B365),"الأحد","الاثنين","الثلاثاء","الأربعاء","الخميس","الجمعة","السبت"))</f>
        <v/>
      </c>
      <c r="O365" s="23">
        <f>IF(OR($K365="",$L365=""),"",HYPERLINK("https://maps.google.com/?q="&amp;$K365&amp;","&amp;$L365,"عرض الموقع"))</f>
        <v/>
      </c>
      <c r="P365" s="23">
        <f>IF(OR($B365="",N($J365)=0),"",HYPERLINK(PhotoDir&amp;"/"&amp;YEAR($B365)&amp;"-"&amp;TEXT(MONTH($B365),"00")&amp;"-"&amp;TEXT(DAY($B365),"00")&amp;"_"&amp;$D365,"فتح الصور ("&amp;$J365&amp;")"))</f>
        <v/>
      </c>
      <c r="Q365" s="24">
        <f>IF($B365="","",MONTH($B365))</f>
        <v/>
      </c>
      <c r="R365" s="24">
        <f>IF($B365="","",YEAR($B365))</f>
        <v/>
      </c>
      <c r="S365" s="25">
        <f>IF($B365="","",$B365-WEEKDAY($B365,3))</f>
        <v/>
      </c>
      <c r="T365" s="24">
        <f>IF($B365="",0,IF(COUNTIFS($B$5:$B365,$B365,$D$5:$D365,$D365)=1,1,0))</f>
        <v/>
      </c>
      <c r="U365" s="24">
        <f>IF($B365="",0,IF(COUNTIFS($B$5:$B365,$B365,$C$5:$C365,$C365)=1,1,0))</f>
        <v/>
      </c>
      <c r="V365" s="24">
        <f>IF(OR($B365="",$G365="",$G365="لا توجد مشاهدات"),0,1)</f>
        <v/>
      </c>
      <c r="W365" s="24">
        <f>IF(AND($B365&lt;&gt;"",$I365="تم تحرير مخالفة"),1,0)</f>
        <v/>
      </c>
      <c r="X365" s="24">
        <f>IF($B365="","",IF($S365=WkStart,COUNTIF($S$5:$S365,WkStart),""))</f>
        <v/>
      </c>
    </row>
    <row r="366">
      <c r="A366" s="16">
        <f>IF($B366="","",ROW()-4)</f>
        <v/>
      </c>
      <c r="B366" s="17" t="n"/>
      <c r="C366" s="18" t="n"/>
      <c r="D366" s="18" t="n"/>
      <c r="E366" s="19" t="n"/>
      <c r="F366" s="19" t="n"/>
      <c r="G366" s="18" t="n"/>
      <c r="H366" s="18" t="n"/>
      <c r="I366" s="18" t="n"/>
      <c r="J366" s="20" t="n"/>
      <c r="K366" s="21" t="n"/>
      <c r="L366" s="21" t="n"/>
      <c r="M366" s="18" t="n"/>
      <c r="N366" s="22">
        <f>IF($B366="","",CHOOSE(WEEKDAY($B366),"الأحد","الاثنين","الثلاثاء","الأربعاء","الخميس","الجمعة","السبت"))</f>
        <v/>
      </c>
      <c r="O366" s="23">
        <f>IF(OR($K366="",$L366=""),"",HYPERLINK("https://maps.google.com/?q="&amp;$K366&amp;","&amp;$L366,"عرض الموقع"))</f>
        <v/>
      </c>
      <c r="P366" s="23">
        <f>IF(OR($B366="",N($J366)=0),"",HYPERLINK(PhotoDir&amp;"/"&amp;YEAR($B366)&amp;"-"&amp;TEXT(MONTH($B366),"00")&amp;"-"&amp;TEXT(DAY($B366),"00")&amp;"_"&amp;$D366,"فتح الصور ("&amp;$J366&amp;")"))</f>
        <v/>
      </c>
      <c r="Q366" s="24">
        <f>IF($B366="","",MONTH($B366))</f>
        <v/>
      </c>
      <c r="R366" s="24">
        <f>IF($B366="","",YEAR($B366))</f>
        <v/>
      </c>
      <c r="S366" s="25">
        <f>IF($B366="","",$B366-WEEKDAY($B366,3))</f>
        <v/>
      </c>
      <c r="T366" s="24">
        <f>IF($B366="",0,IF(COUNTIFS($B$5:$B366,$B366,$D$5:$D366,$D366)=1,1,0))</f>
        <v/>
      </c>
      <c r="U366" s="24">
        <f>IF($B366="",0,IF(COUNTIFS($B$5:$B366,$B366,$C$5:$C366,$C366)=1,1,0))</f>
        <v/>
      </c>
      <c r="V366" s="24">
        <f>IF(OR($B366="",$G366="",$G366="لا توجد مشاهدات"),0,1)</f>
        <v/>
      </c>
      <c r="W366" s="24">
        <f>IF(AND($B366&lt;&gt;"",$I366="تم تحرير مخالفة"),1,0)</f>
        <v/>
      </c>
      <c r="X366" s="24">
        <f>IF($B366="","",IF($S366=WkStart,COUNTIF($S$5:$S366,WkStart),""))</f>
        <v/>
      </c>
    </row>
    <row r="367">
      <c r="A367" s="16">
        <f>IF($B367="","",ROW()-4)</f>
        <v/>
      </c>
      <c r="B367" s="17" t="n"/>
      <c r="C367" s="18" t="n"/>
      <c r="D367" s="18" t="n"/>
      <c r="E367" s="19" t="n"/>
      <c r="F367" s="19" t="n"/>
      <c r="G367" s="18" t="n"/>
      <c r="H367" s="18" t="n"/>
      <c r="I367" s="18" t="n"/>
      <c r="J367" s="20" t="n"/>
      <c r="K367" s="21" t="n"/>
      <c r="L367" s="21" t="n"/>
      <c r="M367" s="18" t="n"/>
      <c r="N367" s="22">
        <f>IF($B367="","",CHOOSE(WEEKDAY($B367),"الأحد","الاثنين","الثلاثاء","الأربعاء","الخميس","الجمعة","السبت"))</f>
        <v/>
      </c>
      <c r="O367" s="23">
        <f>IF(OR($K367="",$L367=""),"",HYPERLINK("https://maps.google.com/?q="&amp;$K367&amp;","&amp;$L367,"عرض الموقع"))</f>
        <v/>
      </c>
      <c r="P367" s="23">
        <f>IF(OR($B367="",N($J367)=0),"",HYPERLINK(PhotoDir&amp;"/"&amp;YEAR($B367)&amp;"-"&amp;TEXT(MONTH($B367),"00")&amp;"-"&amp;TEXT(DAY($B367),"00")&amp;"_"&amp;$D367,"فتح الصور ("&amp;$J367&amp;")"))</f>
        <v/>
      </c>
      <c r="Q367" s="24">
        <f>IF($B367="","",MONTH($B367))</f>
        <v/>
      </c>
      <c r="R367" s="24">
        <f>IF($B367="","",YEAR($B367))</f>
        <v/>
      </c>
      <c r="S367" s="25">
        <f>IF($B367="","",$B367-WEEKDAY($B367,3))</f>
        <v/>
      </c>
      <c r="T367" s="24">
        <f>IF($B367="",0,IF(COUNTIFS($B$5:$B367,$B367,$D$5:$D367,$D367)=1,1,0))</f>
        <v/>
      </c>
      <c r="U367" s="24">
        <f>IF($B367="",0,IF(COUNTIFS($B$5:$B367,$B367,$C$5:$C367,$C367)=1,1,0))</f>
        <v/>
      </c>
      <c r="V367" s="24">
        <f>IF(OR($B367="",$G367="",$G367="لا توجد مشاهدات"),0,1)</f>
        <v/>
      </c>
      <c r="W367" s="24">
        <f>IF(AND($B367&lt;&gt;"",$I367="تم تحرير مخالفة"),1,0)</f>
        <v/>
      </c>
      <c r="X367" s="24">
        <f>IF($B367="","",IF($S367=WkStart,COUNTIF($S$5:$S367,WkStart),""))</f>
        <v/>
      </c>
    </row>
    <row r="368">
      <c r="A368" s="16">
        <f>IF($B368="","",ROW()-4)</f>
        <v/>
      </c>
      <c r="B368" s="17" t="n"/>
      <c r="C368" s="18" t="n"/>
      <c r="D368" s="18" t="n"/>
      <c r="E368" s="19" t="n"/>
      <c r="F368" s="19" t="n"/>
      <c r="G368" s="18" t="n"/>
      <c r="H368" s="18" t="n"/>
      <c r="I368" s="18" t="n"/>
      <c r="J368" s="20" t="n"/>
      <c r="K368" s="21" t="n"/>
      <c r="L368" s="21" t="n"/>
      <c r="M368" s="18" t="n"/>
      <c r="N368" s="22">
        <f>IF($B368="","",CHOOSE(WEEKDAY($B368),"الأحد","الاثنين","الثلاثاء","الأربعاء","الخميس","الجمعة","السبت"))</f>
        <v/>
      </c>
      <c r="O368" s="23">
        <f>IF(OR($K368="",$L368=""),"",HYPERLINK("https://maps.google.com/?q="&amp;$K368&amp;","&amp;$L368,"عرض الموقع"))</f>
        <v/>
      </c>
      <c r="P368" s="23">
        <f>IF(OR($B368="",N($J368)=0),"",HYPERLINK(PhotoDir&amp;"/"&amp;YEAR($B368)&amp;"-"&amp;TEXT(MONTH($B368),"00")&amp;"-"&amp;TEXT(DAY($B368),"00")&amp;"_"&amp;$D368,"فتح الصور ("&amp;$J368&amp;")"))</f>
        <v/>
      </c>
      <c r="Q368" s="24">
        <f>IF($B368="","",MONTH($B368))</f>
        <v/>
      </c>
      <c r="R368" s="24">
        <f>IF($B368="","",YEAR($B368))</f>
        <v/>
      </c>
      <c r="S368" s="25">
        <f>IF($B368="","",$B368-WEEKDAY($B368,3))</f>
        <v/>
      </c>
      <c r="T368" s="24">
        <f>IF($B368="",0,IF(COUNTIFS($B$5:$B368,$B368,$D$5:$D368,$D368)=1,1,0))</f>
        <v/>
      </c>
      <c r="U368" s="24">
        <f>IF($B368="",0,IF(COUNTIFS($B$5:$B368,$B368,$C$5:$C368,$C368)=1,1,0))</f>
        <v/>
      </c>
      <c r="V368" s="24">
        <f>IF(OR($B368="",$G368="",$G368="لا توجد مشاهدات"),0,1)</f>
        <v/>
      </c>
      <c r="W368" s="24">
        <f>IF(AND($B368&lt;&gt;"",$I368="تم تحرير مخالفة"),1,0)</f>
        <v/>
      </c>
      <c r="X368" s="24">
        <f>IF($B368="","",IF($S368=WkStart,COUNTIF($S$5:$S368,WkStart),""))</f>
        <v/>
      </c>
    </row>
    <row r="369">
      <c r="A369" s="16">
        <f>IF($B369="","",ROW()-4)</f>
        <v/>
      </c>
      <c r="B369" s="17" t="n"/>
      <c r="C369" s="18" t="n"/>
      <c r="D369" s="18" t="n"/>
      <c r="E369" s="19" t="n"/>
      <c r="F369" s="19" t="n"/>
      <c r="G369" s="18" t="n"/>
      <c r="H369" s="18" t="n"/>
      <c r="I369" s="18" t="n"/>
      <c r="J369" s="20" t="n"/>
      <c r="K369" s="21" t="n"/>
      <c r="L369" s="21" t="n"/>
      <c r="M369" s="18" t="n"/>
      <c r="N369" s="22">
        <f>IF($B369="","",CHOOSE(WEEKDAY($B369),"الأحد","الاثنين","الثلاثاء","الأربعاء","الخميس","الجمعة","السبت"))</f>
        <v/>
      </c>
      <c r="O369" s="23">
        <f>IF(OR($K369="",$L369=""),"",HYPERLINK("https://maps.google.com/?q="&amp;$K369&amp;","&amp;$L369,"عرض الموقع"))</f>
        <v/>
      </c>
      <c r="P369" s="23">
        <f>IF(OR($B369="",N($J369)=0),"",HYPERLINK(PhotoDir&amp;"/"&amp;YEAR($B369)&amp;"-"&amp;TEXT(MONTH($B369),"00")&amp;"-"&amp;TEXT(DAY($B369),"00")&amp;"_"&amp;$D369,"فتح الصور ("&amp;$J369&amp;")"))</f>
        <v/>
      </c>
      <c r="Q369" s="24">
        <f>IF($B369="","",MONTH($B369))</f>
        <v/>
      </c>
      <c r="R369" s="24">
        <f>IF($B369="","",YEAR($B369))</f>
        <v/>
      </c>
      <c r="S369" s="25">
        <f>IF($B369="","",$B369-WEEKDAY($B369,3))</f>
        <v/>
      </c>
      <c r="T369" s="24">
        <f>IF($B369="",0,IF(COUNTIFS($B$5:$B369,$B369,$D$5:$D369,$D369)=1,1,0))</f>
        <v/>
      </c>
      <c r="U369" s="24">
        <f>IF($B369="",0,IF(COUNTIFS($B$5:$B369,$B369,$C$5:$C369,$C369)=1,1,0))</f>
        <v/>
      </c>
      <c r="V369" s="24">
        <f>IF(OR($B369="",$G369="",$G369="لا توجد مشاهدات"),0,1)</f>
        <v/>
      </c>
      <c r="W369" s="24">
        <f>IF(AND($B369&lt;&gt;"",$I369="تم تحرير مخالفة"),1,0)</f>
        <v/>
      </c>
      <c r="X369" s="24">
        <f>IF($B369="","",IF($S369=WkStart,COUNTIF($S$5:$S369,WkStart),""))</f>
        <v/>
      </c>
    </row>
    <row r="370">
      <c r="A370" s="16">
        <f>IF($B370="","",ROW()-4)</f>
        <v/>
      </c>
      <c r="B370" s="17" t="n"/>
      <c r="C370" s="18" t="n"/>
      <c r="D370" s="18" t="n"/>
      <c r="E370" s="19" t="n"/>
      <c r="F370" s="19" t="n"/>
      <c r="G370" s="18" t="n"/>
      <c r="H370" s="18" t="n"/>
      <c r="I370" s="18" t="n"/>
      <c r="J370" s="20" t="n"/>
      <c r="K370" s="21" t="n"/>
      <c r="L370" s="21" t="n"/>
      <c r="M370" s="18" t="n"/>
      <c r="N370" s="22">
        <f>IF($B370="","",CHOOSE(WEEKDAY($B370),"الأحد","الاثنين","الثلاثاء","الأربعاء","الخميس","الجمعة","السبت"))</f>
        <v/>
      </c>
      <c r="O370" s="23">
        <f>IF(OR($K370="",$L370=""),"",HYPERLINK("https://maps.google.com/?q="&amp;$K370&amp;","&amp;$L370,"عرض الموقع"))</f>
        <v/>
      </c>
      <c r="P370" s="23">
        <f>IF(OR($B370="",N($J370)=0),"",HYPERLINK(PhotoDir&amp;"/"&amp;YEAR($B370)&amp;"-"&amp;TEXT(MONTH($B370),"00")&amp;"-"&amp;TEXT(DAY($B370),"00")&amp;"_"&amp;$D370,"فتح الصور ("&amp;$J370&amp;")"))</f>
        <v/>
      </c>
      <c r="Q370" s="24">
        <f>IF($B370="","",MONTH($B370))</f>
        <v/>
      </c>
      <c r="R370" s="24">
        <f>IF($B370="","",YEAR($B370))</f>
        <v/>
      </c>
      <c r="S370" s="25">
        <f>IF($B370="","",$B370-WEEKDAY($B370,3))</f>
        <v/>
      </c>
      <c r="T370" s="24">
        <f>IF($B370="",0,IF(COUNTIFS($B$5:$B370,$B370,$D$5:$D370,$D370)=1,1,0))</f>
        <v/>
      </c>
      <c r="U370" s="24">
        <f>IF($B370="",0,IF(COUNTIFS($B$5:$B370,$B370,$C$5:$C370,$C370)=1,1,0))</f>
        <v/>
      </c>
      <c r="V370" s="24">
        <f>IF(OR($B370="",$G370="",$G370="لا توجد مشاهدات"),0,1)</f>
        <v/>
      </c>
      <c r="W370" s="24">
        <f>IF(AND($B370&lt;&gt;"",$I370="تم تحرير مخالفة"),1,0)</f>
        <v/>
      </c>
      <c r="X370" s="24">
        <f>IF($B370="","",IF($S370=WkStart,COUNTIF($S$5:$S370,WkStart),""))</f>
        <v/>
      </c>
    </row>
    <row r="371">
      <c r="A371" s="16">
        <f>IF($B371="","",ROW()-4)</f>
        <v/>
      </c>
      <c r="B371" s="17" t="n"/>
      <c r="C371" s="18" t="n"/>
      <c r="D371" s="18" t="n"/>
      <c r="E371" s="19" t="n"/>
      <c r="F371" s="19" t="n"/>
      <c r="G371" s="18" t="n"/>
      <c r="H371" s="18" t="n"/>
      <c r="I371" s="18" t="n"/>
      <c r="J371" s="20" t="n"/>
      <c r="K371" s="21" t="n"/>
      <c r="L371" s="21" t="n"/>
      <c r="M371" s="18" t="n"/>
      <c r="N371" s="22">
        <f>IF($B371="","",CHOOSE(WEEKDAY($B371),"الأحد","الاثنين","الثلاثاء","الأربعاء","الخميس","الجمعة","السبت"))</f>
        <v/>
      </c>
      <c r="O371" s="23">
        <f>IF(OR($K371="",$L371=""),"",HYPERLINK("https://maps.google.com/?q="&amp;$K371&amp;","&amp;$L371,"عرض الموقع"))</f>
        <v/>
      </c>
      <c r="P371" s="23">
        <f>IF(OR($B371="",N($J371)=0),"",HYPERLINK(PhotoDir&amp;"/"&amp;YEAR($B371)&amp;"-"&amp;TEXT(MONTH($B371),"00")&amp;"-"&amp;TEXT(DAY($B371),"00")&amp;"_"&amp;$D371,"فتح الصور ("&amp;$J371&amp;")"))</f>
        <v/>
      </c>
      <c r="Q371" s="24">
        <f>IF($B371="","",MONTH($B371))</f>
        <v/>
      </c>
      <c r="R371" s="24">
        <f>IF($B371="","",YEAR($B371))</f>
        <v/>
      </c>
      <c r="S371" s="25">
        <f>IF($B371="","",$B371-WEEKDAY($B371,3))</f>
        <v/>
      </c>
      <c r="T371" s="24">
        <f>IF($B371="",0,IF(COUNTIFS($B$5:$B371,$B371,$D$5:$D371,$D371)=1,1,0))</f>
        <v/>
      </c>
      <c r="U371" s="24">
        <f>IF($B371="",0,IF(COUNTIFS($B$5:$B371,$B371,$C$5:$C371,$C371)=1,1,0))</f>
        <v/>
      </c>
      <c r="V371" s="24">
        <f>IF(OR($B371="",$G371="",$G371="لا توجد مشاهدات"),0,1)</f>
        <v/>
      </c>
      <c r="W371" s="24">
        <f>IF(AND($B371&lt;&gt;"",$I371="تم تحرير مخالفة"),1,0)</f>
        <v/>
      </c>
      <c r="X371" s="24">
        <f>IF($B371="","",IF($S371=WkStart,COUNTIF($S$5:$S371,WkStart),""))</f>
        <v/>
      </c>
    </row>
    <row r="372">
      <c r="A372" s="16">
        <f>IF($B372="","",ROW()-4)</f>
        <v/>
      </c>
      <c r="B372" s="17" t="n"/>
      <c r="C372" s="18" t="n"/>
      <c r="D372" s="18" t="n"/>
      <c r="E372" s="19" t="n"/>
      <c r="F372" s="19" t="n"/>
      <c r="G372" s="18" t="n"/>
      <c r="H372" s="18" t="n"/>
      <c r="I372" s="18" t="n"/>
      <c r="J372" s="20" t="n"/>
      <c r="K372" s="21" t="n"/>
      <c r="L372" s="21" t="n"/>
      <c r="M372" s="18" t="n"/>
      <c r="N372" s="22">
        <f>IF($B372="","",CHOOSE(WEEKDAY($B372),"الأحد","الاثنين","الثلاثاء","الأربعاء","الخميس","الجمعة","السبت"))</f>
        <v/>
      </c>
      <c r="O372" s="23">
        <f>IF(OR($K372="",$L372=""),"",HYPERLINK("https://maps.google.com/?q="&amp;$K372&amp;","&amp;$L372,"عرض الموقع"))</f>
        <v/>
      </c>
      <c r="P372" s="23">
        <f>IF(OR($B372="",N($J372)=0),"",HYPERLINK(PhotoDir&amp;"/"&amp;YEAR($B372)&amp;"-"&amp;TEXT(MONTH($B372),"00")&amp;"-"&amp;TEXT(DAY($B372),"00")&amp;"_"&amp;$D372,"فتح الصور ("&amp;$J372&amp;")"))</f>
        <v/>
      </c>
      <c r="Q372" s="24">
        <f>IF($B372="","",MONTH($B372))</f>
        <v/>
      </c>
      <c r="R372" s="24">
        <f>IF($B372="","",YEAR($B372))</f>
        <v/>
      </c>
      <c r="S372" s="25">
        <f>IF($B372="","",$B372-WEEKDAY($B372,3))</f>
        <v/>
      </c>
      <c r="T372" s="24">
        <f>IF($B372="",0,IF(COUNTIFS($B$5:$B372,$B372,$D$5:$D372,$D372)=1,1,0))</f>
        <v/>
      </c>
      <c r="U372" s="24">
        <f>IF($B372="",0,IF(COUNTIFS($B$5:$B372,$B372,$C$5:$C372,$C372)=1,1,0))</f>
        <v/>
      </c>
      <c r="V372" s="24">
        <f>IF(OR($B372="",$G372="",$G372="لا توجد مشاهدات"),0,1)</f>
        <v/>
      </c>
      <c r="W372" s="24">
        <f>IF(AND($B372&lt;&gt;"",$I372="تم تحرير مخالفة"),1,0)</f>
        <v/>
      </c>
      <c r="X372" s="24">
        <f>IF($B372="","",IF($S372=WkStart,COUNTIF($S$5:$S372,WkStart),""))</f>
        <v/>
      </c>
    </row>
    <row r="373">
      <c r="A373" s="16">
        <f>IF($B373="","",ROW()-4)</f>
        <v/>
      </c>
      <c r="B373" s="17" t="n"/>
      <c r="C373" s="18" t="n"/>
      <c r="D373" s="18" t="n"/>
      <c r="E373" s="19" t="n"/>
      <c r="F373" s="19" t="n"/>
      <c r="G373" s="18" t="n"/>
      <c r="H373" s="18" t="n"/>
      <c r="I373" s="18" t="n"/>
      <c r="J373" s="20" t="n"/>
      <c r="K373" s="21" t="n"/>
      <c r="L373" s="21" t="n"/>
      <c r="M373" s="18" t="n"/>
      <c r="N373" s="22">
        <f>IF($B373="","",CHOOSE(WEEKDAY($B373),"الأحد","الاثنين","الثلاثاء","الأربعاء","الخميس","الجمعة","السبت"))</f>
        <v/>
      </c>
      <c r="O373" s="23">
        <f>IF(OR($K373="",$L373=""),"",HYPERLINK("https://maps.google.com/?q="&amp;$K373&amp;","&amp;$L373,"عرض الموقع"))</f>
        <v/>
      </c>
      <c r="P373" s="23">
        <f>IF(OR($B373="",N($J373)=0),"",HYPERLINK(PhotoDir&amp;"/"&amp;YEAR($B373)&amp;"-"&amp;TEXT(MONTH($B373),"00")&amp;"-"&amp;TEXT(DAY($B373),"00")&amp;"_"&amp;$D373,"فتح الصور ("&amp;$J373&amp;")"))</f>
        <v/>
      </c>
      <c r="Q373" s="24">
        <f>IF($B373="","",MONTH($B373))</f>
        <v/>
      </c>
      <c r="R373" s="24">
        <f>IF($B373="","",YEAR($B373))</f>
        <v/>
      </c>
      <c r="S373" s="25">
        <f>IF($B373="","",$B373-WEEKDAY($B373,3))</f>
        <v/>
      </c>
      <c r="T373" s="24">
        <f>IF($B373="",0,IF(COUNTIFS($B$5:$B373,$B373,$D$5:$D373,$D373)=1,1,0))</f>
        <v/>
      </c>
      <c r="U373" s="24">
        <f>IF($B373="",0,IF(COUNTIFS($B$5:$B373,$B373,$C$5:$C373,$C373)=1,1,0))</f>
        <v/>
      </c>
      <c r="V373" s="24">
        <f>IF(OR($B373="",$G373="",$G373="لا توجد مشاهدات"),0,1)</f>
        <v/>
      </c>
      <c r="W373" s="24">
        <f>IF(AND($B373&lt;&gt;"",$I373="تم تحرير مخالفة"),1,0)</f>
        <v/>
      </c>
      <c r="X373" s="24">
        <f>IF($B373="","",IF($S373=WkStart,COUNTIF($S$5:$S373,WkStart),""))</f>
        <v/>
      </c>
    </row>
    <row r="374">
      <c r="A374" s="16">
        <f>IF($B374="","",ROW()-4)</f>
        <v/>
      </c>
      <c r="B374" s="17" t="n"/>
      <c r="C374" s="18" t="n"/>
      <c r="D374" s="18" t="n"/>
      <c r="E374" s="19" t="n"/>
      <c r="F374" s="19" t="n"/>
      <c r="G374" s="18" t="n"/>
      <c r="H374" s="18" t="n"/>
      <c r="I374" s="18" t="n"/>
      <c r="J374" s="20" t="n"/>
      <c r="K374" s="21" t="n"/>
      <c r="L374" s="21" t="n"/>
      <c r="M374" s="18" t="n"/>
      <c r="N374" s="22">
        <f>IF($B374="","",CHOOSE(WEEKDAY($B374),"الأحد","الاثنين","الثلاثاء","الأربعاء","الخميس","الجمعة","السبت"))</f>
        <v/>
      </c>
      <c r="O374" s="23">
        <f>IF(OR($K374="",$L374=""),"",HYPERLINK("https://maps.google.com/?q="&amp;$K374&amp;","&amp;$L374,"عرض الموقع"))</f>
        <v/>
      </c>
      <c r="P374" s="23">
        <f>IF(OR($B374="",N($J374)=0),"",HYPERLINK(PhotoDir&amp;"/"&amp;YEAR($B374)&amp;"-"&amp;TEXT(MONTH($B374),"00")&amp;"-"&amp;TEXT(DAY($B374),"00")&amp;"_"&amp;$D374,"فتح الصور ("&amp;$J374&amp;")"))</f>
        <v/>
      </c>
      <c r="Q374" s="24">
        <f>IF($B374="","",MONTH($B374))</f>
        <v/>
      </c>
      <c r="R374" s="24">
        <f>IF($B374="","",YEAR($B374))</f>
        <v/>
      </c>
      <c r="S374" s="25">
        <f>IF($B374="","",$B374-WEEKDAY($B374,3))</f>
        <v/>
      </c>
      <c r="T374" s="24">
        <f>IF($B374="",0,IF(COUNTIFS($B$5:$B374,$B374,$D$5:$D374,$D374)=1,1,0))</f>
        <v/>
      </c>
      <c r="U374" s="24">
        <f>IF($B374="",0,IF(COUNTIFS($B$5:$B374,$B374,$C$5:$C374,$C374)=1,1,0))</f>
        <v/>
      </c>
      <c r="V374" s="24">
        <f>IF(OR($B374="",$G374="",$G374="لا توجد مشاهدات"),0,1)</f>
        <v/>
      </c>
      <c r="W374" s="24">
        <f>IF(AND($B374&lt;&gt;"",$I374="تم تحرير مخالفة"),1,0)</f>
        <v/>
      </c>
      <c r="X374" s="24">
        <f>IF($B374="","",IF($S374=WkStart,COUNTIF($S$5:$S374,WkStart),""))</f>
        <v/>
      </c>
    </row>
    <row r="375">
      <c r="A375" s="16">
        <f>IF($B375="","",ROW()-4)</f>
        <v/>
      </c>
      <c r="B375" s="17" t="n"/>
      <c r="C375" s="18" t="n"/>
      <c r="D375" s="18" t="n"/>
      <c r="E375" s="19" t="n"/>
      <c r="F375" s="19" t="n"/>
      <c r="G375" s="18" t="n"/>
      <c r="H375" s="18" t="n"/>
      <c r="I375" s="18" t="n"/>
      <c r="J375" s="20" t="n"/>
      <c r="K375" s="21" t="n"/>
      <c r="L375" s="21" t="n"/>
      <c r="M375" s="18" t="n"/>
      <c r="N375" s="22">
        <f>IF($B375="","",CHOOSE(WEEKDAY($B375),"الأحد","الاثنين","الثلاثاء","الأربعاء","الخميس","الجمعة","السبت"))</f>
        <v/>
      </c>
      <c r="O375" s="23">
        <f>IF(OR($K375="",$L375=""),"",HYPERLINK("https://maps.google.com/?q="&amp;$K375&amp;","&amp;$L375,"عرض الموقع"))</f>
        <v/>
      </c>
      <c r="P375" s="23">
        <f>IF(OR($B375="",N($J375)=0),"",HYPERLINK(PhotoDir&amp;"/"&amp;YEAR($B375)&amp;"-"&amp;TEXT(MONTH($B375),"00")&amp;"-"&amp;TEXT(DAY($B375),"00")&amp;"_"&amp;$D375,"فتح الصور ("&amp;$J375&amp;")"))</f>
        <v/>
      </c>
      <c r="Q375" s="24">
        <f>IF($B375="","",MONTH($B375))</f>
        <v/>
      </c>
      <c r="R375" s="24">
        <f>IF($B375="","",YEAR($B375))</f>
        <v/>
      </c>
      <c r="S375" s="25">
        <f>IF($B375="","",$B375-WEEKDAY($B375,3))</f>
        <v/>
      </c>
      <c r="T375" s="24">
        <f>IF($B375="",0,IF(COUNTIFS($B$5:$B375,$B375,$D$5:$D375,$D375)=1,1,0))</f>
        <v/>
      </c>
      <c r="U375" s="24">
        <f>IF($B375="",0,IF(COUNTIFS($B$5:$B375,$B375,$C$5:$C375,$C375)=1,1,0))</f>
        <v/>
      </c>
      <c r="V375" s="24">
        <f>IF(OR($B375="",$G375="",$G375="لا توجد مشاهدات"),0,1)</f>
        <v/>
      </c>
      <c r="W375" s="24">
        <f>IF(AND($B375&lt;&gt;"",$I375="تم تحرير مخالفة"),1,0)</f>
        <v/>
      </c>
      <c r="X375" s="24">
        <f>IF($B375="","",IF($S375=WkStart,COUNTIF($S$5:$S375,WkStart),""))</f>
        <v/>
      </c>
    </row>
    <row r="376">
      <c r="A376" s="16">
        <f>IF($B376="","",ROW()-4)</f>
        <v/>
      </c>
      <c r="B376" s="17" t="n"/>
      <c r="C376" s="18" t="n"/>
      <c r="D376" s="18" t="n"/>
      <c r="E376" s="19" t="n"/>
      <c r="F376" s="19" t="n"/>
      <c r="G376" s="18" t="n"/>
      <c r="H376" s="18" t="n"/>
      <c r="I376" s="18" t="n"/>
      <c r="J376" s="20" t="n"/>
      <c r="K376" s="21" t="n"/>
      <c r="L376" s="21" t="n"/>
      <c r="M376" s="18" t="n"/>
      <c r="N376" s="22">
        <f>IF($B376="","",CHOOSE(WEEKDAY($B376),"الأحد","الاثنين","الثلاثاء","الأربعاء","الخميس","الجمعة","السبت"))</f>
        <v/>
      </c>
      <c r="O376" s="23">
        <f>IF(OR($K376="",$L376=""),"",HYPERLINK("https://maps.google.com/?q="&amp;$K376&amp;","&amp;$L376,"عرض الموقع"))</f>
        <v/>
      </c>
      <c r="P376" s="23">
        <f>IF(OR($B376="",N($J376)=0),"",HYPERLINK(PhotoDir&amp;"/"&amp;YEAR($B376)&amp;"-"&amp;TEXT(MONTH($B376),"00")&amp;"-"&amp;TEXT(DAY($B376),"00")&amp;"_"&amp;$D376,"فتح الصور ("&amp;$J376&amp;")"))</f>
        <v/>
      </c>
      <c r="Q376" s="24">
        <f>IF($B376="","",MONTH($B376))</f>
        <v/>
      </c>
      <c r="R376" s="24">
        <f>IF($B376="","",YEAR($B376))</f>
        <v/>
      </c>
      <c r="S376" s="25">
        <f>IF($B376="","",$B376-WEEKDAY($B376,3))</f>
        <v/>
      </c>
      <c r="T376" s="24">
        <f>IF($B376="",0,IF(COUNTIFS($B$5:$B376,$B376,$D$5:$D376,$D376)=1,1,0))</f>
        <v/>
      </c>
      <c r="U376" s="24">
        <f>IF($B376="",0,IF(COUNTIFS($B$5:$B376,$B376,$C$5:$C376,$C376)=1,1,0))</f>
        <v/>
      </c>
      <c r="V376" s="24">
        <f>IF(OR($B376="",$G376="",$G376="لا توجد مشاهدات"),0,1)</f>
        <v/>
      </c>
      <c r="W376" s="24">
        <f>IF(AND($B376&lt;&gt;"",$I376="تم تحرير مخالفة"),1,0)</f>
        <v/>
      </c>
      <c r="X376" s="24">
        <f>IF($B376="","",IF($S376=WkStart,COUNTIF($S$5:$S376,WkStart),""))</f>
        <v/>
      </c>
    </row>
    <row r="377">
      <c r="A377" s="16">
        <f>IF($B377="","",ROW()-4)</f>
        <v/>
      </c>
      <c r="B377" s="17" t="n"/>
      <c r="C377" s="18" t="n"/>
      <c r="D377" s="18" t="n"/>
      <c r="E377" s="19" t="n"/>
      <c r="F377" s="19" t="n"/>
      <c r="G377" s="18" t="n"/>
      <c r="H377" s="18" t="n"/>
      <c r="I377" s="18" t="n"/>
      <c r="J377" s="20" t="n"/>
      <c r="K377" s="21" t="n"/>
      <c r="L377" s="21" t="n"/>
      <c r="M377" s="18" t="n"/>
      <c r="N377" s="22">
        <f>IF($B377="","",CHOOSE(WEEKDAY($B377),"الأحد","الاثنين","الثلاثاء","الأربعاء","الخميس","الجمعة","السبت"))</f>
        <v/>
      </c>
      <c r="O377" s="23">
        <f>IF(OR($K377="",$L377=""),"",HYPERLINK("https://maps.google.com/?q="&amp;$K377&amp;","&amp;$L377,"عرض الموقع"))</f>
        <v/>
      </c>
      <c r="P377" s="23">
        <f>IF(OR($B377="",N($J377)=0),"",HYPERLINK(PhotoDir&amp;"/"&amp;YEAR($B377)&amp;"-"&amp;TEXT(MONTH($B377),"00")&amp;"-"&amp;TEXT(DAY($B377),"00")&amp;"_"&amp;$D377,"فتح الصور ("&amp;$J377&amp;")"))</f>
        <v/>
      </c>
      <c r="Q377" s="24">
        <f>IF($B377="","",MONTH($B377))</f>
        <v/>
      </c>
      <c r="R377" s="24">
        <f>IF($B377="","",YEAR($B377))</f>
        <v/>
      </c>
      <c r="S377" s="25">
        <f>IF($B377="","",$B377-WEEKDAY($B377,3))</f>
        <v/>
      </c>
      <c r="T377" s="24">
        <f>IF($B377="",0,IF(COUNTIFS($B$5:$B377,$B377,$D$5:$D377,$D377)=1,1,0))</f>
        <v/>
      </c>
      <c r="U377" s="24">
        <f>IF($B377="",0,IF(COUNTIFS($B$5:$B377,$B377,$C$5:$C377,$C377)=1,1,0))</f>
        <v/>
      </c>
      <c r="V377" s="24">
        <f>IF(OR($B377="",$G377="",$G377="لا توجد مشاهدات"),0,1)</f>
        <v/>
      </c>
      <c r="W377" s="24">
        <f>IF(AND($B377&lt;&gt;"",$I377="تم تحرير مخالفة"),1,0)</f>
        <v/>
      </c>
      <c r="X377" s="24">
        <f>IF($B377="","",IF($S377=WkStart,COUNTIF($S$5:$S377,WkStart),""))</f>
        <v/>
      </c>
    </row>
    <row r="378">
      <c r="A378" s="16">
        <f>IF($B378="","",ROW()-4)</f>
        <v/>
      </c>
      <c r="B378" s="17" t="n"/>
      <c r="C378" s="18" t="n"/>
      <c r="D378" s="18" t="n"/>
      <c r="E378" s="19" t="n"/>
      <c r="F378" s="19" t="n"/>
      <c r="G378" s="18" t="n"/>
      <c r="H378" s="18" t="n"/>
      <c r="I378" s="18" t="n"/>
      <c r="J378" s="20" t="n"/>
      <c r="K378" s="21" t="n"/>
      <c r="L378" s="21" t="n"/>
      <c r="M378" s="18" t="n"/>
      <c r="N378" s="22">
        <f>IF($B378="","",CHOOSE(WEEKDAY($B378),"الأحد","الاثنين","الثلاثاء","الأربعاء","الخميس","الجمعة","السبت"))</f>
        <v/>
      </c>
      <c r="O378" s="23">
        <f>IF(OR($K378="",$L378=""),"",HYPERLINK("https://maps.google.com/?q="&amp;$K378&amp;","&amp;$L378,"عرض الموقع"))</f>
        <v/>
      </c>
      <c r="P378" s="23">
        <f>IF(OR($B378="",N($J378)=0),"",HYPERLINK(PhotoDir&amp;"/"&amp;YEAR($B378)&amp;"-"&amp;TEXT(MONTH($B378),"00")&amp;"-"&amp;TEXT(DAY($B378),"00")&amp;"_"&amp;$D378,"فتح الصور ("&amp;$J378&amp;")"))</f>
        <v/>
      </c>
      <c r="Q378" s="24">
        <f>IF($B378="","",MONTH($B378))</f>
        <v/>
      </c>
      <c r="R378" s="24">
        <f>IF($B378="","",YEAR($B378))</f>
        <v/>
      </c>
      <c r="S378" s="25">
        <f>IF($B378="","",$B378-WEEKDAY($B378,3))</f>
        <v/>
      </c>
      <c r="T378" s="24">
        <f>IF($B378="",0,IF(COUNTIFS($B$5:$B378,$B378,$D$5:$D378,$D378)=1,1,0))</f>
        <v/>
      </c>
      <c r="U378" s="24">
        <f>IF($B378="",0,IF(COUNTIFS($B$5:$B378,$B378,$C$5:$C378,$C378)=1,1,0))</f>
        <v/>
      </c>
      <c r="V378" s="24">
        <f>IF(OR($B378="",$G378="",$G378="لا توجد مشاهدات"),0,1)</f>
        <v/>
      </c>
      <c r="W378" s="24">
        <f>IF(AND($B378&lt;&gt;"",$I378="تم تحرير مخالفة"),1,0)</f>
        <v/>
      </c>
      <c r="X378" s="24">
        <f>IF($B378="","",IF($S378=WkStart,COUNTIF($S$5:$S378,WkStart),""))</f>
        <v/>
      </c>
    </row>
    <row r="379">
      <c r="A379" s="16">
        <f>IF($B379="","",ROW()-4)</f>
        <v/>
      </c>
      <c r="B379" s="17" t="n"/>
      <c r="C379" s="18" t="n"/>
      <c r="D379" s="18" t="n"/>
      <c r="E379" s="19" t="n"/>
      <c r="F379" s="19" t="n"/>
      <c r="G379" s="18" t="n"/>
      <c r="H379" s="18" t="n"/>
      <c r="I379" s="18" t="n"/>
      <c r="J379" s="20" t="n"/>
      <c r="K379" s="21" t="n"/>
      <c r="L379" s="21" t="n"/>
      <c r="M379" s="18" t="n"/>
      <c r="N379" s="22">
        <f>IF($B379="","",CHOOSE(WEEKDAY($B379),"الأحد","الاثنين","الثلاثاء","الأربعاء","الخميس","الجمعة","السبت"))</f>
        <v/>
      </c>
      <c r="O379" s="23">
        <f>IF(OR($K379="",$L379=""),"",HYPERLINK("https://maps.google.com/?q="&amp;$K379&amp;","&amp;$L379,"عرض الموقع"))</f>
        <v/>
      </c>
      <c r="P379" s="23">
        <f>IF(OR($B379="",N($J379)=0),"",HYPERLINK(PhotoDir&amp;"/"&amp;YEAR($B379)&amp;"-"&amp;TEXT(MONTH($B379),"00")&amp;"-"&amp;TEXT(DAY($B379),"00")&amp;"_"&amp;$D379,"فتح الصور ("&amp;$J379&amp;")"))</f>
        <v/>
      </c>
      <c r="Q379" s="24">
        <f>IF($B379="","",MONTH($B379))</f>
        <v/>
      </c>
      <c r="R379" s="24">
        <f>IF($B379="","",YEAR($B379))</f>
        <v/>
      </c>
      <c r="S379" s="25">
        <f>IF($B379="","",$B379-WEEKDAY($B379,3))</f>
        <v/>
      </c>
      <c r="T379" s="24">
        <f>IF($B379="",0,IF(COUNTIFS($B$5:$B379,$B379,$D$5:$D379,$D379)=1,1,0))</f>
        <v/>
      </c>
      <c r="U379" s="24">
        <f>IF($B379="",0,IF(COUNTIFS($B$5:$B379,$B379,$C$5:$C379,$C379)=1,1,0))</f>
        <v/>
      </c>
      <c r="V379" s="24">
        <f>IF(OR($B379="",$G379="",$G379="لا توجد مشاهدات"),0,1)</f>
        <v/>
      </c>
      <c r="W379" s="24">
        <f>IF(AND($B379&lt;&gt;"",$I379="تم تحرير مخالفة"),1,0)</f>
        <v/>
      </c>
      <c r="X379" s="24">
        <f>IF($B379="","",IF($S379=WkStart,COUNTIF($S$5:$S379,WkStart),""))</f>
        <v/>
      </c>
    </row>
    <row r="380">
      <c r="A380" s="16">
        <f>IF($B380="","",ROW()-4)</f>
        <v/>
      </c>
      <c r="B380" s="17" t="n"/>
      <c r="C380" s="18" t="n"/>
      <c r="D380" s="18" t="n"/>
      <c r="E380" s="19" t="n"/>
      <c r="F380" s="19" t="n"/>
      <c r="G380" s="18" t="n"/>
      <c r="H380" s="18" t="n"/>
      <c r="I380" s="18" t="n"/>
      <c r="J380" s="20" t="n"/>
      <c r="K380" s="21" t="n"/>
      <c r="L380" s="21" t="n"/>
      <c r="M380" s="18" t="n"/>
      <c r="N380" s="22">
        <f>IF($B380="","",CHOOSE(WEEKDAY($B380),"الأحد","الاثنين","الثلاثاء","الأربعاء","الخميس","الجمعة","السبت"))</f>
        <v/>
      </c>
      <c r="O380" s="23">
        <f>IF(OR($K380="",$L380=""),"",HYPERLINK("https://maps.google.com/?q="&amp;$K380&amp;","&amp;$L380,"عرض الموقع"))</f>
        <v/>
      </c>
      <c r="P380" s="23">
        <f>IF(OR($B380="",N($J380)=0),"",HYPERLINK(PhotoDir&amp;"/"&amp;YEAR($B380)&amp;"-"&amp;TEXT(MONTH($B380),"00")&amp;"-"&amp;TEXT(DAY($B380),"00")&amp;"_"&amp;$D380,"فتح الصور ("&amp;$J380&amp;")"))</f>
        <v/>
      </c>
      <c r="Q380" s="24">
        <f>IF($B380="","",MONTH($B380))</f>
        <v/>
      </c>
      <c r="R380" s="24">
        <f>IF($B380="","",YEAR($B380))</f>
        <v/>
      </c>
      <c r="S380" s="25">
        <f>IF($B380="","",$B380-WEEKDAY($B380,3))</f>
        <v/>
      </c>
      <c r="T380" s="24">
        <f>IF($B380="",0,IF(COUNTIFS($B$5:$B380,$B380,$D$5:$D380,$D380)=1,1,0))</f>
        <v/>
      </c>
      <c r="U380" s="24">
        <f>IF($B380="",0,IF(COUNTIFS($B$5:$B380,$B380,$C$5:$C380,$C380)=1,1,0))</f>
        <v/>
      </c>
      <c r="V380" s="24">
        <f>IF(OR($B380="",$G380="",$G380="لا توجد مشاهدات"),0,1)</f>
        <v/>
      </c>
      <c r="W380" s="24">
        <f>IF(AND($B380&lt;&gt;"",$I380="تم تحرير مخالفة"),1,0)</f>
        <v/>
      </c>
      <c r="X380" s="24">
        <f>IF($B380="","",IF($S380=WkStart,COUNTIF($S$5:$S380,WkStart),""))</f>
        <v/>
      </c>
    </row>
    <row r="381">
      <c r="A381" s="16">
        <f>IF($B381="","",ROW()-4)</f>
        <v/>
      </c>
      <c r="B381" s="17" t="n"/>
      <c r="C381" s="18" t="n"/>
      <c r="D381" s="18" t="n"/>
      <c r="E381" s="19" t="n"/>
      <c r="F381" s="19" t="n"/>
      <c r="G381" s="18" t="n"/>
      <c r="H381" s="18" t="n"/>
      <c r="I381" s="18" t="n"/>
      <c r="J381" s="20" t="n"/>
      <c r="K381" s="21" t="n"/>
      <c r="L381" s="21" t="n"/>
      <c r="M381" s="18" t="n"/>
      <c r="N381" s="22">
        <f>IF($B381="","",CHOOSE(WEEKDAY($B381),"الأحد","الاثنين","الثلاثاء","الأربعاء","الخميس","الجمعة","السبت"))</f>
        <v/>
      </c>
      <c r="O381" s="23">
        <f>IF(OR($K381="",$L381=""),"",HYPERLINK("https://maps.google.com/?q="&amp;$K381&amp;","&amp;$L381,"عرض الموقع"))</f>
        <v/>
      </c>
      <c r="P381" s="23">
        <f>IF(OR($B381="",N($J381)=0),"",HYPERLINK(PhotoDir&amp;"/"&amp;YEAR($B381)&amp;"-"&amp;TEXT(MONTH($B381),"00")&amp;"-"&amp;TEXT(DAY($B381),"00")&amp;"_"&amp;$D381,"فتح الصور ("&amp;$J381&amp;")"))</f>
        <v/>
      </c>
      <c r="Q381" s="24">
        <f>IF($B381="","",MONTH($B381))</f>
        <v/>
      </c>
      <c r="R381" s="24">
        <f>IF($B381="","",YEAR($B381))</f>
        <v/>
      </c>
      <c r="S381" s="25">
        <f>IF($B381="","",$B381-WEEKDAY($B381,3))</f>
        <v/>
      </c>
      <c r="T381" s="24">
        <f>IF($B381="",0,IF(COUNTIFS($B$5:$B381,$B381,$D$5:$D381,$D381)=1,1,0))</f>
        <v/>
      </c>
      <c r="U381" s="24">
        <f>IF($B381="",0,IF(COUNTIFS($B$5:$B381,$B381,$C$5:$C381,$C381)=1,1,0))</f>
        <v/>
      </c>
      <c r="V381" s="24">
        <f>IF(OR($B381="",$G381="",$G381="لا توجد مشاهدات"),0,1)</f>
        <v/>
      </c>
      <c r="W381" s="24">
        <f>IF(AND($B381&lt;&gt;"",$I381="تم تحرير مخالفة"),1,0)</f>
        <v/>
      </c>
      <c r="X381" s="24">
        <f>IF($B381="","",IF($S381=WkStart,COUNTIF($S$5:$S381,WkStart),""))</f>
        <v/>
      </c>
    </row>
    <row r="382">
      <c r="A382" s="16">
        <f>IF($B382="","",ROW()-4)</f>
        <v/>
      </c>
      <c r="B382" s="17" t="n"/>
      <c r="C382" s="18" t="n"/>
      <c r="D382" s="18" t="n"/>
      <c r="E382" s="19" t="n"/>
      <c r="F382" s="19" t="n"/>
      <c r="G382" s="18" t="n"/>
      <c r="H382" s="18" t="n"/>
      <c r="I382" s="18" t="n"/>
      <c r="J382" s="20" t="n"/>
      <c r="K382" s="21" t="n"/>
      <c r="L382" s="21" t="n"/>
      <c r="M382" s="18" t="n"/>
      <c r="N382" s="22">
        <f>IF($B382="","",CHOOSE(WEEKDAY($B382),"الأحد","الاثنين","الثلاثاء","الأربعاء","الخميس","الجمعة","السبت"))</f>
        <v/>
      </c>
      <c r="O382" s="23">
        <f>IF(OR($K382="",$L382=""),"",HYPERLINK("https://maps.google.com/?q="&amp;$K382&amp;","&amp;$L382,"عرض الموقع"))</f>
        <v/>
      </c>
      <c r="P382" s="23">
        <f>IF(OR($B382="",N($J382)=0),"",HYPERLINK(PhotoDir&amp;"/"&amp;YEAR($B382)&amp;"-"&amp;TEXT(MONTH($B382),"00")&amp;"-"&amp;TEXT(DAY($B382),"00")&amp;"_"&amp;$D382,"فتح الصور ("&amp;$J382&amp;")"))</f>
        <v/>
      </c>
      <c r="Q382" s="24">
        <f>IF($B382="","",MONTH($B382))</f>
        <v/>
      </c>
      <c r="R382" s="24">
        <f>IF($B382="","",YEAR($B382))</f>
        <v/>
      </c>
      <c r="S382" s="25">
        <f>IF($B382="","",$B382-WEEKDAY($B382,3))</f>
        <v/>
      </c>
      <c r="T382" s="24">
        <f>IF($B382="",0,IF(COUNTIFS($B$5:$B382,$B382,$D$5:$D382,$D382)=1,1,0))</f>
        <v/>
      </c>
      <c r="U382" s="24">
        <f>IF($B382="",0,IF(COUNTIFS($B$5:$B382,$B382,$C$5:$C382,$C382)=1,1,0))</f>
        <v/>
      </c>
      <c r="V382" s="24">
        <f>IF(OR($B382="",$G382="",$G382="لا توجد مشاهدات"),0,1)</f>
        <v/>
      </c>
      <c r="W382" s="24">
        <f>IF(AND($B382&lt;&gt;"",$I382="تم تحرير مخالفة"),1,0)</f>
        <v/>
      </c>
      <c r="X382" s="24">
        <f>IF($B382="","",IF($S382=WkStart,COUNTIF($S$5:$S382,WkStart),""))</f>
        <v/>
      </c>
    </row>
    <row r="383">
      <c r="A383" s="16">
        <f>IF($B383="","",ROW()-4)</f>
        <v/>
      </c>
      <c r="B383" s="17" t="n"/>
      <c r="C383" s="18" t="n"/>
      <c r="D383" s="18" t="n"/>
      <c r="E383" s="19" t="n"/>
      <c r="F383" s="19" t="n"/>
      <c r="G383" s="18" t="n"/>
      <c r="H383" s="18" t="n"/>
      <c r="I383" s="18" t="n"/>
      <c r="J383" s="20" t="n"/>
      <c r="K383" s="21" t="n"/>
      <c r="L383" s="21" t="n"/>
      <c r="M383" s="18" t="n"/>
      <c r="N383" s="22">
        <f>IF($B383="","",CHOOSE(WEEKDAY($B383),"الأحد","الاثنين","الثلاثاء","الأربعاء","الخميس","الجمعة","السبت"))</f>
        <v/>
      </c>
      <c r="O383" s="23">
        <f>IF(OR($K383="",$L383=""),"",HYPERLINK("https://maps.google.com/?q="&amp;$K383&amp;","&amp;$L383,"عرض الموقع"))</f>
        <v/>
      </c>
      <c r="P383" s="23">
        <f>IF(OR($B383="",N($J383)=0),"",HYPERLINK(PhotoDir&amp;"/"&amp;YEAR($B383)&amp;"-"&amp;TEXT(MONTH($B383),"00")&amp;"-"&amp;TEXT(DAY($B383),"00")&amp;"_"&amp;$D383,"فتح الصور ("&amp;$J383&amp;")"))</f>
        <v/>
      </c>
      <c r="Q383" s="24">
        <f>IF($B383="","",MONTH($B383))</f>
        <v/>
      </c>
      <c r="R383" s="24">
        <f>IF($B383="","",YEAR($B383))</f>
        <v/>
      </c>
      <c r="S383" s="25">
        <f>IF($B383="","",$B383-WEEKDAY($B383,3))</f>
        <v/>
      </c>
      <c r="T383" s="24">
        <f>IF($B383="",0,IF(COUNTIFS($B$5:$B383,$B383,$D$5:$D383,$D383)=1,1,0))</f>
        <v/>
      </c>
      <c r="U383" s="24">
        <f>IF($B383="",0,IF(COUNTIFS($B$5:$B383,$B383,$C$5:$C383,$C383)=1,1,0))</f>
        <v/>
      </c>
      <c r="V383" s="24">
        <f>IF(OR($B383="",$G383="",$G383="لا توجد مشاهدات"),0,1)</f>
        <v/>
      </c>
      <c r="W383" s="24">
        <f>IF(AND($B383&lt;&gt;"",$I383="تم تحرير مخالفة"),1,0)</f>
        <v/>
      </c>
      <c r="X383" s="24">
        <f>IF($B383="","",IF($S383=WkStart,COUNTIF($S$5:$S383,WkStart),""))</f>
        <v/>
      </c>
    </row>
    <row r="384">
      <c r="A384" s="16">
        <f>IF($B384="","",ROW()-4)</f>
        <v/>
      </c>
      <c r="B384" s="17" t="n"/>
      <c r="C384" s="18" t="n"/>
      <c r="D384" s="18" t="n"/>
      <c r="E384" s="19" t="n"/>
      <c r="F384" s="19" t="n"/>
      <c r="G384" s="18" t="n"/>
      <c r="H384" s="18" t="n"/>
      <c r="I384" s="18" t="n"/>
      <c r="J384" s="20" t="n"/>
      <c r="K384" s="21" t="n"/>
      <c r="L384" s="21" t="n"/>
      <c r="M384" s="18" t="n"/>
      <c r="N384" s="22">
        <f>IF($B384="","",CHOOSE(WEEKDAY($B384),"الأحد","الاثنين","الثلاثاء","الأربعاء","الخميس","الجمعة","السبت"))</f>
        <v/>
      </c>
      <c r="O384" s="23">
        <f>IF(OR($K384="",$L384=""),"",HYPERLINK("https://maps.google.com/?q="&amp;$K384&amp;","&amp;$L384,"عرض الموقع"))</f>
        <v/>
      </c>
      <c r="P384" s="23">
        <f>IF(OR($B384="",N($J384)=0),"",HYPERLINK(PhotoDir&amp;"/"&amp;YEAR($B384)&amp;"-"&amp;TEXT(MONTH($B384),"00")&amp;"-"&amp;TEXT(DAY($B384),"00")&amp;"_"&amp;$D384,"فتح الصور ("&amp;$J384&amp;")"))</f>
        <v/>
      </c>
      <c r="Q384" s="24">
        <f>IF($B384="","",MONTH($B384))</f>
        <v/>
      </c>
      <c r="R384" s="24">
        <f>IF($B384="","",YEAR($B384))</f>
        <v/>
      </c>
      <c r="S384" s="25">
        <f>IF($B384="","",$B384-WEEKDAY($B384,3))</f>
        <v/>
      </c>
      <c r="T384" s="24">
        <f>IF($B384="",0,IF(COUNTIFS($B$5:$B384,$B384,$D$5:$D384,$D384)=1,1,0))</f>
        <v/>
      </c>
      <c r="U384" s="24">
        <f>IF($B384="",0,IF(COUNTIFS($B$5:$B384,$B384,$C$5:$C384,$C384)=1,1,0))</f>
        <v/>
      </c>
      <c r="V384" s="24">
        <f>IF(OR($B384="",$G384="",$G384="لا توجد مشاهدات"),0,1)</f>
        <v/>
      </c>
      <c r="W384" s="24">
        <f>IF(AND($B384&lt;&gt;"",$I384="تم تحرير مخالفة"),1,0)</f>
        <v/>
      </c>
      <c r="X384" s="24">
        <f>IF($B384="","",IF($S384=WkStart,COUNTIF($S$5:$S384,WkStart),""))</f>
        <v/>
      </c>
    </row>
    <row r="385">
      <c r="A385" s="16">
        <f>IF($B385="","",ROW()-4)</f>
        <v/>
      </c>
      <c r="B385" s="17" t="n"/>
      <c r="C385" s="18" t="n"/>
      <c r="D385" s="18" t="n"/>
      <c r="E385" s="19" t="n"/>
      <c r="F385" s="19" t="n"/>
      <c r="G385" s="18" t="n"/>
      <c r="H385" s="18" t="n"/>
      <c r="I385" s="18" t="n"/>
      <c r="J385" s="20" t="n"/>
      <c r="K385" s="21" t="n"/>
      <c r="L385" s="21" t="n"/>
      <c r="M385" s="18" t="n"/>
      <c r="N385" s="22">
        <f>IF($B385="","",CHOOSE(WEEKDAY($B385),"الأحد","الاثنين","الثلاثاء","الأربعاء","الخميس","الجمعة","السبت"))</f>
        <v/>
      </c>
      <c r="O385" s="23">
        <f>IF(OR($K385="",$L385=""),"",HYPERLINK("https://maps.google.com/?q="&amp;$K385&amp;","&amp;$L385,"عرض الموقع"))</f>
        <v/>
      </c>
      <c r="P385" s="23">
        <f>IF(OR($B385="",N($J385)=0),"",HYPERLINK(PhotoDir&amp;"/"&amp;YEAR($B385)&amp;"-"&amp;TEXT(MONTH($B385),"00")&amp;"-"&amp;TEXT(DAY($B385),"00")&amp;"_"&amp;$D385,"فتح الصور ("&amp;$J385&amp;")"))</f>
        <v/>
      </c>
      <c r="Q385" s="24">
        <f>IF($B385="","",MONTH($B385))</f>
        <v/>
      </c>
      <c r="R385" s="24">
        <f>IF($B385="","",YEAR($B385))</f>
        <v/>
      </c>
      <c r="S385" s="25">
        <f>IF($B385="","",$B385-WEEKDAY($B385,3))</f>
        <v/>
      </c>
      <c r="T385" s="24">
        <f>IF($B385="",0,IF(COUNTIFS($B$5:$B385,$B385,$D$5:$D385,$D385)=1,1,0))</f>
        <v/>
      </c>
      <c r="U385" s="24">
        <f>IF($B385="",0,IF(COUNTIFS($B$5:$B385,$B385,$C$5:$C385,$C385)=1,1,0))</f>
        <v/>
      </c>
      <c r="V385" s="24">
        <f>IF(OR($B385="",$G385="",$G385="لا توجد مشاهدات"),0,1)</f>
        <v/>
      </c>
      <c r="W385" s="24">
        <f>IF(AND($B385&lt;&gt;"",$I385="تم تحرير مخالفة"),1,0)</f>
        <v/>
      </c>
      <c r="X385" s="24">
        <f>IF($B385="","",IF($S385=WkStart,COUNTIF($S$5:$S385,WkStart),""))</f>
        <v/>
      </c>
    </row>
    <row r="386">
      <c r="A386" s="16">
        <f>IF($B386="","",ROW()-4)</f>
        <v/>
      </c>
      <c r="B386" s="17" t="n"/>
      <c r="C386" s="18" t="n"/>
      <c r="D386" s="18" t="n"/>
      <c r="E386" s="19" t="n"/>
      <c r="F386" s="19" t="n"/>
      <c r="G386" s="18" t="n"/>
      <c r="H386" s="18" t="n"/>
      <c r="I386" s="18" t="n"/>
      <c r="J386" s="20" t="n"/>
      <c r="K386" s="21" t="n"/>
      <c r="L386" s="21" t="n"/>
      <c r="M386" s="18" t="n"/>
      <c r="N386" s="22">
        <f>IF($B386="","",CHOOSE(WEEKDAY($B386),"الأحد","الاثنين","الثلاثاء","الأربعاء","الخميس","الجمعة","السبت"))</f>
        <v/>
      </c>
      <c r="O386" s="23">
        <f>IF(OR($K386="",$L386=""),"",HYPERLINK("https://maps.google.com/?q="&amp;$K386&amp;","&amp;$L386,"عرض الموقع"))</f>
        <v/>
      </c>
      <c r="P386" s="23">
        <f>IF(OR($B386="",N($J386)=0),"",HYPERLINK(PhotoDir&amp;"/"&amp;YEAR($B386)&amp;"-"&amp;TEXT(MONTH($B386),"00")&amp;"-"&amp;TEXT(DAY($B386),"00")&amp;"_"&amp;$D386,"فتح الصور ("&amp;$J386&amp;")"))</f>
        <v/>
      </c>
      <c r="Q386" s="24">
        <f>IF($B386="","",MONTH($B386))</f>
        <v/>
      </c>
      <c r="R386" s="24">
        <f>IF($B386="","",YEAR($B386))</f>
        <v/>
      </c>
      <c r="S386" s="25">
        <f>IF($B386="","",$B386-WEEKDAY($B386,3))</f>
        <v/>
      </c>
      <c r="T386" s="24">
        <f>IF($B386="",0,IF(COUNTIFS($B$5:$B386,$B386,$D$5:$D386,$D386)=1,1,0))</f>
        <v/>
      </c>
      <c r="U386" s="24">
        <f>IF($B386="",0,IF(COUNTIFS($B$5:$B386,$B386,$C$5:$C386,$C386)=1,1,0))</f>
        <v/>
      </c>
      <c r="V386" s="24">
        <f>IF(OR($B386="",$G386="",$G386="لا توجد مشاهدات"),0,1)</f>
        <v/>
      </c>
      <c r="W386" s="24">
        <f>IF(AND($B386&lt;&gt;"",$I386="تم تحرير مخالفة"),1,0)</f>
        <v/>
      </c>
      <c r="X386" s="24">
        <f>IF($B386="","",IF($S386=WkStart,COUNTIF($S$5:$S386,WkStart),""))</f>
        <v/>
      </c>
    </row>
    <row r="387">
      <c r="A387" s="16">
        <f>IF($B387="","",ROW()-4)</f>
        <v/>
      </c>
      <c r="B387" s="17" t="n"/>
      <c r="C387" s="18" t="n"/>
      <c r="D387" s="18" t="n"/>
      <c r="E387" s="19" t="n"/>
      <c r="F387" s="19" t="n"/>
      <c r="G387" s="18" t="n"/>
      <c r="H387" s="18" t="n"/>
      <c r="I387" s="18" t="n"/>
      <c r="J387" s="20" t="n"/>
      <c r="K387" s="21" t="n"/>
      <c r="L387" s="21" t="n"/>
      <c r="M387" s="18" t="n"/>
      <c r="N387" s="22">
        <f>IF($B387="","",CHOOSE(WEEKDAY($B387),"الأحد","الاثنين","الثلاثاء","الأربعاء","الخميس","الجمعة","السبت"))</f>
        <v/>
      </c>
      <c r="O387" s="23">
        <f>IF(OR($K387="",$L387=""),"",HYPERLINK("https://maps.google.com/?q="&amp;$K387&amp;","&amp;$L387,"عرض الموقع"))</f>
        <v/>
      </c>
      <c r="P387" s="23">
        <f>IF(OR($B387="",N($J387)=0),"",HYPERLINK(PhotoDir&amp;"/"&amp;YEAR($B387)&amp;"-"&amp;TEXT(MONTH($B387),"00")&amp;"-"&amp;TEXT(DAY($B387),"00")&amp;"_"&amp;$D387,"فتح الصور ("&amp;$J387&amp;")"))</f>
        <v/>
      </c>
      <c r="Q387" s="24">
        <f>IF($B387="","",MONTH($B387))</f>
        <v/>
      </c>
      <c r="R387" s="24">
        <f>IF($B387="","",YEAR($B387))</f>
        <v/>
      </c>
      <c r="S387" s="25">
        <f>IF($B387="","",$B387-WEEKDAY($B387,3))</f>
        <v/>
      </c>
      <c r="T387" s="24">
        <f>IF($B387="",0,IF(COUNTIFS($B$5:$B387,$B387,$D$5:$D387,$D387)=1,1,0))</f>
        <v/>
      </c>
      <c r="U387" s="24">
        <f>IF($B387="",0,IF(COUNTIFS($B$5:$B387,$B387,$C$5:$C387,$C387)=1,1,0))</f>
        <v/>
      </c>
      <c r="V387" s="24">
        <f>IF(OR($B387="",$G387="",$G387="لا توجد مشاهدات"),0,1)</f>
        <v/>
      </c>
      <c r="W387" s="24">
        <f>IF(AND($B387&lt;&gt;"",$I387="تم تحرير مخالفة"),1,0)</f>
        <v/>
      </c>
      <c r="X387" s="24">
        <f>IF($B387="","",IF($S387=WkStart,COUNTIF($S$5:$S387,WkStart),""))</f>
        <v/>
      </c>
    </row>
    <row r="388">
      <c r="A388" s="16">
        <f>IF($B388="","",ROW()-4)</f>
        <v/>
      </c>
      <c r="B388" s="17" t="n"/>
      <c r="C388" s="18" t="n"/>
      <c r="D388" s="18" t="n"/>
      <c r="E388" s="19" t="n"/>
      <c r="F388" s="19" t="n"/>
      <c r="G388" s="18" t="n"/>
      <c r="H388" s="18" t="n"/>
      <c r="I388" s="18" t="n"/>
      <c r="J388" s="20" t="n"/>
      <c r="K388" s="21" t="n"/>
      <c r="L388" s="21" t="n"/>
      <c r="M388" s="18" t="n"/>
      <c r="N388" s="22">
        <f>IF($B388="","",CHOOSE(WEEKDAY($B388),"الأحد","الاثنين","الثلاثاء","الأربعاء","الخميس","الجمعة","السبت"))</f>
        <v/>
      </c>
      <c r="O388" s="23">
        <f>IF(OR($K388="",$L388=""),"",HYPERLINK("https://maps.google.com/?q="&amp;$K388&amp;","&amp;$L388,"عرض الموقع"))</f>
        <v/>
      </c>
      <c r="P388" s="23">
        <f>IF(OR($B388="",N($J388)=0),"",HYPERLINK(PhotoDir&amp;"/"&amp;YEAR($B388)&amp;"-"&amp;TEXT(MONTH($B388),"00")&amp;"-"&amp;TEXT(DAY($B388),"00")&amp;"_"&amp;$D388,"فتح الصور ("&amp;$J388&amp;")"))</f>
        <v/>
      </c>
      <c r="Q388" s="24">
        <f>IF($B388="","",MONTH($B388))</f>
        <v/>
      </c>
      <c r="R388" s="24">
        <f>IF($B388="","",YEAR($B388))</f>
        <v/>
      </c>
      <c r="S388" s="25">
        <f>IF($B388="","",$B388-WEEKDAY($B388,3))</f>
        <v/>
      </c>
      <c r="T388" s="24">
        <f>IF($B388="",0,IF(COUNTIFS($B$5:$B388,$B388,$D$5:$D388,$D388)=1,1,0))</f>
        <v/>
      </c>
      <c r="U388" s="24">
        <f>IF($B388="",0,IF(COUNTIFS($B$5:$B388,$B388,$C$5:$C388,$C388)=1,1,0))</f>
        <v/>
      </c>
      <c r="V388" s="24">
        <f>IF(OR($B388="",$G388="",$G388="لا توجد مشاهدات"),0,1)</f>
        <v/>
      </c>
      <c r="W388" s="24">
        <f>IF(AND($B388&lt;&gt;"",$I388="تم تحرير مخالفة"),1,0)</f>
        <v/>
      </c>
      <c r="X388" s="24">
        <f>IF($B388="","",IF($S388=WkStart,COUNTIF($S$5:$S388,WkStart),""))</f>
        <v/>
      </c>
    </row>
    <row r="389">
      <c r="A389" s="16">
        <f>IF($B389="","",ROW()-4)</f>
        <v/>
      </c>
      <c r="B389" s="17" t="n"/>
      <c r="C389" s="18" t="n"/>
      <c r="D389" s="18" t="n"/>
      <c r="E389" s="19" t="n"/>
      <c r="F389" s="19" t="n"/>
      <c r="G389" s="18" t="n"/>
      <c r="H389" s="18" t="n"/>
      <c r="I389" s="18" t="n"/>
      <c r="J389" s="20" t="n"/>
      <c r="K389" s="21" t="n"/>
      <c r="L389" s="21" t="n"/>
      <c r="M389" s="18" t="n"/>
      <c r="N389" s="22">
        <f>IF($B389="","",CHOOSE(WEEKDAY($B389),"الأحد","الاثنين","الثلاثاء","الأربعاء","الخميس","الجمعة","السبت"))</f>
        <v/>
      </c>
      <c r="O389" s="23">
        <f>IF(OR($K389="",$L389=""),"",HYPERLINK("https://maps.google.com/?q="&amp;$K389&amp;","&amp;$L389,"عرض الموقع"))</f>
        <v/>
      </c>
      <c r="P389" s="23">
        <f>IF(OR($B389="",N($J389)=0),"",HYPERLINK(PhotoDir&amp;"/"&amp;YEAR($B389)&amp;"-"&amp;TEXT(MONTH($B389),"00")&amp;"-"&amp;TEXT(DAY($B389),"00")&amp;"_"&amp;$D389,"فتح الصور ("&amp;$J389&amp;")"))</f>
        <v/>
      </c>
      <c r="Q389" s="24">
        <f>IF($B389="","",MONTH($B389))</f>
        <v/>
      </c>
      <c r="R389" s="24">
        <f>IF($B389="","",YEAR($B389))</f>
        <v/>
      </c>
      <c r="S389" s="25">
        <f>IF($B389="","",$B389-WEEKDAY($B389,3))</f>
        <v/>
      </c>
      <c r="T389" s="24">
        <f>IF($B389="",0,IF(COUNTIFS($B$5:$B389,$B389,$D$5:$D389,$D389)=1,1,0))</f>
        <v/>
      </c>
      <c r="U389" s="24">
        <f>IF($B389="",0,IF(COUNTIFS($B$5:$B389,$B389,$C$5:$C389,$C389)=1,1,0))</f>
        <v/>
      </c>
      <c r="V389" s="24">
        <f>IF(OR($B389="",$G389="",$G389="لا توجد مشاهدات"),0,1)</f>
        <v/>
      </c>
      <c r="W389" s="24">
        <f>IF(AND($B389&lt;&gt;"",$I389="تم تحرير مخالفة"),1,0)</f>
        <v/>
      </c>
      <c r="X389" s="24">
        <f>IF($B389="","",IF($S389=WkStart,COUNTIF($S$5:$S389,WkStart),""))</f>
        <v/>
      </c>
    </row>
    <row r="390">
      <c r="A390" s="16">
        <f>IF($B390="","",ROW()-4)</f>
        <v/>
      </c>
      <c r="B390" s="17" t="n"/>
      <c r="C390" s="18" t="n"/>
      <c r="D390" s="18" t="n"/>
      <c r="E390" s="19" t="n"/>
      <c r="F390" s="19" t="n"/>
      <c r="G390" s="18" t="n"/>
      <c r="H390" s="18" t="n"/>
      <c r="I390" s="18" t="n"/>
      <c r="J390" s="20" t="n"/>
      <c r="K390" s="21" t="n"/>
      <c r="L390" s="21" t="n"/>
      <c r="M390" s="18" t="n"/>
      <c r="N390" s="22">
        <f>IF($B390="","",CHOOSE(WEEKDAY($B390),"الأحد","الاثنين","الثلاثاء","الأربعاء","الخميس","الجمعة","السبت"))</f>
        <v/>
      </c>
      <c r="O390" s="23">
        <f>IF(OR($K390="",$L390=""),"",HYPERLINK("https://maps.google.com/?q="&amp;$K390&amp;","&amp;$L390,"عرض الموقع"))</f>
        <v/>
      </c>
      <c r="P390" s="23">
        <f>IF(OR($B390="",N($J390)=0),"",HYPERLINK(PhotoDir&amp;"/"&amp;YEAR($B390)&amp;"-"&amp;TEXT(MONTH($B390),"00")&amp;"-"&amp;TEXT(DAY($B390),"00")&amp;"_"&amp;$D390,"فتح الصور ("&amp;$J390&amp;")"))</f>
        <v/>
      </c>
      <c r="Q390" s="24">
        <f>IF($B390="","",MONTH($B390))</f>
        <v/>
      </c>
      <c r="R390" s="24">
        <f>IF($B390="","",YEAR($B390))</f>
        <v/>
      </c>
      <c r="S390" s="25">
        <f>IF($B390="","",$B390-WEEKDAY($B390,3))</f>
        <v/>
      </c>
      <c r="T390" s="24">
        <f>IF($B390="",0,IF(COUNTIFS($B$5:$B390,$B390,$D$5:$D390,$D390)=1,1,0))</f>
        <v/>
      </c>
      <c r="U390" s="24">
        <f>IF($B390="",0,IF(COUNTIFS($B$5:$B390,$B390,$C$5:$C390,$C390)=1,1,0))</f>
        <v/>
      </c>
      <c r="V390" s="24">
        <f>IF(OR($B390="",$G390="",$G390="لا توجد مشاهدات"),0,1)</f>
        <v/>
      </c>
      <c r="W390" s="24">
        <f>IF(AND($B390&lt;&gt;"",$I390="تم تحرير مخالفة"),1,0)</f>
        <v/>
      </c>
      <c r="X390" s="24">
        <f>IF($B390="","",IF($S390=WkStart,COUNTIF($S$5:$S390,WkStart),""))</f>
        <v/>
      </c>
    </row>
    <row r="391">
      <c r="A391" s="16">
        <f>IF($B391="","",ROW()-4)</f>
        <v/>
      </c>
      <c r="B391" s="17" t="n"/>
      <c r="C391" s="18" t="n"/>
      <c r="D391" s="18" t="n"/>
      <c r="E391" s="19" t="n"/>
      <c r="F391" s="19" t="n"/>
      <c r="G391" s="18" t="n"/>
      <c r="H391" s="18" t="n"/>
      <c r="I391" s="18" t="n"/>
      <c r="J391" s="20" t="n"/>
      <c r="K391" s="21" t="n"/>
      <c r="L391" s="21" t="n"/>
      <c r="M391" s="18" t="n"/>
      <c r="N391" s="22">
        <f>IF($B391="","",CHOOSE(WEEKDAY($B391),"الأحد","الاثنين","الثلاثاء","الأربعاء","الخميس","الجمعة","السبت"))</f>
        <v/>
      </c>
      <c r="O391" s="23">
        <f>IF(OR($K391="",$L391=""),"",HYPERLINK("https://maps.google.com/?q="&amp;$K391&amp;","&amp;$L391,"عرض الموقع"))</f>
        <v/>
      </c>
      <c r="P391" s="23">
        <f>IF(OR($B391="",N($J391)=0),"",HYPERLINK(PhotoDir&amp;"/"&amp;YEAR($B391)&amp;"-"&amp;TEXT(MONTH($B391),"00")&amp;"-"&amp;TEXT(DAY($B391),"00")&amp;"_"&amp;$D391,"فتح الصور ("&amp;$J391&amp;")"))</f>
        <v/>
      </c>
      <c r="Q391" s="24">
        <f>IF($B391="","",MONTH($B391))</f>
        <v/>
      </c>
      <c r="R391" s="24">
        <f>IF($B391="","",YEAR($B391))</f>
        <v/>
      </c>
      <c r="S391" s="25">
        <f>IF($B391="","",$B391-WEEKDAY($B391,3))</f>
        <v/>
      </c>
      <c r="T391" s="24">
        <f>IF($B391="",0,IF(COUNTIFS($B$5:$B391,$B391,$D$5:$D391,$D391)=1,1,0))</f>
        <v/>
      </c>
      <c r="U391" s="24">
        <f>IF($B391="",0,IF(COUNTIFS($B$5:$B391,$B391,$C$5:$C391,$C391)=1,1,0))</f>
        <v/>
      </c>
      <c r="V391" s="24">
        <f>IF(OR($B391="",$G391="",$G391="لا توجد مشاهدات"),0,1)</f>
        <v/>
      </c>
      <c r="W391" s="24">
        <f>IF(AND($B391&lt;&gt;"",$I391="تم تحرير مخالفة"),1,0)</f>
        <v/>
      </c>
      <c r="X391" s="24">
        <f>IF($B391="","",IF($S391=WkStart,COUNTIF($S$5:$S391,WkStart),""))</f>
        <v/>
      </c>
    </row>
    <row r="392">
      <c r="A392" s="16">
        <f>IF($B392="","",ROW()-4)</f>
        <v/>
      </c>
      <c r="B392" s="17" t="n"/>
      <c r="C392" s="18" t="n"/>
      <c r="D392" s="18" t="n"/>
      <c r="E392" s="19" t="n"/>
      <c r="F392" s="19" t="n"/>
      <c r="G392" s="18" t="n"/>
      <c r="H392" s="18" t="n"/>
      <c r="I392" s="18" t="n"/>
      <c r="J392" s="20" t="n"/>
      <c r="K392" s="21" t="n"/>
      <c r="L392" s="21" t="n"/>
      <c r="M392" s="18" t="n"/>
      <c r="N392" s="22">
        <f>IF($B392="","",CHOOSE(WEEKDAY($B392),"الأحد","الاثنين","الثلاثاء","الأربعاء","الخميس","الجمعة","السبت"))</f>
        <v/>
      </c>
      <c r="O392" s="23">
        <f>IF(OR($K392="",$L392=""),"",HYPERLINK("https://maps.google.com/?q="&amp;$K392&amp;","&amp;$L392,"عرض الموقع"))</f>
        <v/>
      </c>
      <c r="P392" s="23">
        <f>IF(OR($B392="",N($J392)=0),"",HYPERLINK(PhotoDir&amp;"/"&amp;YEAR($B392)&amp;"-"&amp;TEXT(MONTH($B392),"00")&amp;"-"&amp;TEXT(DAY($B392),"00")&amp;"_"&amp;$D392,"فتح الصور ("&amp;$J392&amp;")"))</f>
        <v/>
      </c>
      <c r="Q392" s="24">
        <f>IF($B392="","",MONTH($B392))</f>
        <v/>
      </c>
      <c r="R392" s="24">
        <f>IF($B392="","",YEAR($B392))</f>
        <v/>
      </c>
      <c r="S392" s="25">
        <f>IF($B392="","",$B392-WEEKDAY($B392,3))</f>
        <v/>
      </c>
      <c r="T392" s="24">
        <f>IF($B392="",0,IF(COUNTIFS($B$5:$B392,$B392,$D$5:$D392,$D392)=1,1,0))</f>
        <v/>
      </c>
      <c r="U392" s="24">
        <f>IF($B392="",0,IF(COUNTIFS($B$5:$B392,$B392,$C$5:$C392,$C392)=1,1,0))</f>
        <v/>
      </c>
      <c r="V392" s="24">
        <f>IF(OR($B392="",$G392="",$G392="لا توجد مشاهدات"),0,1)</f>
        <v/>
      </c>
      <c r="W392" s="24">
        <f>IF(AND($B392&lt;&gt;"",$I392="تم تحرير مخالفة"),1,0)</f>
        <v/>
      </c>
      <c r="X392" s="24">
        <f>IF($B392="","",IF($S392=WkStart,COUNTIF($S$5:$S392,WkStart),""))</f>
        <v/>
      </c>
    </row>
    <row r="393">
      <c r="A393" s="16">
        <f>IF($B393="","",ROW()-4)</f>
        <v/>
      </c>
      <c r="B393" s="17" t="n"/>
      <c r="C393" s="18" t="n"/>
      <c r="D393" s="18" t="n"/>
      <c r="E393" s="19" t="n"/>
      <c r="F393" s="19" t="n"/>
      <c r="G393" s="18" t="n"/>
      <c r="H393" s="18" t="n"/>
      <c r="I393" s="18" t="n"/>
      <c r="J393" s="20" t="n"/>
      <c r="K393" s="21" t="n"/>
      <c r="L393" s="21" t="n"/>
      <c r="M393" s="18" t="n"/>
      <c r="N393" s="22">
        <f>IF($B393="","",CHOOSE(WEEKDAY($B393),"الأحد","الاثنين","الثلاثاء","الأربعاء","الخميس","الجمعة","السبت"))</f>
        <v/>
      </c>
      <c r="O393" s="23">
        <f>IF(OR($K393="",$L393=""),"",HYPERLINK("https://maps.google.com/?q="&amp;$K393&amp;","&amp;$L393,"عرض الموقع"))</f>
        <v/>
      </c>
      <c r="P393" s="23">
        <f>IF(OR($B393="",N($J393)=0),"",HYPERLINK(PhotoDir&amp;"/"&amp;YEAR($B393)&amp;"-"&amp;TEXT(MONTH($B393),"00")&amp;"-"&amp;TEXT(DAY($B393),"00")&amp;"_"&amp;$D393,"فتح الصور ("&amp;$J393&amp;")"))</f>
        <v/>
      </c>
      <c r="Q393" s="24">
        <f>IF($B393="","",MONTH($B393))</f>
        <v/>
      </c>
      <c r="R393" s="24">
        <f>IF($B393="","",YEAR($B393))</f>
        <v/>
      </c>
      <c r="S393" s="25">
        <f>IF($B393="","",$B393-WEEKDAY($B393,3))</f>
        <v/>
      </c>
      <c r="T393" s="24">
        <f>IF($B393="",0,IF(COUNTIFS($B$5:$B393,$B393,$D$5:$D393,$D393)=1,1,0))</f>
        <v/>
      </c>
      <c r="U393" s="24">
        <f>IF($B393="",0,IF(COUNTIFS($B$5:$B393,$B393,$C$5:$C393,$C393)=1,1,0))</f>
        <v/>
      </c>
      <c r="V393" s="24">
        <f>IF(OR($B393="",$G393="",$G393="لا توجد مشاهدات"),0,1)</f>
        <v/>
      </c>
      <c r="W393" s="24">
        <f>IF(AND($B393&lt;&gt;"",$I393="تم تحرير مخالفة"),1,0)</f>
        <v/>
      </c>
      <c r="X393" s="24">
        <f>IF($B393="","",IF($S393=WkStart,COUNTIF($S$5:$S393,WkStart),""))</f>
        <v/>
      </c>
    </row>
    <row r="394">
      <c r="A394" s="16">
        <f>IF($B394="","",ROW()-4)</f>
        <v/>
      </c>
      <c r="B394" s="17" t="n"/>
      <c r="C394" s="18" t="n"/>
      <c r="D394" s="18" t="n"/>
      <c r="E394" s="19" t="n"/>
      <c r="F394" s="19" t="n"/>
      <c r="G394" s="18" t="n"/>
      <c r="H394" s="18" t="n"/>
      <c r="I394" s="18" t="n"/>
      <c r="J394" s="20" t="n"/>
      <c r="K394" s="21" t="n"/>
      <c r="L394" s="21" t="n"/>
      <c r="M394" s="18" t="n"/>
      <c r="N394" s="22">
        <f>IF($B394="","",CHOOSE(WEEKDAY($B394),"الأحد","الاثنين","الثلاثاء","الأربعاء","الخميس","الجمعة","السبت"))</f>
        <v/>
      </c>
      <c r="O394" s="23">
        <f>IF(OR($K394="",$L394=""),"",HYPERLINK("https://maps.google.com/?q="&amp;$K394&amp;","&amp;$L394,"عرض الموقع"))</f>
        <v/>
      </c>
      <c r="P394" s="23">
        <f>IF(OR($B394="",N($J394)=0),"",HYPERLINK(PhotoDir&amp;"/"&amp;YEAR($B394)&amp;"-"&amp;TEXT(MONTH($B394),"00")&amp;"-"&amp;TEXT(DAY($B394),"00")&amp;"_"&amp;$D394,"فتح الصور ("&amp;$J394&amp;")"))</f>
        <v/>
      </c>
      <c r="Q394" s="24">
        <f>IF($B394="","",MONTH($B394))</f>
        <v/>
      </c>
      <c r="R394" s="24">
        <f>IF($B394="","",YEAR($B394))</f>
        <v/>
      </c>
      <c r="S394" s="25">
        <f>IF($B394="","",$B394-WEEKDAY($B394,3))</f>
        <v/>
      </c>
      <c r="T394" s="24">
        <f>IF($B394="",0,IF(COUNTIFS($B$5:$B394,$B394,$D$5:$D394,$D394)=1,1,0))</f>
        <v/>
      </c>
      <c r="U394" s="24">
        <f>IF($B394="",0,IF(COUNTIFS($B$5:$B394,$B394,$C$5:$C394,$C394)=1,1,0))</f>
        <v/>
      </c>
      <c r="V394" s="24">
        <f>IF(OR($B394="",$G394="",$G394="لا توجد مشاهدات"),0,1)</f>
        <v/>
      </c>
      <c r="W394" s="24">
        <f>IF(AND($B394&lt;&gt;"",$I394="تم تحرير مخالفة"),1,0)</f>
        <v/>
      </c>
      <c r="X394" s="24">
        <f>IF($B394="","",IF($S394=WkStart,COUNTIF($S$5:$S394,WkStart),""))</f>
        <v/>
      </c>
    </row>
    <row r="395">
      <c r="A395" s="16">
        <f>IF($B395="","",ROW()-4)</f>
        <v/>
      </c>
      <c r="B395" s="17" t="n"/>
      <c r="C395" s="18" t="n"/>
      <c r="D395" s="18" t="n"/>
      <c r="E395" s="19" t="n"/>
      <c r="F395" s="19" t="n"/>
      <c r="G395" s="18" t="n"/>
      <c r="H395" s="18" t="n"/>
      <c r="I395" s="18" t="n"/>
      <c r="J395" s="20" t="n"/>
      <c r="K395" s="21" t="n"/>
      <c r="L395" s="21" t="n"/>
      <c r="M395" s="18" t="n"/>
      <c r="N395" s="22">
        <f>IF($B395="","",CHOOSE(WEEKDAY($B395),"الأحد","الاثنين","الثلاثاء","الأربعاء","الخميس","الجمعة","السبت"))</f>
        <v/>
      </c>
      <c r="O395" s="23">
        <f>IF(OR($K395="",$L395=""),"",HYPERLINK("https://maps.google.com/?q="&amp;$K395&amp;","&amp;$L395,"عرض الموقع"))</f>
        <v/>
      </c>
      <c r="P395" s="23">
        <f>IF(OR($B395="",N($J395)=0),"",HYPERLINK(PhotoDir&amp;"/"&amp;YEAR($B395)&amp;"-"&amp;TEXT(MONTH($B395),"00")&amp;"-"&amp;TEXT(DAY($B395),"00")&amp;"_"&amp;$D395,"فتح الصور ("&amp;$J395&amp;")"))</f>
        <v/>
      </c>
      <c r="Q395" s="24">
        <f>IF($B395="","",MONTH($B395))</f>
        <v/>
      </c>
      <c r="R395" s="24">
        <f>IF($B395="","",YEAR($B395))</f>
        <v/>
      </c>
      <c r="S395" s="25">
        <f>IF($B395="","",$B395-WEEKDAY($B395,3))</f>
        <v/>
      </c>
      <c r="T395" s="24">
        <f>IF($B395="",0,IF(COUNTIFS($B$5:$B395,$B395,$D$5:$D395,$D395)=1,1,0))</f>
        <v/>
      </c>
      <c r="U395" s="24">
        <f>IF($B395="",0,IF(COUNTIFS($B$5:$B395,$B395,$C$5:$C395,$C395)=1,1,0))</f>
        <v/>
      </c>
      <c r="V395" s="24">
        <f>IF(OR($B395="",$G395="",$G395="لا توجد مشاهدات"),0,1)</f>
        <v/>
      </c>
      <c r="W395" s="24">
        <f>IF(AND($B395&lt;&gt;"",$I395="تم تحرير مخالفة"),1,0)</f>
        <v/>
      </c>
      <c r="X395" s="24">
        <f>IF($B395="","",IF($S395=WkStart,COUNTIF($S$5:$S395,WkStart),""))</f>
        <v/>
      </c>
    </row>
    <row r="396">
      <c r="A396" s="16">
        <f>IF($B396="","",ROW()-4)</f>
        <v/>
      </c>
      <c r="B396" s="17" t="n"/>
      <c r="C396" s="18" t="n"/>
      <c r="D396" s="18" t="n"/>
      <c r="E396" s="19" t="n"/>
      <c r="F396" s="19" t="n"/>
      <c r="G396" s="18" t="n"/>
      <c r="H396" s="18" t="n"/>
      <c r="I396" s="18" t="n"/>
      <c r="J396" s="20" t="n"/>
      <c r="K396" s="21" t="n"/>
      <c r="L396" s="21" t="n"/>
      <c r="M396" s="18" t="n"/>
      <c r="N396" s="22">
        <f>IF($B396="","",CHOOSE(WEEKDAY($B396),"الأحد","الاثنين","الثلاثاء","الأربعاء","الخميس","الجمعة","السبت"))</f>
        <v/>
      </c>
      <c r="O396" s="23">
        <f>IF(OR($K396="",$L396=""),"",HYPERLINK("https://maps.google.com/?q="&amp;$K396&amp;","&amp;$L396,"عرض الموقع"))</f>
        <v/>
      </c>
      <c r="P396" s="23">
        <f>IF(OR($B396="",N($J396)=0),"",HYPERLINK(PhotoDir&amp;"/"&amp;YEAR($B396)&amp;"-"&amp;TEXT(MONTH($B396),"00")&amp;"-"&amp;TEXT(DAY($B396),"00")&amp;"_"&amp;$D396,"فتح الصور ("&amp;$J396&amp;")"))</f>
        <v/>
      </c>
      <c r="Q396" s="24">
        <f>IF($B396="","",MONTH($B396))</f>
        <v/>
      </c>
      <c r="R396" s="24">
        <f>IF($B396="","",YEAR($B396))</f>
        <v/>
      </c>
      <c r="S396" s="25">
        <f>IF($B396="","",$B396-WEEKDAY($B396,3))</f>
        <v/>
      </c>
      <c r="T396" s="24">
        <f>IF($B396="",0,IF(COUNTIFS($B$5:$B396,$B396,$D$5:$D396,$D396)=1,1,0))</f>
        <v/>
      </c>
      <c r="U396" s="24">
        <f>IF($B396="",0,IF(COUNTIFS($B$5:$B396,$B396,$C$5:$C396,$C396)=1,1,0))</f>
        <v/>
      </c>
      <c r="V396" s="24">
        <f>IF(OR($B396="",$G396="",$G396="لا توجد مشاهدات"),0,1)</f>
        <v/>
      </c>
      <c r="W396" s="24">
        <f>IF(AND($B396&lt;&gt;"",$I396="تم تحرير مخالفة"),1,0)</f>
        <v/>
      </c>
      <c r="X396" s="24">
        <f>IF($B396="","",IF($S396=WkStart,COUNTIF($S$5:$S396,WkStart),""))</f>
        <v/>
      </c>
    </row>
    <row r="397">
      <c r="A397" s="16">
        <f>IF($B397="","",ROW()-4)</f>
        <v/>
      </c>
      <c r="B397" s="17" t="n"/>
      <c r="C397" s="18" t="n"/>
      <c r="D397" s="18" t="n"/>
      <c r="E397" s="19" t="n"/>
      <c r="F397" s="19" t="n"/>
      <c r="G397" s="18" t="n"/>
      <c r="H397" s="18" t="n"/>
      <c r="I397" s="18" t="n"/>
      <c r="J397" s="20" t="n"/>
      <c r="K397" s="21" t="n"/>
      <c r="L397" s="21" t="n"/>
      <c r="M397" s="18" t="n"/>
      <c r="N397" s="22">
        <f>IF($B397="","",CHOOSE(WEEKDAY($B397),"الأحد","الاثنين","الثلاثاء","الأربعاء","الخميس","الجمعة","السبت"))</f>
        <v/>
      </c>
      <c r="O397" s="23">
        <f>IF(OR($K397="",$L397=""),"",HYPERLINK("https://maps.google.com/?q="&amp;$K397&amp;","&amp;$L397,"عرض الموقع"))</f>
        <v/>
      </c>
      <c r="P397" s="23">
        <f>IF(OR($B397="",N($J397)=0),"",HYPERLINK(PhotoDir&amp;"/"&amp;YEAR($B397)&amp;"-"&amp;TEXT(MONTH($B397),"00")&amp;"-"&amp;TEXT(DAY($B397),"00")&amp;"_"&amp;$D397,"فتح الصور ("&amp;$J397&amp;")"))</f>
        <v/>
      </c>
      <c r="Q397" s="24">
        <f>IF($B397="","",MONTH($B397))</f>
        <v/>
      </c>
      <c r="R397" s="24">
        <f>IF($B397="","",YEAR($B397))</f>
        <v/>
      </c>
      <c r="S397" s="25">
        <f>IF($B397="","",$B397-WEEKDAY($B397,3))</f>
        <v/>
      </c>
      <c r="T397" s="24">
        <f>IF($B397="",0,IF(COUNTIFS($B$5:$B397,$B397,$D$5:$D397,$D397)=1,1,0))</f>
        <v/>
      </c>
      <c r="U397" s="24">
        <f>IF($B397="",0,IF(COUNTIFS($B$5:$B397,$B397,$C$5:$C397,$C397)=1,1,0))</f>
        <v/>
      </c>
      <c r="V397" s="24">
        <f>IF(OR($B397="",$G397="",$G397="لا توجد مشاهدات"),0,1)</f>
        <v/>
      </c>
      <c r="W397" s="24">
        <f>IF(AND($B397&lt;&gt;"",$I397="تم تحرير مخالفة"),1,0)</f>
        <v/>
      </c>
      <c r="X397" s="24">
        <f>IF($B397="","",IF($S397=WkStart,COUNTIF($S$5:$S397,WkStart),""))</f>
        <v/>
      </c>
    </row>
    <row r="398">
      <c r="A398" s="16">
        <f>IF($B398="","",ROW()-4)</f>
        <v/>
      </c>
      <c r="B398" s="17" t="n"/>
      <c r="C398" s="18" t="n"/>
      <c r="D398" s="18" t="n"/>
      <c r="E398" s="19" t="n"/>
      <c r="F398" s="19" t="n"/>
      <c r="G398" s="18" t="n"/>
      <c r="H398" s="18" t="n"/>
      <c r="I398" s="18" t="n"/>
      <c r="J398" s="20" t="n"/>
      <c r="K398" s="21" t="n"/>
      <c r="L398" s="21" t="n"/>
      <c r="M398" s="18" t="n"/>
      <c r="N398" s="22">
        <f>IF($B398="","",CHOOSE(WEEKDAY($B398),"الأحد","الاثنين","الثلاثاء","الأربعاء","الخميس","الجمعة","السبت"))</f>
        <v/>
      </c>
      <c r="O398" s="23">
        <f>IF(OR($K398="",$L398=""),"",HYPERLINK("https://maps.google.com/?q="&amp;$K398&amp;","&amp;$L398,"عرض الموقع"))</f>
        <v/>
      </c>
      <c r="P398" s="23">
        <f>IF(OR($B398="",N($J398)=0),"",HYPERLINK(PhotoDir&amp;"/"&amp;YEAR($B398)&amp;"-"&amp;TEXT(MONTH($B398),"00")&amp;"-"&amp;TEXT(DAY($B398),"00")&amp;"_"&amp;$D398,"فتح الصور ("&amp;$J398&amp;")"))</f>
        <v/>
      </c>
      <c r="Q398" s="24">
        <f>IF($B398="","",MONTH($B398))</f>
        <v/>
      </c>
      <c r="R398" s="24">
        <f>IF($B398="","",YEAR($B398))</f>
        <v/>
      </c>
      <c r="S398" s="25">
        <f>IF($B398="","",$B398-WEEKDAY($B398,3))</f>
        <v/>
      </c>
      <c r="T398" s="24">
        <f>IF($B398="",0,IF(COUNTIFS($B$5:$B398,$B398,$D$5:$D398,$D398)=1,1,0))</f>
        <v/>
      </c>
      <c r="U398" s="24">
        <f>IF($B398="",0,IF(COUNTIFS($B$5:$B398,$B398,$C$5:$C398,$C398)=1,1,0))</f>
        <v/>
      </c>
      <c r="V398" s="24">
        <f>IF(OR($B398="",$G398="",$G398="لا توجد مشاهدات"),0,1)</f>
        <v/>
      </c>
      <c r="W398" s="24">
        <f>IF(AND($B398&lt;&gt;"",$I398="تم تحرير مخالفة"),1,0)</f>
        <v/>
      </c>
      <c r="X398" s="24">
        <f>IF($B398="","",IF($S398=WkStart,COUNTIF($S$5:$S398,WkStart),""))</f>
        <v/>
      </c>
    </row>
    <row r="399">
      <c r="A399" s="16">
        <f>IF($B399="","",ROW()-4)</f>
        <v/>
      </c>
      <c r="B399" s="17" t="n"/>
      <c r="C399" s="18" t="n"/>
      <c r="D399" s="18" t="n"/>
      <c r="E399" s="19" t="n"/>
      <c r="F399" s="19" t="n"/>
      <c r="G399" s="18" t="n"/>
      <c r="H399" s="18" t="n"/>
      <c r="I399" s="18" t="n"/>
      <c r="J399" s="20" t="n"/>
      <c r="K399" s="21" t="n"/>
      <c r="L399" s="21" t="n"/>
      <c r="M399" s="18" t="n"/>
      <c r="N399" s="22">
        <f>IF($B399="","",CHOOSE(WEEKDAY($B399),"الأحد","الاثنين","الثلاثاء","الأربعاء","الخميس","الجمعة","السبت"))</f>
        <v/>
      </c>
      <c r="O399" s="23">
        <f>IF(OR($K399="",$L399=""),"",HYPERLINK("https://maps.google.com/?q="&amp;$K399&amp;","&amp;$L399,"عرض الموقع"))</f>
        <v/>
      </c>
      <c r="P399" s="23">
        <f>IF(OR($B399="",N($J399)=0),"",HYPERLINK(PhotoDir&amp;"/"&amp;YEAR($B399)&amp;"-"&amp;TEXT(MONTH($B399),"00")&amp;"-"&amp;TEXT(DAY($B399),"00")&amp;"_"&amp;$D399,"فتح الصور ("&amp;$J399&amp;")"))</f>
        <v/>
      </c>
      <c r="Q399" s="24">
        <f>IF($B399="","",MONTH($B399))</f>
        <v/>
      </c>
      <c r="R399" s="24">
        <f>IF($B399="","",YEAR($B399))</f>
        <v/>
      </c>
      <c r="S399" s="25">
        <f>IF($B399="","",$B399-WEEKDAY($B399,3))</f>
        <v/>
      </c>
      <c r="T399" s="24">
        <f>IF($B399="",0,IF(COUNTIFS($B$5:$B399,$B399,$D$5:$D399,$D399)=1,1,0))</f>
        <v/>
      </c>
      <c r="U399" s="24">
        <f>IF($B399="",0,IF(COUNTIFS($B$5:$B399,$B399,$C$5:$C399,$C399)=1,1,0))</f>
        <v/>
      </c>
      <c r="V399" s="24">
        <f>IF(OR($B399="",$G399="",$G399="لا توجد مشاهدات"),0,1)</f>
        <v/>
      </c>
      <c r="W399" s="24">
        <f>IF(AND($B399&lt;&gt;"",$I399="تم تحرير مخالفة"),1,0)</f>
        <v/>
      </c>
      <c r="X399" s="24">
        <f>IF($B399="","",IF($S399=WkStart,COUNTIF($S$5:$S399,WkStart),""))</f>
        <v/>
      </c>
    </row>
    <row r="400">
      <c r="A400" s="16">
        <f>IF($B400="","",ROW()-4)</f>
        <v/>
      </c>
      <c r="B400" s="17" t="n"/>
      <c r="C400" s="18" t="n"/>
      <c r="D400" s="18" t="n"/>
      <c r="E400" s="19" t="n"/>
      <c r="F400" s="19" t="n"/>
      <c r="G400" s="18" t="n"/>
      <c r="H400" s="18" t="n"/>
      <c r="I400" s="18" t="n"/>
      <c r="J400" s="20" t="n"/>
      <c r="K400" s="21" t="n"/>
      <c r="L400" s="21" t="n"/>
      <c r="M400" s="18" t="n"/>
      <c r="N400" s="22">
        <f>IF($B400="","",CHOOSE(WEEKDAY($B400),"الأحد","الاثنين","الثلاثاء","الأربعاء","الخميس","الجمعة","السبت"))</f>
        <v/>
      </c>
      <c r="O400" s="23">
        <f>IF(OR($K400="",$L400=""),"",HYPERLINK("https://maps.google.com/?q="&amp;$K400&amp;","&amp;$L400,"عرض الموقع"))</f>
        <v/>
      </c>
      <c r="P400" s="23">
        <f>IF(OR($B400="",N($J400)=0),"",HYPERLINK(PhotoDir&amp;"/"&amp;YEAR($B400)&amp;"-"&amp;TEXT(MONTH($B400),"00")&amp;"-"&amp;TEXT(DAY($B400),"00")&amp;"_"&amp;$D400,"فتح الصور ("&amp;$J400&amp;")"))</f>
        <v/>
      </c>
      <c r="Q400" s="24">
        <f>IF($B400="","",MONTH($B400))</f>
        <v/>
      </c>
      <c r="R400" s="24">
        <f>IF($B400="","",YEAR($B400))</f>
        <v/>
      </c>
      <c r="S400" s="25">
        <f>IF($B400="","",$B400-WEEKDAY($B400,3))</f>
        <v/>
      </c>
      <c r="T400" s="24">
        <f>IF($B400="",0,IF(COUNTIFS($B$5:$B400,$B400,$D$5:$D400,$D400)=1,1,0))</f>
        <v/>
      </c>
      <c r="U400" s="24">
        <f>IF($B400="",0,IF(COUNTIFS($B$5:$B400,$B400,$C$5:$C400,$C400)=1,1,0))</f>
        <v/>
      </c>
      <c r="V400" s="24">
        <f>IF(OR($B400="",$G400="",$G400="لا توجد مشاهدات"),0,1)</f>
        <v/>
      </c>
      <c r="W400" s="24">
        <f>IF(AND($B400&lt;&gt;"",$I400="تم تحرير مخالفة"),1,0)</f>
        <v/>
      </c>
      <c r="X400" s="24">
        <f>IF($B400="","",IF($S400=WkStart,COUNTIF($S$5:$S400,WkStart),""))</f>
        <v/>
      </c>
    </row>
    <row r="401">
      <c r="A401" s="16">
        <f>IF($B401="","",ROW()-4)</f>
        <v/>
      </c>
      <c r="B401" s="17" t="n"/>
      <c r="C401" s="18" t="n"/>
      <c r="D401" s="18" t="n"/>
      <c r="E401" s="19" t="n"/>
      <c r="F401" s="19" t="n"/>
      <c r="G401" s="18" t="n"/>
      <c r="H401" s="18" t="n"/>
      <c r="I401" s="18" t="n"/>
      <c r="J401" s="20" t="n"/>
      <c r="K401" s="21" t="n"/>
      <c r="L401" s="21" t="n"/>
      <c r="M401" s="18" t="n"/>
      <c r="N401" s="22">
        <f>IF($B401="","",CHOOSE(WEEKDAY($B401),"الأحد","الاثنين","الثلاثاء","الأربعاء","الخميس","الجمعة","السبت"))</f>
        <v/>
      </c>
      <c r="O401" s="23">
        <f>IF(OR($K401="",$L401=""),"",HYPERLINK("https://maps.google.com/?q="&amp;$K401&amp;","&amp;$L401,"عرض الموقع"))</f>
        <v/>
      </c>
      <c r="P401" s="23">
        <f>IF(OR($B401="",N($J401)=0),"",HYPERLINK(PhotoDir&amp;"/"&amp;YEAR($B401)&amp;"-"&amp;TEXT(MONTH($B401),"00")&amp;"-"&amp;TEXT(DAY($B401),"00")&amp;"_"&amp;$D401,"فتح الصور ("&amp;$J401&amp;")"))</f>
        <v/>
      </c>
      <c r="Q401" s="24">
        <f>IF($B401="","",MONTH($B401))</f>
        <v/>
      </c>
      <c r="R401" s="24">
        <f>IF($B401="","",YEAR($B401))</f>
        <v/>
      </c>
      <c r="S401" s="25">
        <f>IF($B401="","",$B401-WEEKDAY($B401,3))</f>
        <v/>
      </c>
      <c r="T401" s="24">
        <f>IF($B401="",0,IF(COUNTIFS($B$5:$B401,$B401,$D$5:$D401,$D401)=1,1,0))</f>
        <v/>
      </c>
      <c r="U401" s="24">
        <f>IF($B401="",0,IF(COUNTIFS($B$5:$B401,$B401,$C$5:$C401,$C401)=1,1,0))</f>
        <v/>
      </c>
      <c r="V401" s="24">
        <f>IF(OR($B401="",$G401="",$G401="لا توجد مشاهدات"),0,1)</f>
        <v/>
      </c>
      <c r="W401" s="24">
        <f>IF(AND($B401&lt;&gt;"",$I401="تم تحرير مخالفة"),1,0)</f>
        <v/>
      </c>
      <c r="X401" s="24">
        <f>IF($B401="","",IF($S401=WkStart,COUNTIF($S$5:$S401,WkStart),""))</f>
        <v/>
      </c>
    </row>
    <row r="402">
      <c r="A402" s="16">
        <f>IF($B402="","",ROW()-4)</f>
        <v/>
      </c>
      <c r="B402" s="17" t="n"/>
      <c r="C402" s="18" t="n"/>
      <c r="D402" s="18" t="n"/>
      <c r="E402" s="19" t="n"/>
      <c r="F402" s="19" t="n"/>
      <c r="G402" s="18" t="n"/>
      <c r="H402" s="18" t="n"/>
      <c r="I402" s="18" t="n"/>
      <c r="J402" s="20" t="n"/>
      <c r="K402" s="21" t="n"/>
      <c r="L402" s="21" t="n"/>
      <c r="M402" s="18" t="n"/>
      <c r="N402" s="22">
        <f>IF($B402="","",CHOOSE(WEEKDAY($B402),"الأحد","الاثنين","الثلاثاء","الأربعاء","الخميس","الجمعة","السبت"))</f>
        <v/>
      </c>
      <c r="O402" s="23">
        <f>IF(OR($K402="",$L402=""),"",HYPERLINK("https://maps.google.com/?q="&amp;$K402&amp;","&amp;$L402,"عرض الموقع"))</f>
        <v/>
      </c>
      <c r="P402" s="23">
        <f>IF(OR($B402="",N($J402)=0),"",HYPERLINK(PhotoDir&amp;"/"&amp;YEAR($B402)&amp;"-"&amp;TEXT(MONTH($B402),"00")&amp;"-"&amp;TEXT(DAY($B402),"00")&amp;"_"&amp;$D402,"فتح الصور ("&amp;$J402&amp;")"))</f>
        <v/>
      </c>
      <c r="Q402" s="24">
        <f>IF($B402="","",MONTH($B402))</f>
        <v/>
      </c>
      <c r="R402" s="24">
        <f>IF($B402="","",YEAR($B402))</f>
        <v/>
      </c>
      <c r="S402" s="25">
        <f>IF($B402="","",$B402-WEEKDAY($B402,3))</f>
        <v/>
      </c>
      <c r="T402" s="24">
        <f>IF($B402="",0,IF(COUNTIFS($B$5:$B402,$B402,$D$5:$D402,$D402)=1,1,0))</f>
        <v/>
      </c>
      <c r="U402" s="24">
        <f>IF($B402="",0,IF(COUNTIFS($B$5:$B402,$B402,$C$5:$C402,$C402)=1,1,0))</f>
        <v/>
      </c>
      <c r="V402" s="24">
        <f>IF(OR($B402="",$G402="",$G402="لا توجد مشاهدات"),0,1)</f>
        <v/>
      </c>
      <c r="W402" s="24">
        <f>IF(AND($B402&lt;&gt;"",$I402="تم تحرير مخالفة"),1,0)</f>
        <v/>
      </c>
      <c r="X402" s="24">
        <f>IF($B402="","",IF($S402=WkStart,COUNTIF($S$5:$S402,WkStart),""))</f>
        <v/>
      </c>
    </row>
    <row r="403">
      <c r="A403" s="16">
        <f>IF($B403="","",ROW()-4)</f>
        <v/>
      </c>
      <c r="B403" s="17" t="n"/>
      <c r="C403" s="18" t="n"/>
      <c r="D403" s="18" t="n"/>
      <c r="E403" s="19" t="n"/>
      <c r="F403" s="19" t="n"/>
      <c r="G403" s="18" t="n"/>
      <c r="H403" s="18" t="n"/>
      <c r="I403" s="18" t="n"/>
      <c r="J403" s="20" t="n"/>
      <c r="K403" s="21" t="n"/>
      <c r="L403" s="21" t="n"/>
      <c r="M403" s="18" t="n"/>
      <c r="N403" s="22">
        <f>IF($B403="","",CHOOSE(WEEKDAY($B403),"الأحد","الاثنين","الثلاثاء","الأربعاء","الخميس","الجمعة","السبت"))</f>
        <v/>
      </c>
      <c r="O403" s="23">
        <f>IF(OR($K403="",$L403=""),"",HYPERLINK("https://maps.google.com/?q="&amp;$K403&amp;","&amp;$L403,"عرض الموقع"))</f>
        <v/>
      </c>
      <c r="P403" s="23">
        <f>IF(OR($B403="",N($J403)=0),"",HYPERLINK(PhotoDir&amp;"/"&amp;YEAR($B403)&amp;"-"&amp;TEXT(MONTH($B403),"00")&amp;"-"&amp;TEXT(DAY($B403),"00")&amp;"_"&amp;$D403,"فتح الصور ("&amp;$J403&amp;")"))</f>
        <v/>
      </c>
      <c r="Q403" s="24">
        <f>IF($B403="","",MONTH($B403))</f>
        <v/>
      </c>
      <c r="R403" s="24">
        <f>IF($B403="","",YEAR($B403))</f>
        <v/>
      </c>
      <c r="S403" s="25">
        <f>IF($B403="","",$B403-WEEKDAY($B403,3))</f>
        <v/>
      </c>
      <c r="T403" s="24">
        <f>IF($B403="",0,IF(COUNTIFS($B$5:$B403,$B403,$D$5:$D403,$D403)=1,1,0))</f>
        <v/>
      </c>
      <c r="U403" s="24">
        <f>IF($B403="",0,IF(COUNTIFS($B$5:$B403,$B403,$C$5:$C403,$C403)=1,1,0))</f>
        <v/>
      </c>
      <c r="V403" s="24">
        <f>IF(OR($B403="",$G403="",$G403="لا توجد مشاهدات"),0,1)</f>
        <v/>
      </c>
      <c r="W403" s="24">
        <f>IF(AND($B403&lt;&gt;"",$I403="تم تحرير مخالفة"),1,0)</f>
        <v/>
      </c>
      <c r="X403" s="24">
        <f>IF($B403="","",IF($S403=WkStart,COUNTIF($S$5:$S403,WkStart),""))</f>
        <v/>
      </c>
    </row>
    <row r="404">
      <c r="A404" s="16">
        <f>IF($B404="","",ROW()-4)</f>
        <v/>
      </c>
      <c r="B404" s="17" t="n"/>
      <c r="C404" s="18" t="n"/>
      <c r="D404" s="18" t="n"/>
      <c r="E404" s="19" t="n"/>
      <c r="F404" s="19" t="n"/>
      <c r="G404" s="18" t="n"/>
      <c r="H404" s="18" t="n"/>
      <c r="I404" s="18" t="n"/>
      <c r="J404" s="20" t="n"/>
      <c r="K404" s="21" t="n"/>
      <c r="L404" s="21" t="n"/>
      <c r="M404" s="18" t="n"/>
      <c r="N404" s="22">
        <f>IF($B404="","",CHOOSE(WEEKDAY($B404),"الأحد","الاثنين","الثلاثاء","الأربعاء","الخميس","الجمعة","السبت"))</f>
        <v/>
      </c>
      <c r="O404" s="23">
        <f>IF(OR($K404="",$L404=""),"",HYPERLINK("https://maps.google.com/?q="&amp;$K404&amp;","&amp;$L404,"عرض الموقع"))</f>
        <v/>
      </c>
      <c r="P404" s="23">
        <f>IF(OR($B404="",N($J404)=0),"",HYPERLINK(PhotoDir&amp;"/"&amp;YEAR($B404)&amp;"-"&amp;TEXT(MONTH($B404),"00")&amp;"-"&amp;TEXT(DAY($B404),"00")&amp;"_"&amp;$D404,"فتح الصور ("&amp;$J404&amp;")"))</f>
        <v/>
      </c>
      <c r="Q404" s="24">
        <f>IF($B404="","",MONTH($B404))</f>
        <v/>
      </c>
      <c r="R404" s="24">
        <f>IF($B404="","",YEAR($B404))</f>
        <v/>
      </c>
      <c r="S404" s="25">
        <f>IF($B404="","",$B404-WEEKDAY($B404,3))</f>
        <v/>
      </c>
      <c r="T404" s="24">
        <f>IF($B404="",0,IF(COUNTIFS($B$5:$B404,$B404,$D$5:$D404,$D404)=1,1,0))</f>
        <v/>
      </c>
      <c r="U404" s="24">
        <f>IF($B404="",0,IF(COUNTIFS($B$5:$B404,$B404,$C$5:$C404,$C404)=1,1,0))</f>
        <v/>
      </c>
      <c r="V404" s="24">
        <f>IF(OR($B404="",$G404="",$G404="لا توجد مشاهدات"),0,1)</f>
        <v/>
      </c>
      <c r="W404" s="24">
        <f>IF(AND($B404&lt;&gt;"",$I404="تم تحرير مخالفة"),1,0)</f>
        <v/>
      </c>
      <c r="X404" s="24">
        <f>IF($B404="","",IF($S404=WkStart,COUNTIF($S$5:$S404,WkStart),""))</f>
        <v/>
      </c>
    </row>
    <row r="405">
      <c r="A405" s="16">
        <f>IF($B405="","",ROW()-4)</f>
        <v/>
      </c>
      <c r="B405" s="17" t="n"/>
      <c r="C405" s="18" t="n"/>
      <c r="D405" s="18" t="n"/>
      <c r="E405" s="19" t="n"/>
      <c r="F405" s="19" t="n"/>
      <c r="G405" s="18" t="n"/>
      <c r="H405" s="18" t="n"/>
      <c r="I405" s="18" t="n"/>
      <c r="J405" s="20" t="n"/>
      <c r="K405" s="21" t="n"/>
      <c r="L405" s="21" t="n"/>
      <c r="M405" s="18" t="n"/>
      <c r="N405" s="22">
        <f>IF($B405="","",CHOOSE(WEEKDAY($B405),"الأحد","الاثنين","الثلاثاء","الأربعاء","الخميس","الجمعة","السبت"))</f>
        <v/>
      </c>
      <c r="O405" s="23">
        <f>IF(OR($K405="",$L405=""),"",HYPERLINK("https://maps.google.com/?q="&amp;$K405&amp;","&amp;$L405,"عرض الموقع"))</f>
        <v/>
      </c>
      <c r="P405" s="23">
        <f>IF(OR($B405="",N($J405)=0),"",HYPERLINK(PhotoDir&amp;"/"&amp;YEAR($B405)&amp;"-"&amp;TEXT(MONTH($B405),"00")&amp;"-"&amp;TEXT(DAY($B405),"00")&amp;"_"&amp;$D405,"فتح الصور ("&amp;$J405&amp;")"))</f>
        <v/>
      </c>
      <c r="Q405" s="24">
        <f>IF($B405="","",MONTH($B405))</f>
        <v/>
      </c>
      <c r="R405" s="24">
        <f>IF($B405="","",YEAR($B405))</f>
        <v/>
      </c>
      <c r="S405" s="25">
        <f>IF($B405="","",$B405-WEEKDAY($B405,3))</f>
        <v/>
      </c>
      <c r="T405" s="24">
        <f>IF($B405="",0,IF(COUNTIFS($B$5:$B405,$B405,$D$5:$D405,$D405)=1,1,0))</f>
        <v/>
      </c>
      <c r="U405" s="24">
        <f>IF($B405="",0,IF(COUNTIFS($B$5:$B405,$B405,$C$5:$C405,$C405)=1,1,0))</f>
        <v/>
      </c>
      <c r="V405" s="24">
        <f>IF(OR($B405="",$G405="",$G405="لا توجد مشاهدات"),0,1)</f>
        <v/>
      </c>
      <c r="W405" s="24">
        <f>IF(AND($B405&lt;&gt;"",$I405="تم تحرير مخالفة"),1,0)</f>
        <v/>
      </c>
      <c r="X405" s="24">
        <f>IF($B405="","",IF($S405=WkStart,COUNTIF($S$5:$S405,WkStart),""))</f>
        <v/>
      </c>
    </row>
    <row r="406">
      <c r="A406" s="16">
        <f>IF($B406="","",ROW()-4)</f>
        <v/>
      </c>
      <c r="B406" s="17" t="n"/>
      <c r="C406" s="18" t="n"/>
      <c r="D406" s="18" t="n"/>
      <c r="E406" s="19" t="n"/>
      <c r="F406" s="19" t="n"/>
      <c r="G406" s="18" t="n"/>
      <c r="H406" s="18" t="n"/>
      <c r="I406" s="18" t="n"/>
      <c r="J406" s="20" t="n"/>
      <c r="K406" s="21" t="n"/>
      <c r="L406" s="21" t="n"/>
      <c r="M406" s="18" t="n"/>
      <c r="N406" s="22">
        <f>IF($B406="","",CHOOSE(WEEKDAY($B406),"الأحد","الاثنين","الثلاثاء","الأربعاء","الخميس","الجمعة","السبت"))</f>
        <v/>
      </c>
      <c r="O406" s="23">
        <f>IF(OR($K406="",$L406=""),"",HYPERLINK("https://maps.google.com/?q="&amp;$K406&amp;","&amp;$L406,"عرض الموقع"))</f>
        <v/>
      </c>
      <c r="P406" s="23">
        <f>IF(OR($B406="",N($J406)=0),"",HYPERLINK(PhotoDir&amp;"/"&amp;YEAR($B406)&amp;"-"&amp;TEXT(MONTH($B406),"00")&amp;"-"&amp;TEXT(DAY($B406),"00")&amp;"_"&amp;$D406,"فتح الصور ("&amp;$J406&amp;")"))</f>
        <v/>
      </c>
      <c r="Q406" s="24">
        <f>IF($B406="","",MONTH($B406))</f>
        <v/>
      </c>
      <c r="R406" s="24">
        <f>IF($B406="","",YEAR($B406))</f>
        <v/>
      </c>
      <c r="S406" s="25">
        <f>IF($B406="","",$B406-WEEKDAY($B406,3))</f>
        <v/>
      </c>
      <c r="T406" s="24">
        <f>IF($B406="",0,IF(COUNTIFS($B$5:$B406,$B406,$D$5:$D406,$D406)=1,1,0))</f>
        <v/>
      </c>
      <c r="U406" s="24">
        <f>IF($B406="",0,IF(COUNTIFS($B$5:$B406,$B406,$C$5:$C406,$C406)=1,1,0))</f>
        <v/>
      </c>
      <c r="V406" s="24">
        <f>IF(OR($B406="",$G406="",$G406="لا توجد مشاهدات"),0,1)</f>
        <v/>
      </c>
      <c r="W406" s="24">
        <f>IF(AND($B406&lt;&gt;"",$I406="تم تحرير مخالفة"),1,0)</f>
        <v/>
      </c>
      <c r="X406" s="24">
        <f>IF($B406="","",IF($S406=WkStart,COUNTIF($S$5:$S406,WkStart),""))</f>
        <v/>
      </c>
    </row>
    <row r="407">
      <c r="A407" s="16">
        <f>IF($B407="","",ROW()-4)</f>
        <v/>
      </c>
      <c r="B407" s="17" t="n"/>
      <c r="C407" s="18" t="n"/>
      <c r="D407" s="18" t="n"/>
      <c r="E407" s="19" t="n"/>
      <c r="F407" s="19" t="n"/>
      <c r="G407" s="18" t="n"/>
      <c r="H407" s="18" t="n"/>
      <c r="I407" s="18" t="n"/>
      <c r="J407" s="20" t="n"/>
      <c r="K407" s="21" t="n"/>
      <c r="L407" s="21" t="n"/>
      <c r="M407" s="18" t="n"/>
      <c r="N407" s="22">
        <f>IF($B407="","",CHOOSE(WEEKDAY($B407),"الأحد","الاثنين","الثلاثاء","الأربعاء","الخميس","الجمعة","السبت"))</f>
        <v/>
      </c>
      <c r="O407" s="23">
        <f>IF(OR($K407="",$L407=""),"",HYPERLINK("https://maps.google.com/?q="&amp;$K407&amp;","&amp;$L407,"عرض الموقع"))</f>
        <v/>
      </c>
      <c r="P407" s="23">
        <f>IF(OR($B407="",N($J407)=0),"",HYPERLINK(PhotoDir&amp;"/"&amp;YEAR($B407)&amp;"-"&amp;TEXT(MONTH($B407),"00")&amp;"-"&amp;TEXT(DAY($B407),"00")&amp;"_"&amp;$D407,"فتح الصور ("&amp;$J407&amp;")"))</f>
        <v/>
      </c>
      <c r="Q407" s="24">
        <f>IF($B407="","",MONTH($B407))</f>
        <v/>
      </c>
      <c r="R407" s="24">
        <f>IF($B407="","",YEAR($B407))</f>
        <v/>
      </c>
      <c r="S407" s="25">
        <f>IF($B407="","",$B407-WEEKDAY($B407,3))</f>
        <v/>
      </c>
      <c r="T407" s="24">
        <f>IF($B407="",0,IF(COUNTIFS($B$5:$B407,$B407,$D$5:$D407,$D407)=1,1,0))</f>
        <v/>
      </c>
      <c r="U407" s="24">
        <f>IF($B407="",0,IF(COUNTIFS($B$5:$B407,$B407,$C$5:$C407,$C407)=1,1,0))</f>
        <v/>
      </c>
      <c r="V407" s="24">
        <f>IF(OR($B407="",$G407="",$G407="لا توجد مشاهدات"),0,1)</f>
        <v/>
      </c>
      <c r="W407" s="24">
        <f>IF(AND($B407&lt;&gt;"",$I407="تم تحرير مخالفة"),1,0)</f>
        <v/>
      </c>
      <c r="X407" s="24">
        <f>IF($B407="","",IF($S407=WkStart,COUNTIF($S$5:$S407,WkStart),""))</f>
        <v/>
      </c>
    </row>
    <row r="408">
      <c r="A408" s="16">
        <f>IF($B408="","",ROW()-4)</f>
        <v/>
      </c>
      <c r="B408" s="17" t="n"/>
      <c r="C408" s="18" t="n"/>
      <c r="D408" s="18" t="n"/>
      <c r="E408" s="19" t="n"/>
      <c r="F408" s="19" t="n"/>
      <c r="G408" s="18" t="n"/>
      <c r="H408" s="18" t="n"/>
      <c r="I408" s="18" t="n"/>
      <c r="J408" s="20" t="n"/>
      <c r="K408" s="21" t="n"/>
      <c r="L408" s="21" t="n"/>
      <c r="M408" s="18" t="n"/>
      <c r="N408" s="22">
        <f>IF($B408="","",CHOOSE(WEEKDAY($B408),"الأحد","الاثنين","الثلاثاء","الأربعاء","الخميس","الجمعة","السبت"))</f>
        <v/>
      </c>
      <c r="O408" s="23">
        <f>IF(OR($K408="",$L408=""),"",HYPERLINK("https://maps.google.com/?q="&amp;$K408&amp;","&amp;$L408,"عرض الموقع"))</f>
        <v/>
      </c>
      <c r="P408" s="23">
        <f>IF(OR($B408="",N($J408)=0),"",HYPERLINK(PhotoDir&amp;"/"&amp;YEAR($B408)&amp;"-"&amp;TEXT(MONTH($B408),"00")&amp;"-"&amp;TEXT(DAY($B408),"00")&amp;"_"&amp;$D408,"فتح الصور ("&amp;$J408&amp;")"))</f>
        <v/>
      </c>
      <c r="Q408" s="24">
        <f>IF($B408="","",MONTH($B408))</f>
        <v/>
      </c>
      <c r="R408" s="24">
        <f>IF($B408="","",YEAR($B408))</f>
        <v/>
      </c>
      <c r="S408" s="25">
        <f>IF($B408="","",$B408-WEEKDAY($B408,3))</f>
        <v/>
      </c>
      <c r="T408" s="24">
        <f>IF($B408="",0,IF(COUNTIFS($B$5:$B408,$B408,$D$5:$D408,$D408)=1,1,0))</f>
        <v/>
      </c>
      <c r="U408" s="24">
        <f>IF($B408="",0,IF(COUNTIFS($B$5:$B408,$B408,$C$5:$C408,$C408)=1,1,0))</f>
        <v/>
      </c>
      <c r="V408" s="24">
        <f>IF(OR($B408="",$G408="",$G408="لا توجد مشاهدات"),0,1)</f>
        <v/>
      </c>
      <c r="W408" s="24">
        <f>IF(AND($B408&lt;&gt;"",$I408="تم تحرير مخالفة"),1,0)</f>
        <v/>
      </c>
      <c r="X408" s="24">
        <f>IF($B408="","",IF($S408=WkStart,COUNTIF($S$5:$S408,WkStart),""))</f>
        <v/>
      </c>
    </row>
    <row r="409">
      <c r="A409" s="16">
        <f>IF($B409="","",ROW()-4)</f>
        <v/>
      </c>
      <c r="B409" s="17" t="n"/>
      <c r="C409" s="18" t="n"/>
      <c r="D409" s="18" t="n"/>
      <c r="E409" s="19" t="n"/>
      <c r="F409" s="19" t="n"/>
      <c r="G409" s="18" t="n"/>
      <c r="H409" s="18" t="n"/>
      <c r="I409" s="18" t="n"/>
      <c r="J409" s="20" t="n"/>
      <c r="K409" s="21" t="n"/>
      <c r="L409" s="21" t="n"/>
      <c r="M409" s="18" t="n"/>
      <c r="N409" s="22">
        <f>IF($B409="","",CHOOSE(WEEKDAY($B409),"الأحد","الاثنين","الثلاثاء","الأربعاء","الخميس","الجمعة","السبت"))</f>
        <v/>
      </c>
      <c r="O409" s="23">
        <f>IF(OR($K409="",$L409=""),"",HYPERLINK("https://maps.google.com/?q="&amp;$K409&amp;","&amp;$L409,"عرض الموقع"))</f>
        <v/>
      </c>
      <c r="P409" s="23">
        <f>IF(OR($B409="",N($J409)=0),"",HYPERLINK(PhotoDir&amp;"/"&amp;YEAR($B409)&amp;"-"&amp;TEXT(MONTH($B409),"00")&amp;"-"&amp;TEXT(DAY($B409),"00")&amp;"_"&amp;$D409,"فتح الصور ("&amp;$J409&amp;")"))</f>
        <v/>
      </c>
      <c r="Q409" s="24">
        <f>IF($B409="","",MONTH($B409))</f>
        <v/>
      </c>
      <c r="R409" s="24">
        <f>IF($B409="","",YEAR($B409))</f>
        <v/>
      </c>
      <c r="S409" s="25">
        <f>IF($B409="","",$B409-WEEKDAY($B409,3))</f>
        <v/>
      </c>
      <c r="T409" s="24">
        <f>IF($B409="",0,IF(COUNTIFS($B$5:$B409,$B409,$D$5:$D409,$D409)=1,1,0))</f>
        <v/>
      </c>
      <c r="U409" s="24">
        <f>IF($B409="",0,IF(COUNTIFS($B$5:$B409,$B409,$C$5:$C409,$C409)=1,1,0))</f>
        <v/>
      </c>
      <c r="V409" s="24">
        <f>IF(OR($B409="",$G409="",$G409="لا توجد مشاهدات"),0,1)</f>
        <v/>
      </c>
      <c r="W409" s="24">
        <f>IF(AND($B409&lt;&gt;"",$I409="تم تحرير مخالفة"),1,0)</f>
        <v/>
      </c>
      <c r="X409" s="24">
        <f>IF($B409="","",IF($S409=WkStart,COUNTIF($S$5:$S409,WkStart),""))</f>
        <v/>
      </c>
    </row>
    <row r="410">
      <c r="A410" s="16">
        <f>IF($B410="","",ROW()-4)</f>
        <v/>
      </c>
      <c r="B410" s="17" t="n"/>
      <c r="C410" s="18" t="n"/>
      <c r="D410" s="18" t="n"/>
      <c r="E410" s="19" t="n"/>
      <c r="F410" s="19" t="n"/>
      <c r="G410" s="18" t="n"/>
      <c r="H410" s="18" t="n"/>
      <c r="I410" s="18" t="n"/>
      <c r="J410" s="20" t="n"/>
      <c r="K410" s="21" t="n"/>
      <c r="L410" s="21" t="n"/>
      <c r="M410" s="18" t="n"/>
      <c r="N410" s="22">
        <f>IF($B410="","",CHOOSE(WEEKDAY($B410),"الأحد","الاثنين","الثلاثاء","الأربعاء","الخميس","الجمعة","السبت"))</f>
        <v/>
      </c>
      <c r="O410" s="23">
        <f>IF(OR($K410="",$L410=""),"",HYPERLINK("https://maps.google.com/?q="&amp;$K410&amp;","&amp;$L410,"عرض الموقع"))</f>
        <v/>
      </c>
      <c r="P410" s="23">
        <f>IF(OR($B410="",N($J410)=0),"",HYPERLINK(PhotoDir&amp;"/"&amp;YEAR($B410)&amp;"-"&amp;TEXT(MONTH($B410),"00")&amp;"-"&amp;TEXT(DAY($B410),"00")&amp;"_"&amp;$D410,"فتح الصور ("&amp;$J410&amp;")"))</f>
        <v/>
      </c>
      <c r="Q410" s="24">
        <f>IF($B410="","",MONTH($B410))</f>
        <v/>
      </c>
      <c r="R410" s="24">
        <f>IF($B410="","",YEAR($B410))</f>
        <v/>
      </c>
      <c r="S410" s="25">
        <f>IF($B410="","",$B410-WEEKDAY($B410,3))</f>
        <v/>
      </c>
      <c r="T410" s="24">
        <f>IF($B410="",0,IF(COUNTIFS($B$5:$B410,$B410,$D$5:$D410,$D410)=1,1,0))</f>
        <v/>
      </c>
      <c r="U410" s="24">
        <f>IF($B410="",0,IF(COUNTIFS($B$5:$B410,$B410,$C$5:$C410,$C410)=1,1,0))</f>
        <v/>
      </c>
      <c r="V410" s="24">
        <f>IF(OR($B410="",$G410="",$G410="لا توجد مشاهدات"),0,1)</f>
        <v/>
      </c>
      <c r="W410" s="24">
        <f>IF(AND($B410&lt;&gt;"",$I410="تم تحرير مخالفة"),1,0)</f>
        <v/>
      </c>
      <c r="X410" s="24">
        <f>IF($B410="","",IF($S410=WkStart,COUNTIF($S$5:$S410,WkStart),""))</f>
        <v/>
      </c>
    </row>
    <row r="411">
      <c r="A411" s="16">
        <f>IF($B411="","",ROW()-4)</f>
        <v/>
      </c>
      <c r="B411" s="17" t="n"/>
      <c r="C411" s="18" t="n"/>
      <c r="D411" s="18" t="n"/>
      <c r="E411" s="19" t="n"/>
      <c r="F411" s="19" t="n"/>
      <c r="G411" s="18" t="n"/>
      <c r="H411" s="18" t="n"/>
      <c r="I411" s="18" t="n"/>
      <c r="J411" s="20" t="n"/>
      <c r="K411" s="21" t="n"/>
      <c r="L411" s="21" t="n"/>
      <c r="M411" s="18" t="n"/>
      <c r="N411" s="22">
        <f>IF($B411="","",CHOOSE(WEEKDAY($B411),"الأحد","الاثنين","الثلاثاء","الأربعاء","الخميس","الجمعة","السبت"))</f>
        <v/>
      </c>
      <c r="O411" s="23">
        <f>IF(OR($K411="",$L411=""),"",HYPERLINK("https://maps.google.com/?q="&amp;$K411&amp;","&amp;$L411,"عرض الموقع"))</f>
        <v/>
      </c>
      <c r="P411" s="23">
        <f>IF(OR($B411="",N($J411)=0),"",HYPERLINK(PhotoDir&amp;"/"&amp;YEAR($B411)&amp;"-"&amp;TEXT(MONTH($B411),"00")&amp;"-"&amp;TEXT(DAY($B411),"00")&amp;"_"&amp;$D411,"فتح الصور ("&amp;$J411&amp;")"))</f>
        <v/>
      </c>
      <c r="Q411" s="24">
        <f>IF($B411="","",MONTH($B411))</f>
        <v/>
      </c>
      <c r="R411" s="24">
        <f>IF($B411="","",YEAR($B411))</f>
        <v/>
      </c>
      <c r="S411" s="25">
        <f>IF($B411="","",$B411-WEEKDAY($B411,3))</f>
        <v/>
      </c>
      <c r="T411" s="24">
        <f>IF($B411="",0,IF(COUNTIFS($B$5:$B411,$B411,$D$5:$D411,$D411)=1,1,0))</f>
        <v/>
      </c>
      <c r="U411" s="24">
        <f>IF($B411="",0,IF(COUNTIFS($B$5:$B411,$B411,$C$5:$C411,$C411)=1,1,0))</f>
        <v/>
      </c>
      <c r="V411" s="24">
        <f>IF(OR($B411="",$G411="",$G411="لا توجد مشاهدات"),0,1)</f>
        <v/>
      </c>
      <c r="W411" s="24">
        <f>IF(AND($B411&lt;&gt;"",$I411="تم تحرير مخالفة"),1,0)</f>
        <v/>
      </c>
      <c r="X411" s="24">
        <f>IF($B411="","",IF($S411=WkStart,COUNTIF($S$5:$S411,WkStart),""))</f>
        <v/>
      </c>
    </row>
    <row r="412">
      <c r="A412" s="16">
        <f>IF($B412="","",ROW()-4)</f>
        <v/>
      </c>
      <c r="B412" s="17" t="n"/>
      <c r="C412" s="18" t="n"/>
      <c r="D412" s="18" t="n"/>
      <c r="E412" s="19" t="n"/>
      <c r="F412" s="19" t="n"/>
      <c r="G412" s="18" t="n"/>
      <c r="H412" s="18" t="n"/>
      <c r="I412" s="18" t="n"/>
      <c r="J412" s="20" t="n"/>
      <c r="K412" s="21" t="n"/>
      <c r="L412" s="21" t="n"/>
      <c r="M412" s="18" t="n"/>
      <c r="N412" s="22">
        <f>IF($B412="","",CHOOSE(WEEKDAY($B412),"الأحد","الاثنين","الثلاثاء","الأربعاء","الخميس","الجمعة","السبت"))</f>
        <v/>
      </c>
      <c r="O412" s="23">
        <f>IF(OR($K412="",$L412=""),"",HYPERLINK("https://maps.google.com/?q="&amp;$K412&amp;","&amp;$L412,"عرض الموقع"))</f>
        <v/>
      </c>
      <c r="P412" s="23">
        <f>IF(OR($B412="",N($J412)=0),"",HYPERLINK(PhotoDir&amp;"/"&amp;YEAR($B412)&amp;"-"&amp;TEXT(MONTH($B412),"00")&amp;"-"&amp;TEXT(DAY($B412),"00")&amp;"_"&amp;$D412,"فتح الصور ("&amp;$J412&amp;")"))</f>
        <v/>
      </c>
      <c r="Q412" s="24">
        <f>IF($B412="","",MONTH($B412))</f>
        <v/>
      </c>
      <c r="R412" s="24">
        <f>IF($B412="","",YEAR($B412))</f>
        <v/>
      </c>
      <c r="S412" s="25">
        <f>IF($B412="","",$B412-WEEKDAY($B412,3))</f>
        <v/>
      </c>
      <c r="T412" s="24">
        <f>IF($B412="",0,IF(COUNTIFS($B$5:$B412,$B412,$D$5:$D412,$D412)=1,1,0))</f>
        <v/>
      </c>
      <c r="U412" s="24">
        <f>IF($B412="",0,IF(COUNTIFS($B$5:$B412,$B412,$C$5:$C412,$C412)=1,1,0))</f>
        <v/>
      </c>
      <c r="V412" s="24">
        <f>IF(OR($B412="",$G412="",$G412="لا توجد مشاهدات"),0,1)</f>
        <v/>
      </c>
      <c r="W412" s="24">
        <f>IF(AND($B412&lt;&gt;"",$I412="تم تحرير مخالفة"),1,0)</f>
        <v/>
      </c>
      <c r="X412" s="24">
        <f>IF($B412="","",IF($S412=WkStart,COUNTIF($S$5:$S412,WkStart),""))</f>
        <v/>
      </c>
    </row>
    <row r="413">
      <c r="A413" s="16">
        <f>IF($B413="","",ROW()-4)</f>
        <v/>
      </c>
      <c r="B413" s="17" t="n"/>
      <c r="C413" s="18" t="n"/>
      <c r="D413" s="18" t="n"/>
      <c r="E413" s="19" t="n"/>
      <c r="F413" s="19" t="n"/>
      <c r="G413" s="18" t="n"/>
      <c r="H413" s="18" t="n"/>
      <c r="I413" s="18" t="n"/>
      <c r="J413" s="20" t="n"/>
      <c r="K413" s="21" t="n"/>
      <c r="L413" s="21" t="n"/>
      <c r="M413" s="18" t="n"/>
      <c r="N413" s="22">
        <f>IF($B413="","",CHOOSE(WEEKDAY($B413),"الأحد","الاثنين","الثلاثاء","الأربعاء","الخميس","الجمعة","السبت"))</f>
        <v/>
      </c>
      <c r="O413" s="23">
        <f>IF(OR($K413="",$L413=""),"",HYPERLINK("https://maps.google.com/?q="&amp;$K413&amp;","&amp;$L413,"عرض الموقع"))</f>
        <v/>
      </c>
      <c r="P413" s="23">
        <f>IF(OR($B413="",N($J413)=0),"",HYPERLINK(PhotoDir&amp;"/"&amp;YEAR($B413)&amp;"-"&amp;TEXT(MONTH($B413),"00")&amp;"-"&amp;TEXT(DAY($B413),"00")&amp;"_"&amp;$D413,"فتح الصور ("&amp;$J413&amp;")"))</f>
        <v/>
      </c>
      <c r="Q413" s="24">
        <f>IF($B413="","",MONTH($B413))</f>
        <v/>
      </c>
      <c r="R413" s="24">
        <f>IF($B413="","",YEAR($B413))</f>
        <v/>
      </c>
      <c r="S413" s="25">
        <f>IF($B413="","",$B413-WEEKDAY($B413,3))</f>
        <v/>
      </c>
      <c r="T413" s="24">
        <f>IF($B413="",0,IF(COUNTIFS($B$5:$B413,$B413,$D$5:$D413,$D413)=1,1,0))</f>
        <v/>
      </c>
      <c r="U413" s="24">
        <f>IF($B413="",0,IF(COUNTIFS($B$5:$B413,$B413,$C$5:$C413,$C413)=1,1,0))</f>
        <v/>
      </c>
      <c r="V413" s="24">
        <f>IF(OR($B413="",$G413="",$G413="لا توجد مشاهدات"),0,1)</f>
        <v/>
      </c>
      <c r="W413" s="24">
        <f>IF(AND($B413&lt;&gt;"",$I413="تم تحرير مخالفة"),1,0)</f>
        <v/>
      </c>
      <c r="X413" s="24">
        <f>IF($B413="","",IF($S413=WkStart,COUNTIF($S$5:$S413,WkStart),""))</f>
        <v/>
      </c>
    </row>
    <row r="414">
      <c r="A414" s="16">
        <f>IF($B414="","",ROW()-4)</f>
        <v/>
      </c>
      <c r="B414" s="17" t="n"/>
      <c r="C414" s="18" t="n"/>
      <c r="D414" s="18" t="n"/>
      <c r="E414" s="19" t="n"/>
      <c r="F414" s="19" t="n"/>
      <c r="G414" s="18" t="n"/>
      <c r="H414" s="18" t="n"/>
      <c r="I414" s="18" t="n"/>
      <c r="J414" s="20" t="n"/>
      <c r="K414" s="21" t="n"/>
      <c r="L414" s="21" t="n"/>
      <c r="M414" s="18" t="n"/>
      <c r="N414" s="22">
        <f>IF($B414="","",CHOOSE(WEEKDAY($B414),"الأحد","الاثنين","الثلاثاء","الأربعاء","الخميس","الجمعة","السبت"))</f>
        <v/>
      </c>
      <c r="O414" s="23">
        <f>IF(OR($K414="",$L414=""),"",HYPERLINK("https://maps.google.com/?q="&amp;$K414&amp;","&amp;$L414,"عرض الموقع"))</f>
        <v/>
      </c>
      <c r="P414" s="23">
        <f>IF(OR($B414="",N($J414)=0),"",HYPERLINK(PhotoDir&amp;"/"&amp;YEAR($B414)&amp;"-"&amp;TEXT(MONTH($B414),"00")&amp;"-"&amp;TEXT(DAY($B414),"00")&amp;"_"&amp;$D414,"فتح الصور ("&amp;$J414&amp;")"))</f>
        <v/>
      </c>
      <c r="Q414" s="24">
        <f>IF($B414="","",MONTH($B414))</f>
        <v/>
      </c>
      <c r="R414" s="24">
        <f>IF($B414="","",YEAR($B414))</f>
        <v/>
      </c>
      <c r="S414" s="25">
        <f>IF($B414="","",$B414-WEEKDAY($B414,3))</f>
        <v/>
      </c>
      <c r="T414" s="24">
        <f>IF($B414="",0,IF(COUNTIFS($B$5:$B414,$B414,$D$5:$D414,$D414)=1,1,0))</f>
        <v/>
      </c>
      <c r="U414" s="24">
        <f>IF($B414="",0,IF(COUNTIFS($B$5:$B414,$B414,$C$5:$C414,$C414)=1,1,0))</f>
        <v/>
      </c>
      <c r="V414" s="24">
        <f>IF(OR($B414="",$G414="",$G414="لا توجد مشاهدات"),0,1)</f>
        <v/>
      </c>
      <c r="W414" s="24">
        <f>IF(AND($B414&lt;&gt;"",$I414="تم تحرير مخالفة"),1,0)</f>
        <v/>
      </c>
      <c r="X414" s="24">
        <f>IF($B414="","",IF($S414=WkStart,COUNTIF($S$5:$S414,WkStart),""))</f>
        <v/>
      </c>
    </row>
    <row r="415">
      <c r="A415" s="16">
        <f>IF($B415="","",ROW()-4)</f>
        <v/>
      </c>
      <c r="B415" s="17" t="n"/>
      <c r="C415" s="18" t="n"/>
      <c r="D415" s="18" t="n"/>
      <c r="E415" s="19" t="n"/>
      <c r="F415" s="19" t="n"/>
      <c r="G415" s="18" t="n"/>
      <c r="H415" s="18" t="n"/>
      <c r="I415" s="18" t="n"/>
      <c r="J415" s="20" t="n"/>
      <c r="K415" s="21" t="n"/>
      <c r="L415" s="21" t="n"/>
      <c r="M415" s="18" t="n"/>
      <c r="N415" s="22">
        <f>IF($B415="","",CHOOSE(WEEKDAY($B415),"الأحد","الاثنين","الثلاثاء","الأربعاء","الخميس","الجمعة","السبت"))</f>
        <v/>
      </c>
      <c r="O415" s="23">
        <f>IF(OR($K415="",$L415=""),"",HYPERLINK("https://maps.google.com/?q="&amp;$K415&amp;","&amp;$L415,"عرض الموقع"))</f>
        <v/>
      </c>
      <c r="P415" s="23">
        <f>IF(OR($B415="",N($J415)=0),"",HYPERLINK(PhotoDir&amp;"/"&amp;YEAR($B415)&amp;"-"&amp;TEXT(MONTH($B415),"00")&amp;"-"&amp;TEXT(DAY($B415),"00")&amp;"_"&amp;$D415,"فتح الصور ("&amp;$J415&amp;")"))</f>
        <v/>
      </c>
      <c r="Q415" s="24">
        <f>IF($B415="","",MONTH($B415))</f>
        <v/>
      </c>
      <c r="R415" s="24">
        <f>IF($B415="","",YEAR($B415))</f>
        <v/>
      </c>
      <c r="S415" s="25">
        <f>IF($B415="","",$B415-WEEKDAY($B415,3))</f>
        <v/>
      </c>
      <c r="T415" s="24">
        <f>IF($B415="",0,IF(COUNTIFS($B$5:$B415,$B415,$D$5:$D415,$D415)=1,1,0))</f>
        <v/>
      </c>
      <c r="U415" s="24">
        <f>IF($B415="",0,IF(COUNTIFS($B$5:$B415,$B415,$C$5:$C415,$C415)=1,1,0))</f>
        <v/>
      </c>
      <c r="V415" s="24">
        <f>IF(OR($B415="",$G415="",$G415="لا توجد مشاهدات"),0,1)</f>
        <v/>
      </c>
      <c r="W415" s="24">
        <f>IF(AND($B415&lt;&gt;"",$I415="تم تحرير مخالفة"),1,0)</f>
        <v/>
      </c>
      <c r="X415" s="24">
        <f>IF($B415="","",IF($S415=WkStart,COUNTIF($S$5:$S415,WkStart),""))</f>
        <v/>
      </c>
    </row>
    <row r="416">
      <c r="A416" s="16">
        <f>IF($B416="","",ROW()-4)</f>
        <v/>
      </c>
      <c r="B416" s="17" t="n"/>
      <c r="C416" s="18" t="n"/>
      <c r="D416" s="18" t="n"/>
      <c r="E416" s="19" t="n"/>
      <c r="F416" s="19" t="n"/>
      <c r="G416" s="18" t="n"/>
      <c r="H416" s="18" t="n"/>
      <c r="I416" s="18" t="n"/>
      <c r="J416" s="20" t="n"/>
      <c r="K416" s="21" t="n"/>
      <c r="L416" s="21" t="n"/>
      <c r="M416" s="18" t="n"/>
      <c r="N416" s="22">
        <f>IF($B416="","",CHOOSE(WEEKDAY($B416),"الأحد","الاثنين","الثلاثاء","الأربعاء","الخميس","الجمعة","السبت"))</f>
        <v/>
      </c>
      <c r="O416" s="23">
        <f>IF(OR($K416="",$L416=""),"",HYPERLINK("https://maps.google.com/?q="&amp;$K416&amp;","&amp;$L416,"عرض الموقع"))</f>
        <v/>
      </c>
      <c r="P416" s="23">
        <f>IF(OR($B416="",N($J416)=0),"",HYPERLINK(PhotoDir&amp;"/"&amp;YEAR($B416)&amp;"-"&amp;TEXT(MONTH($B416),"00")&amp;"-"&amp;TEXT(DAY($B416),"00")&amp;"_"&amp;$D416,"فتح الصور ("&amp;$J416&amp;")"))</f>
        <v/>
      </c>
      <c r="Q416" s="24">
        <f>IF($B416="","",MONTH($B416))</f>
        <v/>
      </c>
      <c r="R416" s="24">
        <f>IF($B416="","",YEAR($B416))</f>
        <v/>
      </c>
      <c r="S416" s="25">
        <f>IF($B416="","",$B416-WEEKDAY($B416,3))</f>
        <v/>
      </c>
      <c r="T416" s="24">
        <f>IF($B416="",0,IF(COUNTIFS($B$5:$B416,$B416,$D$5:$D416,$D416)=1,1,0))</f>
        <v/>
      </c>
      <c r="U416" s="24">
        <f>IF($B416="",0,IF(COUNTIFS($B$5:$B416,$B416,$C$5:$C416,$C416)=1,1,0))</f>
        <v/>
      </c>
      <c r="V416" s="24">
        <f>IF(OR($B416="",$G416="",$G416="لا توجد مشاهدات"),0,1)</f>
        <v/>
      </c>
      <c r="W416" s="24">
        <f>IF(AND($B416&lt;&gt;"",$I416="تم تحرير مخالفة"),1,0)</f>
        <v/>
      </c>
      <c r="X416" s="24">
        <f>IF($B416="","",IF($S416=WkStart,COUNTIF($S$5:$S416,WkStart),""))</f>
        <v/>
      </c>
    </row>
    <row r="417">
      <c r="A417" s="16">
        <f>IF($B417="","",ROW()-4)</f>
        <v/>
      </c>
      <c r="B417" s="17" t="n"/>
      <c r="C417" s="18" t="n"/>
      <c r="D417" s="18" t="n"/>
      <c r="E417" s="19" t="n"/>
      <c r="F417" s="19" t="n"/>
      <c r="G417" s="18" t="n"/>
      <c r="H417" s="18" t="n"/>
      <c r="I417" s="18" t="n"/>
      <c r="J417" s="20" t="n"/>
      <c r="K417" s="21" t="n"/>
      <c r="L417" s="21" t="n"/>
      <c r="M417" s="18" t="n"/>
      <c r="N417" s="22">
        <f>IF($B417="","",CHOOSE(WEEKDAY($B417),"الأحد","الاثنين","الثلاثاء","الأربعاء","الخميس","الجمعة","السبت"))</f>
        <v/>
      </c>
      <c r="O417" s="23">
        <f>IF(OR($K417="",$L417=""),"",HYPERLINK("https://maps.google.com/?q="&amp;$K417&amp;","&amp;$L417,"عرض الموقع"))</f>
        <v/>
      </c>
      <c r="P417" s="23">
        <f>IF(OR($B417="",N($J417)=0),"",HYPERLINK(PhotoDir&amp;"/"&amp;YEAR($B417)&amp;"-"&amp;TEXT(MONTH($B417),"00")&amp;"-"&amp;TEXT(DAY($B417),"00")&amp;"_"&amp;$D417,"فتح الصور ("&amp;$J417&amp;")"))</f>
        <v/>
      </c>
      <c r="Q417" s="24">
        <f>IF($B417="","",MONTH($B417))</f>
        <v/>
      </c>
      <c r="R417" s="24">
        <f>IF($B417="","",YEAR($B417))</f>
        <v/>
      </c>
      <c r="S417" s="25">
        <f>IF($B417="","",$B417-WEEKDAY($B417,3))</f>
        <v/>
      </c>
      <c r="T417" s="24">
        <f>IF($B417="",0,IF(COUNTIFS($B$5:$B417,$B417,$D$5:$D417,$D417)=1,1,0))</f>
        <v/>
      </c>
      <c r="U417" s="24">
        <f>IF($B417="",0,IF(COUNTIFS($B$5:$B417,$B417,$C$5:$C417,$C417)=1,1,0))</f>
        <v/>
      </c>
      <c r="V417" s="24">
        <f>IF(OR($B417="",$G417="",$G417="لا توجد مشاهدات"),0,1)</f>
        <v/>
      </c>
      <c r="W417" s="24">
        <f>IF(AND($B417&lt;&gt;"",$I417="تم تحرير مخالفة"),1,0)</f>
        <v/>
      </c>
      <c r="X417" s="24">
        <f>IF($B417="","",IF($S417=WkStart,COUNTIF($S$5:$S417,WkStart),""))</f>
        <v/>
      </c>
    </row>
    <row r="418">
      <c r="A418" s="16">
        <f>IF($B418="","",ROW()-4)</f>
        <v/>
      </c>
      <c r="B418" s="17" t="n"/>
      <c r="C418" s="18" t="n"/>
      <c r="D418" s="18" t="n"/>
      <c r="E418" s="19" t="n"/>
      <c r="F418" s="19" t="n"/>
      <c r="G418" s="18" t="n"/>
      <c r="H418" s="18" t="n"/>
      <c r="I418" s="18" t="n"/>
      <c r="J418" s="20" t="n"/>
      <c r="K418" s="21" t="n"/>
      <c r="L418" s="21" t="n"/>
      <c r="M418" s="18" t="n"/>
      <c r="N418" s="22">
        <f>IF($B418="","",CHOOSE(WEEKDAY($B418),"الأحد","الاثنين","الثلاثاء","الأربعاء","الخميس","الجمعة","السبت"))</f>
        <v/>
      </c>
      <c r="O418" s="23">
        <f>IF(OR($K418="",$L418=""),"",HYPERLINK("https://maps.google.com/?q="&amp;$K418&amp;","&amp;$L418,"عرض الموقع"))</f>
        <v/>
      </c>
      <c r="P418" s="23">
        <f>IF(OR($B418="",N($J418)=0),"",HYPERLINK(PhotoDir&amp;"/"&amp;YEAR($B418)&amp;"-"&amp;TEXT(MONTH($B418),"00")&amp;"-"&amp;TEXT(DAY($B418),"00")&amp;"_"&amp;$D418,"فتح الصور ("&amp;$J418&amp;")"))</f>
        <v/>
      </c>
      <c r="Q418" s="24">
        <f>IF($B418="","",MONTH($B418))</f>
        <v/>
      </c>
      <c r="R418" s="24">
        <f>IF($B418="","",YEAR($B418))</f>
        <v/>
      </c>
      <c r="S418" s="25">
        <f>IF($B418="","",$B418-WEEKDAY($B418,3))</f>
        <v/>
      </c>
      <c r="T418" s="24">
        <f>IF($B418="",0,IF(COUNTIFS($B$5:$B418,$B418,$D$5:$D418,$D418)=1,1,0))</f>
        <v/>
      </c>
      <c r="U418" s="24">
        <f>IF($B418="",0,IF(COUNTIFS($B$5:$B418,$B418,$C$5:$C418,$C418)=1,1,0))</f>
        <v/>
      </c>
      <c r="V418" s="24">
        <f>IF(OR($B418="",$G418="",$G418="لا توجد مشاهدات"),0,1)</f>
        <v/>
      </c>
      <c r="W418" s="24">
        <f>IF(AND($B418&lt;&gt;"",$I418="تم تحرير مخالفة"),1,0)</f>
        <v/>
      </c>
      <c r="X418" s="24">
        <f>IF($B418="","",IF($S418=WkStart,COUNTIF($S$5:$S418,WkStart),""))</f>
        <v/>
      </c>
    </row>
    <row r="419">
      <c r="A419" s="16">
        <f>IF($B419="","",ROW()-4)</f>
        <v/>
      </c>
      <c r="B419" s="17" t="n"/>
      <c r="C419" s="18" t="n"/>
      <c r="D419" s="18" t="n"/>
      <c r="E419" s="19" t="n"/>
      <c r="F419" s="19" t="n"/>
      <c r="G419" s="18" t="n"/>
      <c r="H419" s="18" t="n"/>
      <c r="I419" s="18" t="n"/>
      <c r="J419" s="20" t="n"/>
      <c r="K419" s="21" t="n"/>
      <c r="L419" s="21" t="n"/>
      <c r="M419" s="18" t="n"/>
      <c r="N419" s="22">
        <f>IF($B419="","",CHOOSE(WEEKDAY($B419),"الأحد","الاثنين","الثلاثاء","الأربعاء","الخميس","الجمعة","السبت"))</f>
        <v/>
      </c>
      <c r="O419" s="23">
        <f>IF(OR($K419="",$L419=""),"",HYPERLINK("https://maps.google.com/?q="&amp;$K419&amp;","&amp;$L419,"عرض الموقع"))</f>
        <v/>
      </c>
      <c r="P419" s="23">
        <f>IF(OR($B419="",N($J419)=0),"",HYPERLINK(PhotoDir&amp;"/"&amp;YEAR($B419)&amp;"-"&amp;TEXT(MONTH($B419),"00")&amp;"-"&amp;TEXT(DAY($B419),"00")&amp;"_"&amp;$D419,"فتح الصور ("&amp;$J419&amp;")"))</f>
        <v/>
      </c>
      <c r="Q419" s="24">
        <f>IF($B419="","",MONTH($B419))</f>
        <v/>
      </c>
      <c r="R419" s="24">
        <f>IF($B419="","",YEAR($B419))</f>
        <v/>
      </c>
      <c r="S419" s="25">
        <f>IF($B419="","",$B419-WEEKDAY($B419,3))</f>
        <v/>
      </c>
      <c r="T419" s="24">
        <f>IF($B419="",0,IF(COUNTIFS($B$5:$B419,$B419,$D$5:$D419,$D419)=1,1,0))</f>
        <v/>
      </c>
      <c r="U419" s="24">
        <f>IF($B419="",0,IF(COUNTIFS($B$5:$B419,$B419,$C$5:$C419,$C419)=1,1,0))</f>
        <v/>
      </c>
      <c r="V419" s="24">
        <f>IF(OR($B419="",$G419="",$G419="لا توجد مشاهدات"),0,1)</f>
        <v/>
      </c>
      <c r="W419" s="24">
        <f>IF(AND($B419&lt;&gt;"",$I419="تم تحرير مخالفة"),1,0)</f>
        <v/>
      </c>
      <c r="X419" s="24">
        <f>IF($B419="","",IF($S419=WkStart,COUNTIF($S$5:$S419,WkStart),""))</f>
        <v/>
      </c>
    </row>
    <row r="420">
      <c r="A420" s="16">
        <f>IF($B420="","",ROW()-4)</f>
        <v/>
      </c>
      <c r="B420" s="17" t="n"/>
      <c r="C420" s="18" t="n"/>
      <c r="D420" s="18" t="n"/>
      <c r="E420" s="19" t="n"/>
      <c r="F420" s="19" t="n"/>
      <c r="G420" s="18" t="n"/>
      <c r="H420" s="18" t="n"/>
      <c r="I420" s="18" t="n"/>
      <c r="J420" s="20" t="n"/>
      <c r="K420" s="21" t="n"/>
      <c r="L420" s="21" t="n"/>
      <c r="M420" s="18" t="n"/>
      <c r="N420" s="22">
        <f>IF($B420="","",CHOOSE(WEEKDAY($B420),"الأحد","الاثنين","الثلاثاء","الأربعاء","الخميس","الجمعة","السبت"))</f>
        <v/>
      </c>
      <c r="O420" s="23">
        <f>IF(OR($K420="",$L420=""),"",HYPERLINK("https://maps.google.com/?q="&amp;$K420&amp;","&amp;$L420,"عرض الموقع"))</f>
        <v/>
      </c>
      <c r="P420" s="23">
        <f>IF(OR($B420="",N($J420)=0),"",HYPERLINK(PhotoDir&amp;"/"&amp;YEAR($B420)&amp;"-"&amp;TEXT(MONTH($B420),"00")&amp;"-"&amp;TEXT(DAY($B420),"00")&amp;"_"&amp;$D420,"فتح الصور ("&amp;$J420&amp;")"))</f>
        <v/>
      </c>
      <c r="Q420" s="24">
        <f>IF($B420="","",MONTH($B420))</f>
        <v/>
      </c>
      <c r="R420" s="24">
        <f>IF($B420="","",YEAR($B420))</f>
        <v/>
      </c>
      <c r="S420" s="25">
        <f>IF($B420="","",$B420-WEEKDAY($B420,3))</f>
        <v/>
      </c>
      <c r="T420" s="24">
        <f>IF($B420="",0,IF(COUNTIFS($B$5:$B420,$B420,$D$5:$D420,$D420)=1,1,0))</f>
        <v/>
      </c>
      <c r="U420" s="24">
        <f>IF($B420="",0,IF(COUNTIFS($B$5:$B420,$B420,$C$5:$C420,$C420)=1,1,0))</f>
        <v/>
      </c>
      <c r="V420" s="24">
        <f>IF(OR($B420="",$G420="",$G420="لا توجد مشاهدات"),0,1)</f>
        <v/>
      </c>
      <c r="W420" s="24">
        <f>IF(AND($B420&lt;&gt;"",$I420="تم تحرير مخالفة"),1,0)</f>
        <v/>
      </c>
      <c r="X420" s="24">
        <f>IF($B420="","",IF($S420=WkStart,COUNTIF($S$5:$S420,WkStart),""))</f>
        <v/>
      </c>
    </row>
    <row r="421">
      <c r="A421" s="16">
        <f>IF($B421="","",ROW()-4)</f>
        <v/>
      </c>
      <c r="B421" s="17" t="n"/>
      <c r="C421" s="18" t="n"/>
      <c r="D421" s="18" t="n"/>
      <c r="E421" s="19" t="n"/>
      <c r="F421" s="19" t="n"/>
      <c r="G421" s="18" t="n"/>
      <c r="H421" s="18" t="n"/>
      <c r="I421" s="18" t="n"/>
      <c r="J421" s="20" t="n"/>
      <c r="K421" s="21" t="n"/>
      <c r="L421" s="21" t="n"/>
      <c r="M421" s="18" t="n"/>
      <c r="N421" s="22">
        <f>IF($B421="","",CHOOSE(WEEKDAY($B421),"الأحد","الاثنين","الثلاثاء","الأربعاء","الخميس","الجمعة","السبت"))</f>
        <v/>
      </c>
      <c r="O421" s="23">
        <f>IF(OR($K421="",$L421=""),"",HYPERLINK("https://maps.google.com/?q="&amp;$K421&amp;","&amp;$L421,"عرض الموقع"))</f>
        <v/>
      </c>
      <c r="P421" s="23">
        <f>IF(OR($B421="",N($J421)=0),"",HYPERLINK(PhotoDir&amp;"/"&amp;YEAR($B421)&amp;"-"&amp;TEXT(MONTH($B421),"00")&amp;"-"&amp;TEXT(DAY($B421),"00")&amp;"_"&amp;$D421,"فتح الصور ("&amp;$J421&amp;")"))</f>
        <v/>
      </c>
      <c r="Q421" s="24">
        <f>IF($B421="","",MONTH($B421))</f>
        <v/>
      </c>
      <c r="R421" s="24">
        <f>IF($B421="","",YEAR($B421))</f>
        <v/>
      </c>
      <c r="S421" s="25">
        <f>IF($B421="","",$B421-WEEKDAY($B421,3))</f>
        <v/>
      </c>
      <c r="T421" s="24">
        <f>IF($B421="",0,IF(COUNTIFS($B$5:$B421,$B421,$D$5:$D421,$D421)=1,1,0))</f>
        <v/>
      </c>
      <c r="U421" s="24">
        <f>IF($B421="",0,IF(COUNTIFS($B$5:$B421,$B421,$C$5:$C421,$C421)=1,1,0))</f>
        <v/>
      </c>
      <c r="V421" s="24">
        <f>IF(OR($B421="",$G421="",$G421="لا توجد مشاهدات"),0,1)</f>
        <v/>
      </c>
      <c r="W421" s="24">
        <f>IF(AND($B421&lt;&gt;"",$I421="تم تحرير مخالفة"),1,0)</f>
        <v/>
      </c>
      <c r="X421" s="24">
        <f>IF($B421="","",IF($S421=WkStart,COUNTIF($S$5:$S421,WkStart),""))</f>
        <v/>
      </c>
    </row>
    <row r="422">
      <c r="A422" s="16">
        <f>IF($B422="","",ROW()-4)</f>
        <v/>
      </c>
      <c r="B422" s="17" t="n"/>
      <c r="C422" s="18" t="n"/>
      <c r="D422" s="18" t="n"/>
      <c r="E422" s="19" t="n"/>
      <c r="F422" s="19" t="n"/>
      <c r="G422" s="18" t="n"/>
      <c r="H422" s="18" t="n"/>
      <c r="I422" s="18" t="n"/>
      <c r="J422" s="20" t="n"/>
      <c r="K422" s="21" t="n"/>
      <c r="L422" s="21" t="n"/>
      <c r="M422" s="18" t="n"/>
      <c r="N422" s="22">
        <f>IF($B422="","",CHOOSE(WEEKDAY($B422),"الأحد","الاثنين","الثلاثاء","الأربعاء","الخميس","الجمعة","السبت"))</f>
        <v/>
      </c>
      <c r="O422" s="23">
        <f>IF(OR($K422="",$L422=""),"",HYPERLINK("https://maps.google.com/?q="&amp;$K422&amp;","&amp;$L422,"عرض الموقع"))</f>
        <v/>
      </c>
      <c r="P422" s="23">
        <f>IF(OR($B422="",N($J422)=0),"",HYPERLINK(PhotoDir&amp;"/"&amp;YEAR($B422)&amp;"-"&amp;TEXT(MONTH($B422),"00")&amp;"-"&amp;TEXT(DAY($B422),"00")&amp;"_"&amp;$D422,"فتح الصور ("&amp;$J422&amp;")"))</f>
        <v/>
      </c>
      <c r="Q422" s="24">
        <f>IF($B422="","",MONTH($B422))</f>
        <v/>
      </c>
      <c r="R422" s="24">
        <f>IF($B422="","",YEAR($B422))</f>
        <v/>
      </c>
      <c r="S422" s="25">
        <f>IF($B422="","",$B422-WEEKDAY($B422,3))</f>
        <v/>
      </c>
      <c r="T422" s="24">
        <f>IF($B422="",0,IF(COUNTIFS($B$5:$B422,$B422,$D$5:$D422,$D422)=1,1,0))</f>
        <v/>
      </c>
      <c r="U422" s="24">
        <f>IF($B422="",0,IF(COUNTIFS($B$5:$B422,$B422,$C$5:$C422,$C422)=1,1,0))</f>
        <v/>
      </c>
      <c r="V422" s="24">
        <f>IF(OR($B422="",$G422="",$G422="لا توجد مشاهدات"),0,1)</f>
        <v/>
      </c>
      <c r="W422" s="24">
        <f>IF(AND($B422&lt;&gt;"",$I422="تم تحرير مخالفة"),1,0)</f>
        <v/>
      </c>
      <c r="X422" s="24">
        <f>IF($B422="","",IF($S422=WkStart,COUNTIF($S$5:$S422,WkStart),""))</f>
        <v/>
      </c>
    </row>
    <row r="423">
      <c r="A423" s="16">
        <f>IF($B423="","",ROW()-4)</f>
        <v/>
      </c>
      <c r="B423" s="17" t="n"/>
      <c r="C423" s="18" t="n"/>
      <c r="D423" s="18" t="n"/>
      <c r="E423" s="19" t="n"/>
      <c r="F423" s="19" t="n"/>
      <c r="G423" s="18" t="n"/>
      <c r="H423" s="18" t="n"/>
      <c r="I423" s="18" t="n"/>
      <c r="J423" s="20" t="n"/>
      <c r="K423" s="21" t="n"/>
      <c r="L423" s="21" t="n"/>
      <c r="M423" s="18" t="n"/>
      <c r="N423" s="22">
        <f>IF($B423="","",CHOOSE(WEEKDAY($B423),"الأحد","الاثنين","الثلاثاء","الأربعاء","الخميس","الجمعة","السبت"))</f>
        <v/>
      </c>
      <c r="O423" s="23">
        <f>IF(OR($K423="",$L423=""),"",HYPERLINK("https://maps.google.com/?q="&amp;$K423&amp;","&amp;$L423,"عرض الموقع"))</f>
        <v/>
      </c>
      <c r="P423" s="23">
        <f>IF(OR($B423="",N($J423)=0),"",HYPERLINK(PhotoDir&amp;"/"&amp;YEAR($B423)&amp;"-"&amp;TEXT(MONTH($B423),"00")&amp;"-"&amp;TEXT(DAY($B423),"00")&amp;"_"&amp;$D423,"فتح الصور ("&amp;$J423&amp;")"))</f>
        <v/>
      </c>
      <c r="Q423" s="24">
        <f>IF($B423="","",MONTH($B423))</f>
        <v/>
      </c>
      <c r="R423" s="24">
        <f>IF($B423="","",YEAR($B423))</f>
        <v/>
      </c>
      <c r="S423" s="25">
        <f>IF($B423="","",$B423-WEEKDAY($B423,3))</f>
        <v/>
      </c>
      <c r="T423" s="24">
        <f>IF($B423="",0,IF(COUNTIFS($B$5:$B423,$B423,$D$5:$D423,$D423)=1,1,0))</f>
        <v/>
      </c>
      <c r="U423" s="24">
        <f>IF($B423="",0,IF(COUNTIFS($B$5:$B423,$B423,$C$5:$C423,$C423)=1,1,0))</f>
        <v/>
      </c>
      <c r="V423" s="24">
        <f>IF(OR($B423="",$G423="",$G423="لا توجد مشاهدات"),0,1)</f>
        <v/>
      </c>
      <c r="W423" s="24">
        <f>IF(AND($B423&lt;&gt;"",$I423="تم تحرير مخالفة"),1,0)</f>
        <v/>
      </c>
      <c r="X423" s="24">
        <f>IF($B423="","",IF($S423=WkStart,COUNTIF($S$5:$S423,WkStart),""))</f>
        <v/>
      </c>
    </row>
    <row r="424">
      <c r="A424" s="16">
        <f>IF($B424="","",ROW()-4)</f>
        <v/>
      </c>
      <c r="B424" s="17" t="n"/>
      <c r="C424" s="18" t="n"/>
      <c r="D424" s="18" t="n"/>
      <c r="E424" s="19" t="n"/>
      <c r="F424" s="19" t="n"/>
      <c r="G424" s="18" t="n"/>
      <c r="H424" s="18" t="n"/>
      <c r="I424" s="18" t="n"/>
      <c r="J424" s="20" t="n"/>
      <c r="K424" s="21" t="n"/>
      <c r="L424" s="21" t="n"/>
      <c r="M424" s="18" t="n"/>
      <c r="N424" s="22">
        <f>IF($B424="","",CHOOSE(WEEKDAY($B424),"الأحد","الاثنين","الثلاثاء","الأربعاء","الخميس","الجمعة","السبت"))</f>
        <v/>
      </c>
      <c r="O424" s="23">
        <f>IF(OR($K424="",$L424=""),"",HYPERLINK("https://maps.google.com/?q="&amp;$K424&amp;","&amp;$L424,"عرض الموقع"))</f>
        <v/>
      </c>
      <c r="P424" s="23">
        <f>IF(OR($B424="",N($J424)=0),"",HYPERLINK(PhotoDir&amp;"/"&amp;YEAR($B424)&amp;"-"&amp;TEXT(MONTH($B424),"00")&amp;"-"&amp;TEXT(DAY($B424),"00")&amp;"_"&amp;$D424,"فتح الصور ("&amp;$J424&amp;")"))</f>
        <v/>
      </c>
      <c r="Q424" s="24">
        <f>IF($B424="","",MONTH($B424))</f>
        <v/>
      </c>
      <c r="R424" s="24">
        <f>IF($B424="","",YEAR($B424))</f>
        <v/>
      </c>
      <c r="S424" s="25">
        <f>IF($B424="","",$B424-WEEKDAY($B424,3))</f>
        <v/>
      </c>
      <c r="T424" s="24">
        <f>IF($B424="",0,IF(COUNTIFS($B$5:$B424,$B424,$D$5:$D424,$D424)=1,1,0))</f>
        <v/>
      </c>
      <c r="U424" s="24">
        <f>IF($B424="",0,IF(COUNTIFS($B$5:$B424,$B424,$C$5:$C424,$C424)=1,1,0))</f>
        <v/>
      </c>
      <c r="V424" s="24">
        <f>IF(OR($B424="",$G424="",$G424="لا توجد مشاهدات"),0,1)</f>
        <v/>
      </c>
      <c r="W424" s="24">
        <f>IF(AND($B424&lt;&gt;"",$I424="تم تحرير مخالفة"),1,0)</f>
        <v/>
      </c>
      <c r="X424" s="24">
        <f>IF($B424="","",IF($S424=WkStart,COUNTIF($S$5:$S424,WkStart),""))</f>
        <v/>
      </c>
    </row>
    <row r="425">
      <c r="A425" s="16">
        <f>IF($B425="","",ROW()-4)</f>
        <v/>
      </c>
      <c r="B425" s="17" t="n"/>
      <c r="C425" s="18" t="n"/>
      <c r="D425" s="18" t="n"/>
      <c r="E425" s="19" t="n"/>
      <c r="F425" s="19" t="n"/>
      <c r="G425" s="18" t="n"/>
      <c r="H425" s="18" t="n"/>
      <c r="I425" s="18" t="n"/>
      <c r="J425" s="20" t="n"/>
      <c r="K425" s="21" t="n"/>
      <c r="L425" s="21" t="n"/>
      <c r="M425" s="18" t="n"/>
      <c r="N425" s="22">
        <f>IF($B425="","",CHOOSE(WEEKDAY($B425),"الأحد","الاثنين","الثلاثاء","الأربعاء","الخميس","الجمعة","السبت"))</f>
        <v/>
      </c>
      <c r="O425" s="23">
        <f>IF(OR($K425="",$L425=""),"",HYPERLINK("https://maps.google.com/?q="&amp;$K425&amp;","&amp;$L425,"عرض الموقع"))</f>
        <v/>
      </c>
      <c r="P425" s="23">
        <f>IF(OR($B425="",N($J425)=0),"",HYPERLINK(PhotoDir&amp;"/"&amp;YEAR($B425)&amp;"-"&amp;TEXT(MONTH($B425),"00")&amp;"-"&amp;TEXT(DAY($B425),"00")&amp;"_"&amp;$D425,"فتح الصور ("&amp;$J425&amp;")"))</f>
        <v/>
      </c>
      <c r="Q425" s="24">
        <f>IF($B425="","",MONTH($B425))</f>
        <v/>
      </c>
      <c r="R425" s="24">
        <f>IF($B425="","",YEAR($B425))</f>
        <v/>
      </c>
      <c r="S425" s="25">
        <f>IF($B425="","",$B425-WEEKDAY($B425,3))</f>
        <v/>
      </c>
      <c r="T425" s="24">
        <f>IF($B425="",0,IF(COUNTIFS($B$5:$B425,$B425,$D$5:$D425,$D425)=1,1,0))</f>
        <v/>
      </c>
      <c r="U425" s="24">
        <f>IF($B425="",0,IF(COUNTIFS($B$5:$B425,$B425,$C$5:$C425,$C425)=1,1,0))</f>
        <v/>
      </c>
      <c r="V425" s="24">
        <f>IF(OR($B425="",$G425="",$G425="لا توجد مشاهدات"),0,1)</f>
        <v/>
      </c>
      <c r="W425" s="24">
        <f>IF(AND($B425&lt;&gt;"",$I425="تم تحرير مخالفة"),1,0)</f>
        <v/>
      </c>
      <c r="X425" s="24">
        <f>IF($B425="","",IF($S425=WkStart,COUNTIF($S$5:$S425,WkStart),""))</f>
        <v/>
      </c>
    </row>
    <row r="426">
      <c r="A426" s="16">
        <f>IF($B426="","",ROW()-4)</f>
        <v/>
      </c>
      <c r="B426" s="17" t="n"/>
      <c r="C426" s="18" t="n"/>
      <c r="D426" s="18" t="n"/>
      <c r="E426" s="19" t="n"/>
      <c r="F426" s="19" t="n"/>
      <c r="G426" s="18" t="n"/>
      <c r="H426" s="18" t="n"/>
      <c r="I426" s="18" t="n"/>
      <c r="J426" s="20" t="n"/>
      <c r="K426" s="21" t="n"/>
      <c r="L426" s="21" t="n"/>
      <c r="M426" s="18" t="n"/>
      <c r="N426" s="22">
        <f>IF($B426="","",CHOOSE(WEEKDAY($B426),"الأحد","الاثنين","الثلاثاء","الأربعاء","الخميس","الجمعة","السبت"))</f>
        <v/>
      </c>
      <c r="O426" s="23">
        <f>IF(OR($K426="",$L426=""),"",HYPERLINK("https://maps.google.com/?q="&amp;$K426&amp;","&amp;$L426,"عرض الموقع"))</f>
        <v/>
      </c>
      <c r="P426" s="23">
        <f>IF(OR($B426="",N($J426)=0),"",HYPERLINK(PhotoDir&amp;"/"&amp;YEAR($B426)&amp;"-"&amp;TEXT(MONTH($B426),"00")&amp;"-"&amp;TEXT(DAY($B426),"00")&amp;"_"&amp;$D426,"فتح الصور ("&amp;$J426&amp;")"))</f>
        <v/>
      </c>
      <c r="Q426" s="24">
        <f>IF($B426="","",MONTH($B426))</f>
        <v/>
      </c>
      <c r="R426" s="24">
        <f>IF($B426="","",YEAR($B426))</f>
        <v/>
      </c>
      <c r="S426" s="25">
        <f>IF($B426="","",$B426-WEEKDAY($B426,3))</f>
        <v/>
      </c>
      <c r="T426" s="24">
        <f>IF($B426="",0,IF(COUNTIFS($B$5:$B426,$B426,$D$5:$D426,$D426)=1,1,0))</f>
        <v/>
      </c>
      <c r="U426" s="24">
        <f>IF($B426="",0,IF(COUNTIFS($B$5:$B426,$B426,$C$5:$C426,$C426)=1,1,0))</f>
        <v/>
      </c>
      <c r="V426" s="24">
        <f>IF(OR($B426="",$G426="",$G426="لا توجد مشاهدات"),0,1)</f>
        <v/>
      </c>
      <c r="W426" s="24">
        <f>IF(AND($B426&lt;&gt;"",$I426="تم تحرير مخالفة"),1,0)</f>
        <v/>
      </c>
      <c r="X426" s="24">
        <f>IF($B426="","",IF($S426=WkStart,COUNTIF($S$5:$S426,WkStart),""))</f>
        <v/>
      </c>
    </row>
    <row r="427">
      <c r="A427" s="16">
        <f>IF($B427="","",ROW()-4)</f>
        <v/>
      </c>
      <c r="B427" s="17" t="n"/>
      <c r="C427" s="18" t="n"/>
      <c r="D427" s="18" t="n"/>
      <c r="E427" s="19" t="n"/>
      <c r="F427" s="19" t="n"/>
      <c r="G427" s="18" t="n"/>
      <c r="H427" s="18" t="n"/>
      <c r="I427" s="18" t="n"/>
      <c r="J427" s="20" t="n"/>
      <c r="K427" s="21" t="n"/>
      <c r="L427" s="21" t="n"/>
      <c r="M427" s="18" t="n"/>
      <c r="N427" s="22">
        <f>IF($B427="","",CHOOSE(WEEKDAY($B427),"الأحد","الاثنين","الثلاثاء","الأربعاء","الخميس","الجمعة","السبت"))</f>
        <v/>
      </c>
      <c r="O427" s="23">
        <f>IF(OR($K427="",$L427=""),"",HYPERLINK("https://maps.google.com/?q="&amp;$K427&amp;","&amp;$L427,"عرض الموقع"))</f>
        <v/>
      </c>
      <c r="P427" s="23">
        <f>IF(OR($B427="",N($J427)=0),"",HYPERLINK(PhotoDir&amp;"/"&amp;YEAR($B427)&amp;"-"&amp;TEXT(MONTH($B427),"00")&amp;"-"&amp;TEXT(DAY($B427),"00")&amp;"_"&amp;$D427,"فتح الصور ("&amp;$J427&amp;")"))</f>
        <v/>
      </c>
      <c r="Q427" s="24">
        <f>IF($B427="","",MONTH($B427))</f>
        <v/>
      </c>
      <c r="R427" s="24">
        <f>IF($B427="","",YEAR($B427))</f>
        <v/>
      </c>
      <c r="S427" s="25">
        <f>IF($B427="","",$B427-WEEKDAY($B427,3))</f>
        <v/>
      </c>
      <c r="T427" s="24">
        <f>IF($B427="",0,IF(COUNTIFS($B$5:$B427,$B427,$D$5:$D427,$D427)=1,1,0))</f>
        <v/>
      </c>
      <c r="U427" s="24">
        <f>IF($B427="",0,IF(COUNTIFS($B$5:$B427,$B427,$C$5:$C427,$C427)=1,1,0))</f>
        <v/>
      </c>
      <c r="V427" s="24">
        <f>IF(OR($B427="",$G427="",$G427="لا توجد مشاهدات"),0,1)</f>
        <v/>
      </c>
      <c r="W427" s="24">
        <f>IF(AND($B427&lt;&gt;"",$I427="تم تحرير مخالفة"),1,0)</f>
        <v/>
      </c>
      <c r="X427" s="24">
        <f>IF($B427="","",IF($S427=WkStart,COUNTIF($S$5:$S427,WkStart),""))</f>
        <v/>
      </c>
    </row>
    <row r="428">
      <c r="A428" s="16">
        <f>IF($B428="","",ROW()-4)</f>
        <v/>
      </c>
      <c r="B428" s="17" t="n"/>
      <c r="C428" s="18" t="n"/>
      <c r="D428" s="18" t="n"/>
      <c r="E428" s="19" t="n"/>
      <c r="F428" s="19" t="n"/>
      <c r="G428" s="18" t="n"/>
      <c r="H428" s="18" t="n"/>
      <c r="I428" s="18" t="n"/>
      <c r="J428" s="20" t="n"/>
      <c r="K428" s="21" t="n"/>
      <c r="L428" s="21" t="n"/>
      <c r="M428" s="18" t="n"/>
      <c r="N428" s="22">
        <f>IF($B428="","",CHOOSE(WEEKDAY($B428),"الأحد","الاثنين","الثلاثاء","الأربعاء","الخميس","الجمعة","السبت"))</f>
        <v/>
      </c>
      <c r="O428" s="23">
        <f>IF(OR($K428="",$L428=""),"",HYPERLINK("https://maps.google.com/?q="&amp;$K428&amp;","&amp;$L428,"عرض الموقع"))</f>
        <v/>
      </c>
      <c r="P428" s="23">
        <f>IF(OR($B428="",N($J428)=0),"",HYPERLINK(PhotoDir&amp;"/"&amp;YEAR($B428)&amp;"-"&amp;TEXT(MONTH($B428),"00")&amp;"-"&amp;TEXT(DAY($B428),"00")&amp;"_"&amp;$D428,"فتح الصور ("&amp;$J428&amp;")"))</f>
        <v/>
      </c>
      <c r="Q428" s="24">
        <f>IF($B428="","",MONTH($B428))</f>
        <v/>
      </c>
      <c r="R428" s="24">
        <f>IF($B428="","",YEAR($B428))</f>
        <v/>
      </c>
      <c r="S428" s="25">
        <f>IF($B428="","",$B428-WEEKDAY($B428,3))</f>
        <v/>
      </c>
      <c r="T428" s="24">
        <f>IF($B428="",0,IF(COUNTIFS($B$5:$B428,$B428,$D$5:$D428,$D428)=1,1,0))</f>
        <v/>
      </c>
      <c r="U428" s="24">
        <f>IF($B428="",0,IF(COUNTIFS($B$5:$B428,$B428,$C$5:$C428,$C428)=1,1,0))</f>
        <v/>
      </c>
      <c r="V428" s="24">
        <f>IF(OR($B428="",$G428="",$G428="لا توجد مشاهدات"),0,1)</f>
        <v/>
      </c>
      <c r="W428" s="24">
        <f>IF(AND($B428&lt;&gt;"",$I428="تم تحرير مخالفة"),1,0)</f>
        <v/>
      </c>
      <c r="X428" s="24">
        <f>IF($B428="","",IF($S428=WkStart,COUNTIF($S$5:$S428,WkStart),""))</f>
        <v/>
      </c>
    </row>
    <row r="429">
      <c r="A429" s="16">
        <f>IF($B429="","",ROW()-4)</f>
        <v/>
      </c>
      <c r="B429" s="17" t="n"/>
      <c r="C429" s="18" t="n"/>
      <c r="D429" s="18" t="n"/>
      <c r="E429" s="19" t="n"/>
      <c r="F429" s="19" t="n"/>
      <c r="G429" s="18" t="n"/>
      <c r="H429" s="18" t="n"/>
      <c r="I429" s="18" t="n"/>
      <c r="J429" s="20" t="n"/>
      <c r="K429" s="21" t="n"/>
      <c r="L429" s="21" t="n"/>
      <c r="M429" s="18" t="n"/>
      <c r="N429" s="22">
        <f>IF($B429="","",CHOOSE(WEEKDAY($B429),"الأحد","الاثنين","الثلاثاء","الأربعاء","الخميس","الجمعة","السبت"))</f>
        <v/>
      </c>
      <c r="O429" s="23">
        <f>IF(OR($K429="",$L429=""),"",HYPERLINK("https://maps.google.com/?q="&amp;$K429&amp;","&amp;$L429,"عرض الموقع"))</f>
        <v/>
      </c>
      <c r="P429" s="23">
        <f>IF(OR($B429="",N($J429)=0),"",HYPERLINK(PhotoDir&amp;"/"&amp;YEAR($B429)&amp;"-"&amp;TEXT(MONTH($B429),"00")&amp;"-"&amp;TEXT(DAY($B429),"00")&amp;"_"&amp;$D429,"فتح الصور ("&amp;$J429&amp;")"))</f>
        <v/>
      </c>
      <c r="Q429" s="24">
        <f>IF($B429="","",MONTH($B429))</f>
        <v/>
      </c>
      <c r="R429" s="24">
        <f>IF($B429="","",YEAR($B429))</f>
        <v/>
      </c>
      <c r="S429" s="25">
        <f>IF($B429="","",$B429-WEEKDAY($B429,3))</f>
        <v/>
      </c>
      <c r="T429" s="24">
        <f>IF($B429="",0,IF(COUNTIFS($B$5:$B429,$B429,$D$5:$D429,$D429)=1,1,0))</f>
        <v/>
      </c>
      <c r="U429" s="24">
        <f>IF($B429="",0,IF(COUNTIFS($B$5:$B429,$B429,$C$5:$C429,$C429)=1,1,0))</f>
        <v/>
      </c>
      <c r="V429" s="24">
        <f>IF(OR($B429="",$G429="",$G429="لا توجد مشاهدات"),0,1)</f>
        <v/>
      </c>
      <c r="W429" s="24">
        <f>IF(AND($B429&lt;&gt;"",$I429="تم تحرير مخالفة"),1,0)</f>
        <v/>
      </c>
      <c r="X429" s="24">
        <f>IF($B429="","",IF($S429=WkStart,COUNTIF($S$5:$S429,WkStart),""))</f>
        <v/>
      </c>
    </row>
    <row r="430">
      <c r="A430" s="16">
        <f>IF($B430="","",ROW()-4)</f>
        <v/>
      </c>
      <c r="B430" s="17" t="n"/>
      <c r="C430" s="18" t="n"/>
      <c r="D430" s="18" t="n"/>
      <c r="E430" s="19" t="n"/>
      <c r="F430" s="19" t="n"/>
      <c r="G430" s="18" t="n"/>
      <c r="H430" s="18" t="n"/>
      <c r="I430" s="18" t="n"/>
      <c r="J430" s="20" t="n"/>
      <c r="K430" s="21" t="n"/>
      <c r="L430" s="21" t="n"/>
      <c r="M430" s="18" t="n"/>
      <c r="N430" s="22">
        <f>IF($B430="","",CHOOSE(WEEKDAY($B430),"الأحد","الاثنين","الثلاثاء","الأربعاء","الخميس","الجمعة","السبت"))</f>
        <v/>
      </c>
      <c r="O430" s="23">
        <f>IF(OR($K430="",$L430=""),"",HYPERLINK("https://maps.google.com/?q="&amp;$K430&amp;","&amp;$L430,"عرض الموقع"))</f>
        <v/>
      </c>
      <c r="P430" s="23">
        <f>IF(OR($B430="",N($J430)=0),"",HYPERLINK(PhotoDir&amp;"/"&amp;YEAR($B430)&amp;"-"&amp;TEXT(MONTH($B430),"00")&amp;"-"&amp;TEXT(DAY($B430),"00")&amp;"_"&amp;$D430,"فتح الصور ("&amp;$J430&amp;")"))</f>
        <v/>
      </c>
      <c r="Q430" s="24">
        <f>IF($B430="","",MONTH($B430))</f>
        <v/>
      </c>
      <c r="R430" s="24">
        <f>IF($B430="","",YEAR($B430))</f>
        <v/>
      </c>
      <c r="S430" s="25">
        <f>IF($B430="","",$B430-WEEKDAY($B430,3))</f>
        <v/>
      </c>
      <c r="T430" s="24">
        <f>IF($B430="",0,IF(COUNTIFS($B$5:$B430,$B430,$D$5:$D430,$D430)=1,1,0))</f>
        <v/>
      </c>
      <c r="U430" s="24">
        <f>IF($B430="",0,IF(COUNTIFS($B$5:$B430,$B430,$C$5:$C430,$C430)=1,1,0))</f>
        <v/>
      </c>
      <c r="V430" s="24">
        <f>IF(OR($B430="",$G430="",$G430="لا توجد مشاهدات"),0,1)</f>
        <v/>
      </c>
      <c r="W430" s="24">
        <f>IF(AND($B430&lt;&gt;"",$I430="تم تحرير مخالفة"),1,0)</f>
        <v/>
      </c>
      <c r="X430" s="24">
        <f>IF($B430="","",IF($S430=WkStart,COUNTIF($S$5:$S430,WkStart),""))</f>
        <v/>
      </c>
    </row>
    <row r="431">
      <c r="A431" s="16">
        <f>IF($B431="","",ROW()-4)</f>
        <v/>
      </c>
      <c r="B431" s="17" t="n"/>
      <c r="C431" s="18" t="n"/>
      <c r="D431" s="18" t="n"/>
      <c r="E431" s="19" t="n"/>
      <c r="F431" s="19" t="n"/>
      <c r="G431" s="18" t="n"/>
      <c r="H431" s="18" t="n"/>
      <c r="I431" s="18" t="n"/>
      <c r="J431" s="20" t="n"/>
      <c r="K431" s="21" t="n"/>
      <c r="L431" s="21" t="n"/>
      <c r="M431" s="18" t="n"/>
      <c r="N431" s="22">
        <f>IF($B431="","",CHOOSE(WEEKDAY($B431),"الأحد","الاثنين","الثلاثاء","الأربعاء","الخميس","الجمعة","السبت"))</f>
        <v/>
      </c>
      <c r="O431" s="23">
        <f>IF(OR($K431="",$L431=""),"",HYPERLINK("https://maps.google.com/?q="&amp;$K431&amp;","&amp;$L431,"عرض الموقع"))</f>
        <v/>
      </c>
      <c r="P431" s="23">
        <f>IF(OR($B431="",N($J431)=0),"",HYPERLINK(PhotoDir&amp;"/"&amp;YEAR($B431)&amp;"-"&amp;TEXT(MONTH($B431),"00")&amp;"-"&amp;TEXT(DAY($B431),"00")&amp;"_"&amp;$D431,"فتح الصور ("&amp;$J431&amp;")"))</f>
        <v/>
      </c>
      <c r="Q431" s="24">
        <f>IF($B431="","",MONTH($B431))</f>
        <v/>
      </c>
      <c r="R431" s="24">
        <f>IF($B431="","",YEAR($B431))</f>
        <v/>
      </c>
      <c r="S431" s="25">
        <f>IF($B431="","",$B431-WEEKDAY($B431,3))</f>
        <v/>
      </c>
      <c r="T431" s="24">
        <f>IF($B431="",0,IF(COUNTIFS($B$5:$B431,$B431,$D$5:$D431,$D431)=1,1,0))</f>
        <v/>
      </c>
      <c r="U431" s="24">
        <f>IF($B431="",0,IF(COUNTIFS($B$5:$B431,$B431,$C$5:$C431,$C431)=1,1,0))</f>
        <v/>
      </c>
      <c r="V431" s="24">
        <f>IF(OR($B431="",$G431="",$G431="لا توجد مشاهدات"),0,1)</f>
        <v/>
      </c>
      <c r="W431" s="24">
        <f>IF(AND($B431&lt;&gt;"",$I431="تم تحرير مخالفة"),1,0)</f>
        <v/>
      </c>
      <c r="X431" s="24">
        <f>IF($B431="","",IF($S431=WkStart,COUNTIF($S$5:$S431,WkStart),""))</f>
        <v/>
      </c>
    </row>
    <row r="432">
      <c r="A432" s="16">
        <f>IF($B432="","",ROW()-4)</f>
        <v/>
      </c>
      <c r="B432" s="17" t="n"/>
      <c r="C432" s="18" t="n"/>
      <c r="D432" s="18" t="n"/>
      <c r="E432" s="19" t="n"/>
      <c r="F432" s="19" t="n"/>
      <c r="G432" s="18" t="n"/>
      <c r="H432" s="18" t="n"/>
      <c r="I432" s="18" t="n"/>
      <c r="J432" s="20" t="n"/>
      <c r="K432" s="21" t="n"/>
      <c r="L432" s="21" t="n"/>
      <c r="M432" s="18" t="n"/>
      <c r="N432" s="22">
        <f>IF($B432="","",CHOOSE(WEEKDAY($B432),"الأحد","الاثنين","الثلاثاء","الأربعاء","الخميس","الجمعة","السبت"))</f>
        <v/>
      </c>
      <c r="O432" s="23">
        <f>IF(OR($K432="",$L432=""),"",HYPERLINK("https://maps.google.com/?q="&amp;$K432&amp;","&amp;$L432,"عرض الموقع"))</f>
        <v/>
      </c>
      <c r="P432" s="23">
        <f>IF(OR($B432="",N($J432)=0),"",HYPERLINK(PhotoDir&amp;"/"&amp;YEAR($B432)&amp;"-"&amp;TEXT(MONTH($B432),"00")&amp;"-"&amp;TEXT(DAY($B432),"00")&amp;"_"&amp;$D432,"فتح الصور ("&amp;$J432&amp;")"))</f>
        <v/>
      </c>
      <c r="Q432" s="24">
        <f>IF($B432="","",MONTH($B432))</f>
        <v/>
      </c>
      <c r="R432" s="24">
        <f>IF($B432="","",YEAR($B432))</f>
        <v/>
      </c>
      <c r="S432" s="25">
        <f>IF($B432="","",$B432-WEEKDAY($B432,3))</f>
        <v/>
      </c>
      <c r="T432" s="24">
        <f>IF($B432="",0,IF(COUNTIFS($B$5:$B432,$B432,$D$5:$D432,$D432)=1,1,0))</f>
        <v/>
      </c>
      <c r="U432" s="24">
        <f>IF($B432="",0,IF(COUNTIFS($B$5:$B432,$B432,$C$5:$C432,$C432)=1,1,0))</f>
        <v/>
      </c>
      <c r="V432" s="24">
        <f>IF(OR($B432="",$G432="",$G432="لا توجد مشاهدات"),0,1)</f>
        <v/>
      </c>
      <c r="W432" s="24">
        <f>IF(AND($B432&lt;&gt;"",$I432="تم تحرير مخالفة"),1,0)</f>
        <v/>
      </c>
      <c r="X432" s="24">
        <f>IF($B432="","",IF($S432=WkStart,COUNTIF($S$5:$S432,WkStart),""))</f>
        <v/>
      </c>
    </row>
    <row r="433">
      <c r="A433" s="16">
        <f>IF($B433="","",ROW()-4)</f>
        <v/>
      </c>
      <c r="B433" s="17" t="n"/>
      <c r="C433" s="18" t="n"/>
      <c r="D433" s="18" t="n"/>
      <c r="E433" s="19" t="n"/>
      <c r="F433" s="19" t="n"/>
      <c r="G433" s="18" t="n"/>
      <c r="H433" s="18" t="n"/>
      <c r="I433" s="18" t="n"/>
      <c r="J433" s="20" t="n"/>
      <c r="K433" s="21" t="n"/>
      <c r="L433" s="21" t="n"/>
      <c r="M433" s="18" t="n"/>
      <c r="N433" s="22">
        <f>IF($B433="","",CHOOSE(WEEKDAY($B433),"الأحد","الاثنين","الثلاثاء","الأربعاء","الخميس","الجمعة","السبت"))</f>
        <v/>
      </c>
      <c r="O433" s="23">
        <f>IF(OR($K433="",$L433=""),"",HYPERLINK("https://maps.google.com/?q="&amp;$K433&amp;","&amp;$L433,"عرض الموقع"))</f>
        <v/>
      </c>
      <c r="P433" s="23">
        <f>IF(OR($B433="",N($J433)=0),"",HYPERLINK(PhotoDir&amp;"/"&amp;YEAR($B433)&amp;"-"&amp;TEXT(MONTH($B433),"00")&amp;"-"&amp;TEXT(DAY($B433),"00")&amp;"_"&amp;$D433,"فتح الصور ("&amp;$J433&amp;")"))</f>
        <v/>
      </c>
      <c r="Q433" s="24">
        <f>IF($B433="","",MONTH($B433))</f>
        <v/>
      </c>
      <c r="R433" s="24">
        <f>IF($B433="","",YEAR($B433))</f>
        <v/>
      </c>
      <c r="S433" s="25">
        <f>IF($B433="","",$B433-WEEKDAY($B433,3))</f>
        <v/>
      </c>
      <c r="T433" s="24">
        <f>IF($B433="",0,IF(COUNTIFS($B$5:$B433,$B433,$D$5:$D433,$D433)=1,1,0))</f>
        <v/>
      </c>
      <c r="U433" s="24">
        <f>IF($B433="",0,IF(COUNTIFS($B$5:$B433,$B433,$C$5:$C433,$C433)=1,1,0))</f>
        <v/>
      </c>
      <c r="V433" s="24">
        <f>IF(OR($B433="",$G433="",$G433="لا توجد مشاهدات"),0,1)</f>
        <v/>
      </c>
      <c r="W433" s="24">
        <f>IF(AND($B433&lt;&gt;"",$I433="تم تحرير مخالفة"),1,0)</f>
        <v/>
      </c>
      <c r="X433" s="24">
        <f>IF($B433="","",IF($S433=WkStart,COUNTIF($S$5:$S433,WkStart),""))</f>
        <v/>
      </c>
    </row>
    <row r="434">
      <c r="A434" s="16">
        <f>IF($B434="","",ROW()-4)</f>
        <v/>
      </c>
      <c r="B434" s="17" t="n"/>
      <c r="C434" s="18" t="n"/>
      <c r="D434" s="18" t="n"/>
      <c r="E434" s="19" t="n"/>
      <c r="F434" s="19" t="n"/>
      <c r="G434" s="18" t="n"/>
      <c r="H434" s="18" t="n"/>
      <c r="I434" s="18" t="n"/>
      <c r="J434" s="20" t="n"/>
      <c r="K434" s="21" t="n"/>
      <c r="L434" s="21" t="n"/>
      <c r="M434" s="18" t="n"/>
      <c r="N434" s="22">
        <f>IF($B434="","",CHOOSE(WEEKDAY($B434),"الأحد","الاثنين","الثلاثاء","الأربعاء","الخميس","الجمعة","السبت"))</f>
        <v/>
      </c>
      <c r="O434" s="23">
        <f>IF(OR($K434="",$L434=""),"",HYPERLINK("https://maps.google.com/?q="&amp;$K434&amp;","&amp;$L434,"عرض الموقع"))</f>
        <v/>
      </c>
      <c r="P434" s="23">
        <f>IF(OR($B434="",N($J434)=0),"",HYPERLINK(PhotoDir&amp;"/"&amp;YEAR($B434)&amp;"-"&amp;TEXT(MONTH($B434),"00")&amp;"-"&amp;TEXT(DAY($B434),"00")&amp;"_"&amp;$D434,"فتح الصور ("&amp;$J434&amp;")"))</f>
        <v/>
      </c>
      <c r="Q434" s="24">
        <f>IF($B434="","",MONTH($B434))</f>
        <v/>
      </c>
      <c r="R434" s="24">
        <f>IF($B434="","",YEAR($B434))</f>
        <v/>
      </c>
      <c r="S434" s="25">
        <f>IF($B434="","",$B434-WEEKDAY($B434,3))</f>
        <v/>
      </c>
      <c r="T434" s="24">
        <f>IF($B434="",0,IF(COUNTIFS($B$5:$B434,$B434,$D$5:$D434,$D434)=1,1,0))</f>
        <v/>
      </c>
      <c r="U434" s="24">
        <f>IF($B434="",0,IF(COUNTIFS($B$5:$B434,$B434,$C$5:$C434,$C434)=1,1,0))</f>
        <v/>
      </c>
      <c r="V434" s="24">
        <f>IF(OR($B434="",$G434="",$G434="لا توجد مشاهدات"),0,1)</f>
        <v/>
      </c>
      <c r="W434" s="24">
        <f>IF(AND($B434&lt;&gt;"",$I434="تم تحرير مخالفة"),1,0)</f>
        <v/>
      </c>
      <c r="X434" s="24">
        <f>IF($B434="","",IF($S434=WkStart,COUNTIF($S$5:$S434,WkStart),""))</f>
        <v/>
      </c>
    </row>
    <row r="435">
      <c r="A435" s="16">
        <f>IF($B435="","",ROW()-4)</f>
        <v/>
      </c>
      <c r="B435" s="17" t="n"/>
      <c r="C435" s="18" t="n"/>
      <c r="D435" s="18" t="n"/>
      <c r="E435" s="19" t="n"/>
      <c r="F435" s="19" t="n"/>
      <c r="G435" s="18" t="n"/>
      <c r="H435" s="18" t="n"/>
      <c r="I435" s="18" t="n"/>
      <c r="J435" s="20" t="n"/>
      <c r="K435" s="21" t="n"/>
      <c r="L435" s="21" t="n"/>
      <c r="M435" s="18" t="n"/>
      <c r="N435" s="22">
        <f>IF($B435="","",CHOOSE(WEEKDAY($B435),"الأحد","الاثنين","الثلاثاء","الأربعاء","الخميس","الجمعة","السبت"))</f>
        <v/>
      </c>
      <c r="O435" s="23">
        <f>IF(OR($K435="",$L435=""),"",HYPERLINK("https://maps.google.com/?q="&amp;$K435&amp;","&amp;$L435,"عرض الموقع"))</f>
        <v/>
      </c>
      <c r="P435" s="23">
        <f>IF(OR($B435="",N($J435)=0),"",HYPERLINK(PhotoDir&amp;"/"&amp;YEAR($B435)&amp;"-"&amp;TEXT(MONTH($B435),"00")&amp;"-"&amp;TEXT(DAY($B435),"00")&amp;"_"&amp;$D435,"فتح الصور ("&amp;$J435&amp;")"))</f>
        <v/>
      </c>
      <c r="Q435" s="24">
        <f>IF($B435="","",MONTH($B435))</f>
        <v/>
      </c>
      <c r="R435" s="24">
        <f>IF($B435="","",YEAR($B435))</f>
        <v/>
      </c>
      <c r="S435" s="25">
        <f>IF($B435="","",$B435-WEEKDAY($B435,3))</f>
        <v/>
      </c>
      <c r="T435" s="24">
        <f>IF($B435="",0,IF(COUNTIFS($B$5:$B435,$B435,$D$5:$D435,$D435)=1,1,0))</f>
        <v/>
      </c>
      <c r="U435" s="24">
        <f>IF($B435="",0,IF(COUNTIFS($B$5:$B435,$B435,$C$5:$C435,$C435)=1,1,0))</f>
        <v/>
      </c>
      <c r="V435" s="24">
        <f>IF(OR($B435="",$G435="",$G435="لا توجد مشاهدات"),0,1)</f>
        <v/>
      </c>
      <c r="W435" s="24">
        <f>IF(AND($B435&lt;&gt;"",$I435="تم تحرير مخالفة"),1,0)</f>
        <v/>
      </c>
      <c r="X435" s="24">
        <f>IF($B435="","",IF($S435=WkStart,COUNTIF($S$5:$S435,WkStart),""))</f>
        <v/>
      </c>
    </row>
    <row r="436">
      <c r="A436" s="16">
        <f>IF($B436="","",ROW()-4)</f>
        <v/>
      </c>
      <c r="B436" s="17" t="n"/>
      <c r="C436" s="18" t="n"/>
      <c r="D436" s="18" t="n"/>
      <c r="E436" s="19" t="n"/>
      <c r="F436" s="19" t="n"/>
      <c r="G436" s="18" t="n"/>
      <c r="H436" s="18" t="n"/>
      <c r="I436" s="18" t="n"/>
      <c r="J436" s="20" t="n"/>
      <c r="K436" s="21" t="n"/>
      <c r="L436" s="21" t="n"/>
      <c r="M436" s="18" t="n"/>
      <c r="N436" s="22">
        <f>IF($B436="","",CHOOSE(WEEKDAY($B436),"الأحد","الاثنين","الثلاثاء","الأربعاء","الخميس","الجمعة","السبت"))</f>
        <v/>
      </c>
      <c r="O436" s="23">
        <f>IF(OR($K436="",$L436=""),"",HYPERLINK("https://maps.google.com/?q="&amp;$K436&amp;","&amp;$L436,"عرض الموقع"))</f>
        <v/>
      </c>
      <c r="P436" s="23">
        <f>IF(OR($B436="",N($J436)=0),"",HYPERLINK(PhotoDir&amp;"/"&amp;YEAR($B436)&amp;"-"&amp;TEXT(MONTH($B436),"00")&amp;"-"&amp;TEXT(DAY($B436),"00")&amp;"_"&amp;$D436,"فتح الصور ("&amp;$J436&amp;")"))</f>
        <v/>
      </c>
      <c r="Q436" s="24">
        <f>IF($B436="","",MONTH($B436))</f>
        <v/>
      </c>
      <c r="R436" s="24">
        <f>IF($B436="","",YEAR($B436))</f>
        <v/>
      </c>
      <c r="S436" s="25">
        <f>IF($B436="","",$B436-WEEKDAY($B436,3))</f>
        <v/>
      </c>
      <c r="T436" s="24">
        <f>IF($B436="",0,IF(COUNTIFS($B$5:$B436,$B436,$D$5:$D436,$D436)=1,1,0))</f>
        <v/>
      </c>
      <c r="U436" s="24">
        <f>IF($B436="",0,IF(COUNTIFS($B$5:$B436,$B436,$C$5:$C436,$C436)=1,1,0))</f>
        <v/>
      </c>
      <c r="V436" s="24">
        <f>IF(OR($B436="",$G436="",$G436="لا توجد مشاهدات"),0,1)</f>
        <v/>
      </c>
      <c r="W436" s="24">
        <f>IF(AND($B436&lt;&gt;"",$I436="تم تحرير مخالفة"),1,0)</f>
        <v/>
      </c>
      <c r="X436" s="24">
        <f>IF($B436="","",IF($S436=WkStart,COUNTIF($S$5:$S436,WkStart),""))</f>
        <v/>
      </c>
    </row>
    <row r="437">
      <c r="A437" s="16">
        <f>IF($B437="","",ROW()-4)</f>
        <v/>
      </c>
      <c r="B437" s="17" t="n"/>
      <c r="C437" s="18" t="n"/>
      <c r="D437" s="18" t="n"/>
      <c r="E437" s="19" t="n"/>
      <c r="F437" s="19" t="n"/>
      <c r="G437" s="18" t="n"/>
      <c r="H437" s="18" t="n"/>
      <c r="I437" s="18" t="n"/>
      <c r="J437" s="20" t="n"/>
      <c r="K437" s="21" t="n"/>
      <c r="L437" s="21" t="n"/>
      <c r="M437" s="18" t="n"/>
      <c r="N437" s="22">
        <f>IF($B437="","",CHOOSE(WEEKDAY($B437),"الأحد","الاثنين","الثلاثاء","الأربعاء","الخميس","الجمعة","السبت"))</f>
        <v/>
      </c>
      <c r="O437" s="23">
        <f>IF(OR($K437="",$L437=""),"",HYPERLINK("https://maps.google.com/?q="&amp;$K437&amp;","&amp;$L437,"عرض الموقع"))</f>
        <v/>
      </c>
      <c r="P437" s="23">
        <f>IF(OR($B437="",N($J437)=0),"",HYPERLINK(PhotoDir&amp;"/"&amp;YEAR($B437)&amp;"-"&amp;TEXT(MONTH($B437),"00")&amp;"-"&amp;TEXT(DAY($B437),"00")&amp;"_"&amp;$D437,"فتح الصور ("&amp;$J437&amp;")"))</f>
        <v/>
      </c>
      <c r="Q437" s="24">
        <f>IF($B437="","",MONTH($B437))</f>
        <v/>
      </c>
      <c r="R437" s="24">
        <f>IF($B437="","",YEAR($B437))</f>
        <v/>
      </c>
      <c r="S437" s="25">
        <f>IF($B437="","",$B437-WEEKDAY($B437,3))</f>
        <v/>
      </c>
      <c r="T437" s="24">
        <f>IF($B437="",0,IF(COUNTIFS($B$5:$B437,$B437,$D$5:$D437,$D437)=1,1,0))</f>
        <v/>
      </c>
      <c r="U437" s="24">
        <f>IF($B437="",0,IF(COUNTIFS($B$5:$B437,$B437,$C$5:$C437,$C437)=1,1,0))</f>
        <v/>
      </c>
      <c r="V437" s="24">
        <f>IF(OR($B437="",$G437="",$G437="لا توجد مشاهدات"),0,1)</f>
        <v/>
      </c>
      <c r="W437" s="24">
        <f>IF(AND($B437&lt;&gt;"",$I437="تم تحرير مخالفة"),1,0)</f>
        <v/>
      </c>
      <c r="X437" s="24">
        <f>IF($B437="","",IF($S437=WkStart,COUNTIF($S$5:$S437,WkStart),""))</f>
        <v/>
      </c>
    </row>
    <row r="438">
      <c r="A438" s="16">
        <f>IF($B438="","",ROW()-4)</f>
        <v/>
      </c>
      <c r="B438" s="17" t="n"/>
      <c r="C438" s="18" t="n"/>
      <c r="D438" s="18" t="n"/>
      <c r="E438" s="19" t="n"/>
      <c r="F438" s="19" t="n"/>
      <c r="G438" s="18" t="n"/>
      <c r="H438" s="18" t="n"/>
      <c r="I438" s="18" t="n"/>
      <c r="J438" s="20" t="n"/>
      <c r="K438" s="21" t="n"/>
      <c r="L438" s="21" t="n"/>
      <c r="M438" s="18" t="n"/>
      <c r="N438" s="22">
        <f>IF($B438="","",CHOOSE(WEEKDAY($B438),"الأحد","الاثنين","الثلاثاء","الأربعاء","الخميس","الجمعة","السبت"))</f>
        <v/>
      </c>
      <c r="O438" s="23">
        <f>IF(OR($K438="",$L438=""),"",HYPERLINK("https://maps.google.com/?q="&amp;$K438&amp;","&amp;$L438,"عرض الموقع"))</f>
        <v/>
      </c>
      <c r="P438" s="23">
        <f>IF(OR($B438="",N($J438)=0),"",HYPERLINK(PhotoDir&amp;"/"&amp;YEAR($B438)&amp;"-"&amp;TEXT(MONTH($B438),"00")&amp;"-"&amp;TEXT(DAY($B438),"00")&amp;"_"&amp;$D438,"فتح الصور ("&amp;$J438&amp;")"))</f>
        <v/>
      </c>
      <c r="Q438" s="24">
        <f>IF($B438="","",MONTH($B438))</f>
        <v/>
      </c>
      <c r="R438" s="24">
        <f>IF($B438="","",YEAR($B438))</f>
        <v/>
      </c>
      <c r="S438" s="25">
        <f>IF($B438="","",$B438-WEEKDAY($B438,3))</f>
        <v/>
      </c>
      <c r="T438" s="24">
        <f>IF($B438="",0,IF(COUNTIFS($B$5:$B438,$B438,$D$5:$D438,$D438)=1,1,0))</f>
        <v/>
      </c>
      <c r="U438" s="24">
        <f>IF($B438="",0,IF(COUNTIFS($B$5:$B438,$B438,$C$5:$C438,$C438)=1,1,0))</f>
        <v/>
      </c>
      <c r="V438" s="24">
        <f>IF(OR($B438="",$G438="",$G438="لا توجد مشاهدات"),0,1)</f>
        <v/>
      </c>
      <c r="W438" s="24">
        <f>IF(AND($B438&lt;&gt;"",$I438="تم تحرير مخالفة"),1,0)</f>
        <v/>
      </c>
      <c r="X438" s="24">
        <f>IF($B438="","",IF($S438=WkStart,COUNTIF($S$5:$S438,WkStart),""))</f>
        <v/>
      </c>
    </row>
    <row r="439">
      <c r="A439" s="16">
        <f>IF($B439="","",ROW()-4)</f>
        <v/>
      </c>
      <c r="B439" s="17" t="n"/>
      <c r="C439" s="18" t="n"/>
      <c r="D439" s="18" t="n"/>
      <c r="E439" s="19" t="n"/>
      <c r="F439" s="19" t="n"/>
      <c r="G439" s="18" t="n"/>
      <c r="H439" s="18" t="n"/>
      <c r="I439" s="18" t="n"/>
      <c r="J439" s="20" t="n"/>
      <c r="K439" s="21" t="n"/>
      <c r="L439" s="21" t="n"/>
      <c r="M439" s="18" t="n"/>
      <c r="N439" s="22">
        <f>IF($B439="","",CHOOSE(WEEKDAY($B439),"الأحد","الاثنين","الثلاثاء","الأربعاء","الخميس","الجمعة","السبت"))</f>
        <v/>
      </c>
      <c r="O439" s="23">
        <f>IF(OR($K439="",$L439=""),"",HYPERLINK("https://maps.google.com/?q="&amp;$K439&amp;","&amp;$L439,"عرض الموقع"))</f>
        <v/>
      </c>
      <c r="P439" s="23">
        <f>IF(OR($B439="",N($J439)=0),"",HYPERLINK(PhotoDir&amp;"/"&amp;YEAR($B439)&amp;"-"&amp;TEXT(MONTH($B439),"00")&amp;"-"&amp;TEXT(DAY($B439),"00")&amp;"_"&amp;$D439,"فتح الصور ("&amp;$J439&amp;")"))</f>
        <v/>
      </c>
      <c r="Q439" s="24">
        <f>IF($B439="","",MONTH($B439))</f>
        <v/>
      </c>
      <c r="R439" s="24">
        <f>IF($B439="","",YEAR($B439))</f>
        <v/>
      </c>
      <c r="S439" s="25">
        <f>IF($B439="","",$B439-WEEKDAY($B439,3))</f>
        <v/>
      </c>
      <c r="T439" s="24">
        <f>IF($B439="",0,IF(COUNTIFS($B$5:$B439,$B439,$D$5:$D439,$D439)=1,1,0))</f>
        <v/>
      </c>
      <c r="U439" s="24">
        <f>IF($B439="",0,IF(COUNTIFS($B$5:$B439,$B439,$C$5:$C439,$C439)=1,1,0))</f>
        <v/>
      </c>
      <c r="V439" s="24">
        <f>IF(OR($B439="",$G439="",$G439="لا توجد مشاهدات"),0,1)</f>
        <v/>
      </c>
      <c r="W439" s="24">
        <f>IF(AND($B439&lt;&gt;"",$I439="تم تحرير مخالفة"),1,0)</f>
        <v/>
      </c>
      <c r="X439" s="24">
        <f>IF($B439="","",IF($S439=WkStart,COUNTIF($S$5:$S439,WkStart),""))</f>
        <v/>
      </c>
    </row>
    <row r="440">
      <c r="A440" s="16">
        <f>IF($B440="","",ROW()-4)</f>
        <v/>
      </c>
      <c r="B440" s="17" t="n"/>
      <c r="C440" s="18" t="n"/>
      <c r="D440" s="18" t="n"/>
      <c r="E440" s="19" t="n"/>
      <c r="F440" s="19" t="n"/>
      <c r="G440" s="18" t="n"/>
      <c r="H440" s="18" t="n"/>
      <c r="I440" s="18" t="n"/>
      <c r="J440" s="20" t="n"/>
      <c r="K440" s="21" t="n"/>
      <c r="L440" s="21" t="n"/>
      <c r="M440" s="18" t="n"/>
      <c r="N440" s="22">
        <f>IF($B440="","",CHOOSE(WEEKDAY($B440),"الأحد","الاثنين","الثلاثاء","الأربعاء","الخميس","الجمعة","السبت"))</f>
        <v/>
      </c>
      <c r="O440" s="23">
        <f>IF(OR($K440="",$L440=""),"",HYPERLINK("https://maps.google.com/?q="&amp;$K440&amp;","&amp;$L440,"عرض الموقع"))</f>
        <v/>
      </c>
      <c r="P440" s="23">
        <f>IF(OR($B440="",N($J440)=0),"",HYPERLINK(PhotoDir&amp;"/"&amp;YEAR($B440)&amp;"-"&amp;TEXT(MONTH($B440),"00")&amp;"-"&amp;TEXT(DAY($B440),"00")&amp;"_"&amp;$D440,"فتح الصور ("&amp;$J440&amp;")"))</f>
        <v/>
      </c>
      <c r="Q440" s="24">
        <f>IF($B440="","",MONTH($B440))</f>
        <v/>
      </c>
      <c r="R440" s="24">
        <f>IF($B440="","",YEAR($B440))</f>
        <v/>
      </c>
      <c r="S440" s="25">
        <f>IF($B440="","",$B440-WEEKDAY($B440,3))</f>
        <v/>
      </c>
      <c r="T440" s="24">
        <f>IF($B440="",0,IF(COUNTIFS($B$5:$B440,$B440,$D$5:$D440,$D440)=1,1,0))</f>
        <v/>
      </c>
      <c r="U440" s="24">
        <f>IF($B440="",0,IF(COUNTIFS($B$5:$B440,$B440,$C$5:$C440,$C440)=1,1,0))</f>
        <v/>
      </c>
      <c r="V440" s="24">
        <f>IF(OR($B440="",$G440="",$G440="لا توجد مشاهدات"),0,1)</f>
        <v/>
      </c>
      <c r="W440" s="24">
        <f>IF(AND($B440&lt;&gt;"",$I440="تم تحرير مخالفة"),1,0)</f>
        <v/>
      </c>
      <c r="X440" s="24">
        <f>IF($B440="","",IF($S440=WkStart,COUNTIF($S$5:$S440,WkStart),""))</f>
        <v/>
      </c>
    </row>
    <row r="441">
      <c r="A441" s="16">
        <f>IF($B441="","",ROW()-4)</f>
        <v/>
      </c>
      <c r="B441" s="17" t="n"/>
      <c r="C441" s="18" t="n"/>
      <c r="D441" s="18" t="n"/>
      <c r="E441" s="19" t="n"/>
      <c r="F441" s="19" t="n"/>
      <c r="G441" s="18" t="n"/>
      <c r="H441" s="18" t="n"/>
      <c r="I441" s="18" t="n"/>
      <c r="J441" s="20" t="n"/>
      <c r="K441" s="21" t="n"/>
      <c r="L441" s="21" t="n"/>
      <c r="M441" s="18" t="n"/>
      <c r="N441" s="22">
        <f>IF($B441="","",CHOOSE(WEEKDAY($B441),"الأحد","الاثنين","الثلاثاء","الأربعاء","الخميس","الجمعة","السبت"))</f>
        <v/>
      </c>
      <c r="O441" s="23">
        <f>IF(OR($K441="",$L441=""),"",HYPERLINK("https://maps.google.com/?q="&amp;$K441&amp;","&amp;$L441,"عرض الموقع"))</f>
        <v/>
      </c>
      <c r="P441" s="23">
        <f>IF(OR($B441="",N($J441)=0),"",HYPERLINK(PhotoDir&amp;"/"&amp;YEAR($B441)&amp;"-"&amp;TEXT(MONTH($B441),"00")&amp;"-"&amp;TEXT(DAY($B441),"00")&amp;"_"&amp;$D441,"فتح الصور ("&amp;$J441&amp;")"))</f>
        <v/>
      </c>
      <c r="Q441" s="24">
        <f>IF($B441="","",MONTH($B441))</f>
        <v/>
      </c>
      <c r="R441" s="24">
        <f>IF($B441="","",YEAR($B441))</f>
        <v/>
      </c>
      <c r="S441" s="25">
        <f>IF($B441="","",$B441-WEEKDAY($B441,3))</f>
        <v/>
      </c>
      <c r="T441" s="24">
        <f>IF($B441="",0,IF(COUNTIFS($B$5:$B441,$B441,$D$5:$D441,$D441)=1,1,0))</f>
        <v/>
      </c>
      <c r="U441" s="24">
        <f>IF($B441="",0,IF(COUNTIFS($B$5:$B441,$B441,$C$5:$C441,$C441)=1,1,0))</f>
        <v/>
      </c>
      <c r="V441" s="24">
        <f>IF(OR($B441="",$G441="",$G441="لا توجد مشاهدات"),0,1)</f>
        <v/>
      </c>
      <c r="W441" s="24">
        <f>IF(AND($B441&lt;&gt;"",$I441="تم تحرير مخالفة"),1,0)</f>
        <v/>
      </c>
      <c r="X441" s="24">
        <f>IF($B441="","",IF($S441=WkStart,COUNTIF($S$5:$S441,WkStart),""))</f>
        <v/>
      </c>
    </row>
    <row r="442">
      <c r="A442" s="16">
        <f>IF($B442="","",ROW()-4)</f>
        <v/>
      </c>
      <c r="B442" s="17" t="n"/>
      <c r="C442" s="18" t="n"/>
      <c r="D442" s="18" t="n"/>
      <c r="E442" s="19" t="n"/>
      <c r="F442" s="19" t="n"/>
      <c r="G442" s="18" t="n"/>
      <c r="H442" s="18" t="n"/>
      <c r="I442" s="18" t="n"/>
      <c r="J442" s="20" t="n"/>
      <c r="K442" s="21" t="n"/>
      <c r="L442" s="21" t="n"/>
      <c r="M442" s="18" t="n"/>
      <c r="N442" s="22">
        <f>IF($B442="","",CHOOSE(WEEKDAY($B442),"الأحد","الاثنين","الثلاثاء","الأربعاء","الخميس","الجمعة","السبت"))</f>
        <v/>
      </c>
      <c r="O442" s="23">
        <f>IF(OR($K442="",$L442=""),"",HYPERLINK("https://maps.google.com/?q="&amp;$K442&amp;","&amp;$L442,"عرض الموقع"))</f>
        <v/>
      </c>
      <c r="P442" s="23">
        <f>IF(OR($B442="",N($J442)=0),"",HYPERLINK(PhotoDir&amp;"/"&amp;YEAR($B442)&amp;"-"&amp;TEXT(MONTH($B442),"00")&amp;"-"&amp;TEXT(DAY($B442),"00")&amp;"_"&amp;$D442,"فتح الصور ("&amp;$J442&amp;")"))</f>
        <v/>
      </c>
      <c r="Q442" s="24">
        <f>IF($B442="","",MONTH($B442))</f>
        <v/>
      </c>
      <c r="R442" s="24">
        <f>IF($B442="","",YEAR($B442))</f>
        <v/>
      </c>
      <c r="S442" s="25">
        <f>IF($B442="","",$B442-WEEKDAY($B442,3))</f>
        <v/>
      </c>
      <c r="T442" s="24">
        <f>IF($B442="",0,IF(COUNTIFS($B$5:$B442,$B442,$D$5:$D442,$D442)=1,1,0))</f>
        <v/>
      </c>
      <c r="U442" s="24">
        <f>IF($B442="",0,IF(COUNTIFS($B$5:$B442,$B442,$C$5:$C442,$C442)=1,1,0))</f>
        <v/>
      </c>
      <c r="V442" s="24">
        <f>IF(OR($B442="",$G442="",$G442="لا توجد مشاهدات"),0,1)</f>
        <v/>
      </c>
      <c r="W442" s="24">
        <f>IF(AND($B442&lt;&gt;"",$I442="تم تحرير مخالفة"),1,0)</f>
        <v/>
      </c>
      <c r="X442" s="24">
        <f>IF($B442="","",IF($S442=WkStart,COUNTIF($S$5:$S442,WkStart),""))</f>
        <v/>
      </c>
    </row>
    <row r="443">
      <c r="A443" s="16">
        <f>IF($B443="","",ROW()-4)</f>
        <v/>
      </c>
      <c r="B443" s="17" t="n"/>
      <c r="C443" s="18" t="n"/>
      <c r="D443" s="18" t="n"/>
      <c r="E443" s="19" t="n"/>
      <c r="F443" s="19" t="n"/>
      <c r="G443" s="18" t="n"/>
      <c r="H443" s="18" t="n"/>
      <c r="I443" s="18" t="n"/>
      <c r="J443" s="20" t="n"/>
      <c r="K443" s="21" t="n"/>
      <c r="L443" s="21" t="n"/>
      <c r="M443" s="18" t="n"/>
      <c r="N443" s="22">
        <f>IF($B443="","",CHOOSE(WEEKDAY($B443),"الأحد","الاثنين","الثلاثاء","الأربعاء","الخميس","الجمعة","السبت"))</f>
        <v/>
      </c>
      <c r="O443" s="23">
        <f>IF(OR($K443="",$L443=""),"",HYPERLINK("https://maps.google.com/?q="&amp;$K443&amp;","&amp;$L443,"عرض الموقع"))</f>
        <v/>
      </c>
      <c r="P443" s="23">
        <f>IF(OR($B443="",N($J443)=0),"",HYPERLINK(PhotoDir&amp;"/"&amp;YEAR($B443)&amp;"-"&amp;TEXT(MONTH($B443),"00")&amp;"-"&amp;TEXT(DAY($B443),"00")&amp;"_"&amp;$D443,"فتح الصور ("&amp;$J443&amp;")"))</f>
        <v/>
      </c>
      <c r="Q443" s="24">
        <f>IF($B443="","",MONTH($B443))</f>
        <v/>
      </c>
      <c r="R443" s="24">
        <f>IF($B443="","",YEAR($B443))</f>
        <v/>
      </c>
      <c r="S443" s="25">
        <f>IF($B443="","",$B443-WEEKDAY($B443,3))</f>
        <v/>
      </c>
      <c r="T443" s="24">
        <f>IF($B443="",0,IF(COUNTIFS($B$5:$B443,$B443,$D$5:$D443,$D443)=1,1,0))</f>
        <v/>
      </c>
      <c r="U443" s="24">
        <f>IF($B443="",0,IF(COUNTIFS($B$5:$B443,$B443,$C$5:$C443,$C443)=1,1,0))</f>
        <v/>
      </c>
      <c r="V443" s="24">
        <f>IF(OR($B443="",$G443="",$G443="لا توجد مشاهدات"),0,1)</f>
        <v/>
      </c>
      <c r="W443" s="24">
        <f>IF(AND($B443&lt;&gt;"",$I443="تم تحرير مخالفة"),1,0)</f>
        <v/>
      </c>
      <c r="X443" s="24">
        <f>IF($B443="","",IF($S443=WkStart,COUNTIF($S$5:$S443,WkStart),""))</f>
        <v/>
      </c>
    </row>
    <row r="444">
      <c r="A444" s="16">
        <f>IF($B444="","",ROW()-4)</f>
        <v/>
      </c>
      <c r="B444" s="17" t="n"/>
      <c r="C444" s="18" t="n"/>
      <c r="D444" s="18" t="n"/>
      <c r="E444" s="19" t="n"/>
      <c r="F444" s="19" t="n"/>
      <c r="G444" s="18" t="n"/>
      <c r="H444" s="18" t="n"/>
      <c r="I444" s="18" t="n"/>
      <c r="J444" s="20" t="n"/>
      <c r="K444" s="21" t="n"/>
      <c r="L444" s="21" t="n"/>
      <c r="M444" s="18" t="n"/>
      <c r="N444" s="22">
        <f>IF($B444="","",CHOOSE(WEEKDAY($B444),"الأحد","الاثنين","الثلاثاء","الأربعاء","الخميس","الجمعة","السبت"))</f>
        <v/>
      </c>
      <c r="O444" s="23">
        <f>IF(OR($K444="",$L444=""),"",HYPERLINK("https://maps.google.com/?q="&amp;$K444&amp;","&amp;$L444,"عرض الموقع"))</f>
        <v/>
      </c>
      <c r="P444" s="23">
        <f>IF(OR($B444="",N($J444)=0),"",HYPERLINK(PhotoDir&amp;"/"&amp;YEAR($B444)&amp;"-"&amp;TEXT(MONTH($B444),"00")&amp;"-"&amp;TEXT(DAY($B444),"00")&amp;"_"&amp;$D444,"فتح الصور ("&amp;$J444&amp;")"))</f>
        <v/>
      </c>
      <c r="Q444" s="24">
        <f>IF($B444="","",MONTH($B444))</f>
        <v/>
      </c>
      <c r="R444" s="24">
        <f>IF($B444="","",YEAR($B444))</f>
        <v/>
      </c>
      <c r="S444" s="25">
        <f>IF($B444="","",$B444-WEEKDAY($B444,3))</f>
        <v/>
      </c>
      <c r="T444" s="24">
        <f>IF($B444="",0,IF(COUNTIFS($B$5:$B444,$B444,$D$5:$D444,$D444)=1,1,0))</f>
        <v/>
      </c>
      <c r="U444" s="24">
        <f>IF($B444="",0,IF(COUNTIFS($B$5:$B444,$B444,$C$5:$C444,$C444)=1,1,0))</f>
        <v/>
      </c>
      <c r="V444" s="24">
        <f>IF(OR($B444="",$G444="",$G444="لا توجد مشاهدات"),0,1)</f>
        <v/>
      </c>
      <c r="W444" s="24">
        <f>IF(AND($B444&lt;&gt;"",$I444="تم تحرير مخالفة"),1,0)</f>
        <v/>
      </c>
      <c r="X444" s="24">
        <f>IF($B444="","",IF($S444=WkStart,COUNTIF($S$5:$S444,WkStart),""))</f>
        <v/>
      </c>
    </row>
    <row r="445">
      <c r="A445" s="16">
        <f>IF($B445="","",ROW()-4)</f>
        <v/>
      </c>
      <c r="B445" s="17" t="n"/>
      <c r="C445" s="18" t="n"/>
      <c r="D445" s="18" t="n"/>
      <c r="E445" s="19" t="n"/>
      <c r="F445" s="19" t="n"/>
      <c r="G445" s="18" t="n"/>
      <c r="H445" s="18" t="n"/>
      <c r="I445" s="18" t="n"/>
      <c r="J445" s="20" t="n"/>
      <c r="K445" s="21" t="n"/>
      <c r="L445" s="21" t="n"/>
      <c r="M445" s="18" t="n"/>
      <c r="N445" s="22">
        <f>IF($B445="","",CHOOSE(WEEKDAY($B445),"الأحد","الاثنين","الثلاثاء","الأربعاء","الخميس","الجمعة","السبت"))</f>
        <v/>
      </c>
      <c r="O445" s="23">
        <f>IF(OR($K445="",$L445=""),"",HYPERLINK("https://maps.google.com/?q="&amp;$K445&amp;","&amp;$L445,"عرض الموقع"))</f>
        <v/>
      </c>
      <c r="P445" s="23">
        <f>IF(OR($B445="",N($J445)=0),"",HYPERLINK(PhotoDir&amp;"/"&amp;YEAR($B445)&amp;"-"&amp;TEXT(MONTH($B445),"00")&amp;"-"&amp;TEXT(DAY($B445),"00")&amp;"_"&amp;$D445,"فتح الصور ("&amp;$J445&amp;")"))</f>
        <v/>
      </c>
      <c r="Q445" s="24">
        <f>IF($B445="","",MONTH($B445))</f>
        <v/>
      </c>
      <c r="R445" s="24">
        <f>IF($B445="","",YEAR($B445))</f>
        <v/>
      </c>
      <c r="S445" s="25">
        <f>IF($B445="","",$B445-WEEKDAY($B445,3))</f>
        <v/>
      </c>
      <c r="T445" s="24">
        <f>IF($B445="",0,IF(COUNTIFS($B$5:$B445,$B445,$D$5:$D445,$D445)=1,1,0))</f>
        <v/>
      </c>
      <c r="U445" s="24">
        <f>IF($B445="",0,IF(COUNTIFS($B$5:$B445,$B445,$C$5:$C445,$C445)=1,1,0))</f>
        <v/>
      </c>
      <c r="V445" s="24">
        <f>IF(OR($B445="",$G445="",$G445="لا توجد مشاهدات"),0,1)</f>
        <v/>
      </c>
      <c r="W445" s="24">
        <f>IF(AND($B445&lt;&gt;"",$I445="تم تحرير مخالفة"),1,0)</f>
        <v/>
      </c>
      <c r="X445" s="24">
        <f>IF($B445="","",IF($S445=WkStart,COUNTIF($S$5:$S445,WkStart),""))</f>
        <v/>
      </c>
    </row>
    <row r="446">
      <c r="A446" s="16">
        <f>IF($B446="","",ROW()-4)</f>
        <v/>
      </c>
      <c r="B446" s="17" t="n"/>
      <c r="C446" s="18" t="n"/>
      <c r="D446" s="18" t="n"/>
      <c r="E446" s="19" t="n"/>
      <c r="F446" s="19" t="n"/>
      <c r="G446" s="18" t="n"/>
      <c r="H446" s="18" t="n"/>
      <c r="I446" s="18" t="n"/>
      <c r="J446" s="20" t="n"/>
      <c r="K446" s="21" t="n"/>
      <c r="L446" s="21" t="n"/>
      <c r="M446" s="18" t="n"/>
      <c r="N446" s="22">
        <f>IF($B446="","",CHOOSE(WEEKDAY($B446),"الأحد","الاثنين","الثلاثاء","الأربعاء","الخميس","الجمعة","السبت"))</f>
        <v/>
      </c>
      <c r="O446" s="23">
        <f>IF(OR($K446="",$L446=""),"",HYPERLINK("https://maps.google.com/?q="&amp;$K446&amp;","&amp;$L446,"عرض الموقع"))</f>
        <v/>
      </c>
      <c r="P446" s="23">
        <f>IF(OR($B446="",N($J446)=0),"",HYPERLINK(PhotoDir&amp;"/"&amp;YEAR($B446)&amp;"-"&amp;TEXT(MONTH($B446),"00")&amp;"-"&amp;TEXT(DAY($B446),"00")&amp;"_"&amp;$D446,"فتح الصور ("&amp;$J446&amp;")"))</f>
        <v/>
      </c>
      <c r="Q446" s="24">
        <f>IF($B446="","",MONTH($B446))</f>
        <v/>
      </c>
      <c r="R446" s="24">
        <f>IF($B446="","",YEAR($B446))</f>
        <v/>
      </c>
      <c r="S446" s="25">
        <f>IF($B446="","",$B446-WEEKDAY($B446,3))</f>
        <v/>
      </c>
      <c r="T446" s="24">
        <f>IF($B446="",0,IF(COUNTIFS($B$5:$B446,$B446,$D$5:$D446,$D446)=1,1,0))</f>
        <v/>
      </c>
      <c r="U446" s="24">
        <f>IF($B446="",0,IF(COUNTIFS($B$5:$B446,$B446,$C$5:$C446,$C446)=1,1,0))</f>
        <v/>
      </c>
      <c r="V446" s="24">
        <f>IF(OR($B446="",$G446="",$G446="لا توجد مشاهدات"),0,1)</f>
        <v/>
      </c>
      <c r="W446" s="24">
        <f>IF(AND($B446&lt;&gt;"",$I446="تم تحرير مخالفة"),1,0)</f>
        <v/>
      </c>
      <c r="X446" s="24">
        <f>IF($B446="","",IF($S446=WkStart,COUNTIF($S$5:$S446,WkStart),""))</f>
        <v/>
      </c>
    </row>
    <row r="447">
      <c r="A447" s="16">
        <f>IF($B447="","",ROW()-4)</f>
        <v/>
      </c>
      <c r="B447" s="17" t="n"/>
      <c r="C447" s="18" t="n"/>
      <c r="D447" s="18" t="n"/>
      <c r="E447" s="19" t="n"/>
      <c r="F447" s="19" t="n"/>
      <c r="G447" s="18" t="n"/>
      <c r="H447" s="18" t="n"/>
      <c r="I447" s="18" t="n"/>
      <c r="J447" s="20" t="n"/>
      <c r="K447" s="21" t="n"/>
      <c r="L447" s="21" t="n"/>
      <c r="M447" s="18" t="n"/>
      <c r="N447" s="22">
        <f>IF($B447="","",CHOOSE(WEEKDAY($B447),"الأحد","الاثنين","الثلاثاء","الأربعاء","الخميس","الجمعة","السبت"))</f>
        <v/>
      </c>
      <c r="O447" s="23">
        <f>IF(OR($K447="",$L447=""),"",HYPERLINK("https://maps.google.com/?q="&amp;$K447&amp;","&amp;$L447,"عرض الموقع"))</f>
        <v/>
      </c>
      <c r="P447" s="23">
        <f>IF(OR($B447="",N($J447)=0),"",HYPERLINK(PhotoDir&amp;"/"&amp;YEAR($B447)&amp;"-"&amp;TEXT(MONTH($B447),"00")&amp;"-"&amp;TEXT(DAY($B447),"00")&amp;"_"&amp;$D447,"فتح الصور ("&amp;$J447&amp;")"))</f>
        <v/>
      </c>
      <c r="Q447" s="24">
        <f>IF($B447="","",MONTH($B447))</f>
        <v/>
      </c>
      <c r="R447" s="24">
        <f>IF($B447="","",YEAR($B447))</f>
        <v/>
      </c>
      <c r="S447" s="25">
        <f>IF($B447="","",$B447-WEEKDAY($B447,3))</f>
        <v/>
      </c>
      <c r="T447" s="24">
        <f>IF($B447="",0,IF(COUNTIFS($B$5:$B447,$B447,$D$5:$D447,$D447)=1,1,0))</f>
        <v/>
      </c>
      <c r="U447" s="24">
        <f>IF($B447="",0,IF(COUNTIFS($B$5:$B447,$B447,$C$5:$C447,$C447)=1,1,0))</f>
        <v/>
      </c>
      <c r="V447" s="24">
        <f>IF(OR($B447="",$G447="",$G447="لا توجد مشاهدات"),0,1)</f>
        <v/>
      </c>
      <c r="W447" s="24">
        <f>IF(AND($B447&lt;&gt;"",$I447="تم تحرير مخالفة"),1,0)</f>
        <v/>
      </c>
      <c r="X447" s="24">
        <f>IF($B447="","",IF($S447=WkStart,COUNTIF($S$5:$S447,WkStart),""))</f>
        <v/>
      </c>
    </row>
    <row r="448">
      <c r="A448" s="16">
        <f>IF($B448="","",ROW()-4)</f>
        <v/>
      </c>
      <c r="B448" s="17" t="n"/>
      <c r="C448" s="18" t="n"/>
      <c r="D448" s="18" t="n"/>
      <c r="E448" s="19" t="n"/>
      <c r="F448" s="19" t="n"/>
      <c r="G448" s="18" t="n"/>
      <c r="H448" s="18" t="n"/>
      <c r="I448" s="18" t="n"/>
      <c r="J448" s="20" t="n"/>
      <c r="K448" s="21" t="n"/>
      <c r="L448" s="21" t="n"/>
      <c r="M448" s="18" t="n"/>
      <c r="N448" s="22">
        <f>IF($B448="","",CHOOSE(WEEKDAY($B448),"الأحد","الاثنين","الثلاثاء","الأربعاء","الخميس","الجمعة","السبت"))</f>
        <v/>
      </c>
      <c r="O448" s="23">
        <f>IF(OR($K448="",$L448=""),"",HYPERLINK("https://maps.google.com/?q="&amp;$K448&amp;","&amp;$L448,"عرض الموقع"))</f>
        <v/>
      </c>
      <c r="P448" s="23">
        <f>IF(OR($B448="",N($J448)=0),"",HYPERLINK(PhotoDir&amp;"/"&amp;YEAR($B448)&amp;"-"&amp;TEXT(MONTH($B448),"00")&amp;"-"&amp;TEXT(DAY($B448),"00")&amp;"_"&amp;$D448,"فتح الصور ("&amp;$J448&amp;")"))</f>
        <v/>
      </c>
      <c r="Q448" s="24">
        <f>IF($B448="","",MONTH($B448))</f>
        <v/>
      </c>
      <c r="R448" s="24">
        <f>IF($B448="","",YEAR($B448))</f>
        <v/>
      </c>
      <c r="S448" s="25">
        <f>IF($B448="","",$B448-WEEKDAY($B448,3))</f>
        <v/>
      </c>
      <c r="T448" s="24">
        <f>IF($B448="",0,IF(COUNTIFS($B$5:$B448,$B448,$D$5:$D448,$D448)=1,1,0))</f>
        <v/>
      </c>
      <c r="U448" s="24">
        <f>IF($B448="",0,IF(COUNTIFS($B$5:$B448,$B448,$C$5:$C448,$C448)=1,1,0))</f>
        <v/>
      </c>
      <c r="V448" s="24">
        <f>IF(OR($B448="",$G448="",$G448="لا توجد مشاهدات"),0,1)</f>
        <v/>
      </c>
      <c r="W448" s="24">
        <f>IF(AND($B448&lt;&gt;"",$I448="تم تحرير مخالفة"),1,0)</f>
        <v/>
      </c>
      <c r="X448" s="24">
        <f>IF($B448="","",IF($S448=WkStart,COUNTIF($S$5:$S448,WkStart),""))</f>
        <v/>
      </c>
    </row>
    <row r="449">
      <c r="A449" s="16">
        <f>IF($B449="","",ROW()-4)</f>
        <v/>
      </c>
      <c r="B449" s="17" t="n"/>
      <c r="C449" s="18" t="n"/>
      <c r="D449" s="18" t="n"/>
      <c r="E449" s="19" t="n"/>
      <c r="F449" s="19" t="n"/>
      <c r="G449" s="18" t="n"/>
      <c r="H449" s="18" t="n"/>
      <c r="I449" s="18" t="n"/>
      <c r="J449" s="20" t="n"/>
      <c r="K449" s="21" t="n"/>
      <c r="L449" s="21" t="n"/>
      <c r="M449" s="18" t="n"/>
      <c r="N449" s="22">
        <f>IF($B449="","",CHOOSE(WEEKDAY($B449),"الأحد","الاثنين","الثلاثاء","الأربعاء","الخميس","الجمعة","السبت"))</f>
        <v/>
      </c>
      <c r="O449" s="23">
        <f>IF(OR($K449="",$L449=""),"",HYPERLINK("https://maps.google.com/?q="&amp;$K449&amp;","&amp;$L449,"عرض الموقع"))</f>
        <v/>
      </c>
      <c r="P449" s="23">
        <f>IF(OR($B449="",N($J449)=0),"",HYPERLINK(PhotoDir&amp;"/"&amp;YEAR($B449)&amp;"-"&amp;TEXT(MONTH($B449),"00")&amp;"-"&amp;TEXT(DAY($B449),"00")&amp;"_"&amp;$D449,"فتح الصور ("&amp;$J449&amp;")"))</f>
        <v/>
      </c>
      <c r="Q449" s="24">
        <f>IF($B449="","",MONTH($B449))</f>
        <v/>
      </c>
      <c r="R449" s="24">
        <f>IF($B449="","",YEAR($B449))</f>
        <v/>
      </c>
      <c r="S449" s="25">
        <f>IF($B449="","",$B449-WEEKDAY($B449,3))</f>
        <v/>
      </c>
      <c r="T449" s="24">
        <f>IF($B449="",0,IF(COUNTIFS($B$5:$B449,$B449,$D$5:$D449,$D449)=1,1,0))</f>
        <v/>
      </c>
      <c r="U449" s="24">
        <f>IF($B449="",0,IF(COUNTIFS($B$5:$B449,$B449,$C$5:$C449,$C449)=1,1,0))</f>
        <v/>
      </c>
      <c r="V449" s="24">
        <f>IF(OR($B449="",$G449="",$G449="لا توجد مشاهدات"),0,1)</f>
        <v/>
      </c>
      <c r="W449" s="24">
        <f>IF(AND($B449&lt;&gt;"",$I449="تم تحرير مخالفة"),1,0)</f>
        <v/>
      </c>
      <c r="X449" s="24">
        <f>IF($B449="","",IF($S449=WkStart,COUNTIF($S$5:$S449,WkStart),""))</f>
        <v/>
      </c>
    </row>
    <row r="450">
      <c r="A450" s="16">
        <f>IF($B450="","",ROW()-4)</f>
        <v/>
      </c>
      <c r="B450" s="17" t="n"/>
      <c r="C450" s="18" t="n"/>
      <c r="D450" s="18" t="n"/>
      <c r="E450" s="19" t="n"/>
      <c r="F450" s="19" t="n"/>
      <c r="G450" s="18" t="n"/>
      <c r="H450" s="18" t="n"/>
      <c r="I450" s="18" t="n"/>
      <c r="J450" s="20" t="n"/>
      <c r="K450" s="21" t="n"/>
      <c r="L450" s="21" t="n"/>
      <c r="M450" s="18" t="n"/>
      <c r="N450" s="22">
        <f>IF($B450="","",CHOOSE(WEEKDAY($B450),"الأحد","الاثنين","الثلاثاء","الأربعاء","الخميس","الجمعة","السبت"))</f>
        <v/>
      </c>
      <c r="O450" s="23">
        <f>IF(OR($K450="",$L450=""),"",HYPERLINK("https://maps.google.com/?q="&amp;$K450&amp;","&amp;$L450,"عرض الموقع"))</f>
        <v/>
      </c>
      <c r="P450" s="23">
        <f>IF(OR($B450="",N($J450)=0),"",HYPERLINK(PhotoDir&amp;"/"&amp;YEAR($B450)&amp;"-"&amp;TEXT(MONTH($B450),"00")&amp;"-"&amp;TEXT(DAY($B450),"00")&amp;"_"&amp;$D450,"فتح الصور ("&amp;$J450&amp;")"))</f>
        <v/>
      </c>
      <c r="Q450" s="24">
        <f>IF($B450="","",MONTH($B450))</f>
        <v/>
      </c>
      <c r="R450" s="24">
        <f>IF($B450="","",YEAR($B450))</f>
        <v/>
      </c>
      <c r="S450" s="25">
        <f>IF($B450="","",$B450-WEEKDAY($B450,3))</f>
        <v/>
      </c>
      <c r="T450" s="24">
        <f>IF($B450="",0,IF(COUNTIFS($B$5:$B450,$B450,$D$5:$D450,$D450)=1,1,0))</f>
        <v/>
      </c>
      <c r="U450" s="24">
        <f>IF($B450="",0,IF(COUNTIFS($B$5:$B450,$B450,$C$5:$C450,$C450)=1,1,0))</f>
        <v/>
      </c>
      <c r="V450" s="24">
        <f>IF(OR($B450="",$G450="",$G450="لا توجد مشاهدات"),0,1)</f>
        <v/>
      </c>
      <c r="W450" s="24">
        <f>IF(AND($B450&lt;&gt;"",$I450="تم تحرير مخالفة"),1,0)</f>
        <v/>
      </c>
      <c r="X450" s="24">
        <f>IF($B450="","",IF($S450=WkStart,COUNTIF($S$5:$S450,WkStart),""))</f>
        <v/>
      </c>
    </row>
    <row r="451">
      <c r="A451" s="16">
        <f>IF($B451="","",ROW()-4)</f>
        <v/>
      </c>
      <c r="B451" s="17" t="n"/>
      <c r="C451" s="18" t="n"/>
      <c r="D451" s="18" t="n"/>
      <c r="E451" s="19" t="n"/>
      <c r="F451" s="19" t="n"/>
      <c r="G451" s="18" t="n"/>
      <c r="H451" s="18" t="n"/>
      <c r="I451" s="18" t="n"/>
      <c r="J451" s="20" t="n"/>
      <c r="K451" s="21" t="n"/>
      <c r="L451" s="21" t="n"/>
      <c r="M451" s="18" t="n"/>
      <c r="N451" s="22">
        <f>IF($B451="","",CHOOSE(WEEKDAY($B451),"الأحد","الاثنين","الثلاثاء","الأربعاء","الخميس","الجمعة","السبت"))</f>
        <v/>
      </c>
      <c r="O451" s="23">
        <f>IF(OR($K451="",$L451=""),"",HYPERLINK("https://maps.google.com/?q="&amp;$K451&amp;","&amp;$L451,"عرض الموقع"))</f>
        <v/>
      </c>
      <c r="P451" s="23">
        <f>IF(OR($B451="",N($J451)=0),"",HYPERLINK(PhotoDir&amp;"/"&amp;YEAR($B451)&amp;"-"&amp;TEXT(MONTH($B451),"00")&amp;"-"&amp;TEXT(DAY($B451),"00")&amp;"_"&amp;$D451,"فتح الصور ("&amp;$J451&amp;")"))</f>
        <v/>
      </c>
      <c r="Q451" s="24">
        <f>IF($B451="","",MONTH($B451))</f>
        <v/>
      </c>
      <c r="R451" s="24">
        <f>IF($B451="","",YEAR($B451))</f>
        <v/>
      </c>
      <c r="S451" s="25">
        <f>IF($B451="","",$B451-WEEKDAY($B451,3))</f>
        <v/>
      </c>
      <c r="T451" s="24">
        <f>IF($B451="",0,IF(COUNTIFS($B$5:$B451,$B451,$D$5:$D451,$D451)=1,1,0))</f>
        <v/>
      </c>
      <c r="U451" s="24">
        <f>IF($B451="",0,IF(COUNTIFS($B$5:$B451,$B451,$C$5:$C451,$C451)=1,1,0))</f>
        <v/>
      </c>
      <c r="V451" s="24">
        <f>IF(OR($B451="",$G451="",$G451="لا توجد مشاهدات"),0,1)</f>
        <v/>
      </c>
      <c r="W451" s="24">
        <f>IF(AND($B451&lt;&gt;"",$I451="تم تحرير مخالفة"),1,0)</f>
        <v/>
      </c>
      <c r="X451" s="24">
        <f>IF($B451="","",IF($S451=WkStart,COUNTIF($S$5:$S451,WkStart),""))</f>
        <v/>
      </c>
    </row>
    <row r="452">
      <c r="A452" s="16">
        <f>IF($B452="","",ROW()-4)</f>
        <v/>
      </c>
      <c r="B452" s="17" t="n"/>
      <c r="C452" s="18" t="n"/>
      <c r="D452" s="18" t="n"/>
      <c r="E452" s="19" t="n"/>
      <c r="F452" s="19" t="n"/>
      <c r="G452" s="18" t="n"/>
      <c r="H452" s="18" t="n"/>
      <c r="I452" s="18" t="n"/>
      <c r="J452" s="20" t="n"/>
      <c r="K452" s="21" t="n"/>
      <c r="L452" s="21" t="n"/>
      <c r="M452" s="18" t="n"/>
      <c r="N452" s="22">
        <f>IF($B452="","",CHOOSE(WEEKDAY($B452),"الأحد","الاثنين","الثلاثاء","الأربعاء","الخميس","الجمعة","السبت"))</f>
        <v/>
      </c>
      <c r="O452" s="23">
        <f>IF(OR($K452="",$L452=""),"",HYPERLINK("https://maps.google.com/?q="&amp;$K452&amp;","&amp;$L452,"عرض الموقع"))</f>
        <v/>
      </c>
      <c r="P452" s="23">
        <f>IF(OR($B452="",N($J452)=0),"",HYPERLINK(PhotoDir&amp;"/"&amp;YEAR($B452)&amp;"-"&amp;TEXT(MONTH($B452),"00")&amp;"-"&amp;TEXT(DAY($B452),"00")&amp;"_"&amp;$D452,"فتح الصور ("&amp;$J452&amp;")"))</f>
        <v/>
      </c>
      <c r="Q452" s="24">
        <f>IF($B452="","",MONTH($B452))</f>
        <v/>
      </c>
      <c r="R452" s="24">
        <f>IF($B452="","",YEAR($B452))</f>
        <v/>
      </c>
      <c r="S452" s="25">
        <f>IF($B452="","",$B452-WEEKDAY($B452,3))</f>
        <v/>
      </c>
      <c r="T452" s="24">
        <f>IF($B452="",0,IF(COUNTIFS($B$5:$B452,$B452,$D$5:$D452,$D452)=1,1,0))</f>
        <v/>
      </c>
      <c r="U452" s="24">
        <f>IF($B452="",0,IF(COUNTIFS($B$5:$B452,$B452,$C$5:$C452,$C452)=1,1,0))</f>
        <v/>
      </c>
      <c r="V452" s="24">
        <f>IF(OR($B452="",$G452="",$G452="لا توجد مشاهدات"),0,1)</f>
        <v/>
      </c>
      <c r="W452" s="24">
        <f>IF(AND($B452&lt;&gt;"",$I452="تم تحرير مخالفة"),1,0)</f>
        <v/>
      </c>
      <c r="X452" s="24">
        <f>IF($B452="","",IF($S452=WkStart,COUNTIF($S$5:$S452,WkStart),""))</f>
        <v/>
      </c>
    </row>
    <row r="453">
      <c r="A453" s="16">
        <f>IF($B453="","",ROW()-4)</f>
        <v/>
      </c>
      <c r="B453" s="17" t="n"/>
      <c r="C453" s="18" t="n"/>
      <c r="D453" s="18" t="n"/>
      <c r="E453" s="19" t="n"/>
      <c r="F453" s="19" t="n"/>
      <c r="G453" s="18" t="n"/>
      <c r="H453" s="18" t="n"/>
      <c r="I453" s="18" t="n"/>
      <c r="J453" s="20" t="n"/>
      <c r="K453" s="21" t="n"/>
      <c r="L453" s="21" t="n"/>
      <c r="M453" s="18" t="n"/>
      <c r="N453" s="22">
        <f>IF($B453="","",CHOOSE(WEEKDAY($B453),"الأحد","الاثنين","الثلاثاء","الأربعاء","الخميس","الجمعة","السبت"))</f>
        <v/>
      </c>
      <c r="O453" s="23">
        <f>IF(OR($K453="",$L453=""),"",HYPERLINK("https://maps.google.com/?q="&amp;$K453&amp;","&amp;$L453,"عرض الموقع"))</f>
        <v/>
      </c>
      <c r="P453" s="23">
        <f>IF(OR($B453="",N($J453)=0),"",HYPERLINK(PhotoDir&amp;"/"&amp;YEAR($B453)&amp;"-"&amp;TEXT(MONTH($B453),"00")&amp;"-"&amp;TEXT(DAY($B453),"00")&amp;"_"&amp;$D453,"فتح الصور ("&amp;$J453&amp;")"))</f>
        <v/>
      </c>
      <c r="Q453" s="24">
        <f>IF($B453="","",MONTH($B453))</f>
        <v/>
      </c>
      <c r="R453" s="24">
        <f>IF($B453="","",YEAR($B453))</f>
        <v/>
      </c>
      <c r="S453" s="25">
        <f>IF($B453="","",$B453-WEEKDAY($B453,3))</f>
        <v/>
      </c>
      <c r="T453" s="24">
        <f>IF($B453="",0,IF(COUNTIFS($B$5:$B453,$B453,$D$5:$D453,$D453)=1,1,0))</f>
        <v/>
      </c>
      <c r="U453" s="24">
        <f>IF($B453="",0,IF(COUNTIFS($B$5:$B453,$B453,$C$5:$C453,$C453)=1,1,0))</f>
        <v/>
      </c>
      <c r="V453" s="24">
        <f>IF(OR($B453="",$G453="",$G453="لا توجد مشاهدات"),0,1)</f>
        <v/>
      </c>
      <c r="W453" s="24">
        <f>IF(AND($B453&lt;&gt;"",$I453="تم تحرير مخالفة"),1,0)</f>
        <v/>
      </c>
      <c r="X453" s="24">
        <f>IF($B453="","",IF($S453=WkStart,COUNTIF($S$5:$S453,WkStart),""))</f>
        <v/>
      </c>
    </row>
    <row r="454">
      <c r="A454" s="16">
        <f>IF($B454="","",ROW()-4)</f>
        <v/>
      </c>
      <c r="B454" s="17" t="n"/>
      <c r="C454" s="18" t="n"/>
      <c r="D454" s="18" t="n"/>
      <c r="E454" s="19" t="n"/>
      <c r="F454" s="19" t="n"/>
      <c r="G454" s="18" t="n"/>
      <c r="H454" s="18" t="n"/>
      <c r="I454" s="18" t="n"/>
      <c r="J454" s="20" t="n"/>
      <c r="K454" s="21" t="n"/>
      <c r="L454" s="21" t="n"/>
      <c r="M454" s="18" t="n"/>
      <c r="N454" s="22">
        <f>IF($B454="","",CHOOSE(WEEKDAY($B454),"الأحد","الاثنين","الثلاثاء","الأربعاء","الخميس","الجمعة","السبت"))</f>
        <v/>
      </c>
      <c r="O454" s="23">
        <f>IF(OR($K454="",$L454=""),"",HYPERLINK("https://maps.google.com/?q="&amp;$K454&amp;","&amp;$L454,"عرض الموقع"))</f>
        <v/>
      </c>
      <c r="P454" s="23">
        <f>IF(OR($B454="",N($J454)=0),"",HYPERLINK(PhotoDir&amp;"/"&amp;YEAR($B454)&amp;"-"&amp;TEXT(MONTH($B454),"00")&amp;"-"&amp;TEXT(DAY($B454),"00")&amp;"_"&amp;$D454,"فتح الصور ("&amp;$J454&amp;")"))</f>
        <v/>
      </c>
      <c r="Q454" s="24">
        <f>IF($B454="","",MONTH($B454))</f>
        <v/>
      </c>
      <c r="R454" s="24">
        <f>IF($B454="","",YEAR($B454))</f>
        <v/>
      </c>
      <c r="S454" s="25">
        <f>IF($B454="","",$B454-WEEKDAY($B454,3))</f>
        <v/>
      </c>
      <c r="T454" s="24">
        <f>IF($B454="",0,IF(COUNTIFS($B$5:$B454,$B454,$D$5:$D454,$D454)=1,1,0))</f>
        <v/>
      </c>
      <c r="U454" s="24">
        <f>IF($B454="",0,IF(COUNTIFS($B$5:$B454,$B454,$C$5:$C454,$C454)=1,1,0))</f>
        <v/>
      </c>
      <c r="V454" s="24">
        <f>IF(OR($B454="",$G454="",$G454="لا توجد مشاهدات"),0,1)</f>
        <v/>
      </c>
      <c r="W454" s="24">
        <f>IF(AND($B454&lt;&gt;"",$I454="تم تحرير مخالفة"),1,0)</f>
        <v/>
      </c>
      <c r="X454" s="24">
        <f>IF($B454="","",IF($S454=WkStart,COUNTIF($S$5:$S454,WkStart),""))</f>
        <v/>
      </c>
    </row>
    <row r="455">
      <c r="A455" s="16">
        <f>IF($B455="","",ROW()-4)</f>
        <v/>
      </c>
      <c r="B455" s="17" t="n"/>
      <c r="C455" s="18" t="n"/>
      <c r="D455" s="18" t="n"/>
      <c r="E455" s="19" t="n"/>
      <c r="F455" s="19" t="n"/>
      <c r="G455" s="18" t="n"/>
      <c r="H455" s="18" t="n"/>
      <c r="I455" s="18" t="n"/>
      <c r="J455" s="20" t="n"/>
      <c r="K455" s="21" t="n"/>
      <c r="L455" s="21" t="n"/>
      <c r="M455" s="18" t="n"/>
      <c r="N455" s="22">
        <f>IF($B455="","",CHOOSE(WEEKDAY($B455),"الأحد","الاثنين","الثلاثاء","الأربعاء","الخميس","الجمعة","السبت"))</f>
        <v/>
      </c>
      <c r="O455" s="23">
        <f>IF(OR($K455="",$L455=""),"",HYPERLINK("https://maps.google.com/?q="&amp;$K455&amp;","&amp;$L455,"عرض الموقع"))</f>
        <v/>
      </c>
      <c r="P455" s="23">
        <f>IF(OR($B455="",N($J455)=0),"",HYPERLINK(PhotoDir&amp;"/"&amp;YEAR($B455)&amp;"-"&amp;TEXT(MONTH($B455),"00")&amp;"-"&amp;TEXT(DAY($B455),"00")&amp;"_"&amp;$D455,"فتح الصور ("&amp;$J455&amp;")"))</f>
        <v/>
      </c>
      <c r="Q455" s="24">
        <f>IF($B455="","",MONTH($B455))</f>
        <v/>
      </c>
      <c r="R455" s="24">
        <f>IF($B455="","",YEAR($B455))</f>
        <v/>
      </c>
      <c r="S455" s="25">
        <f>IF($B455="","",$B455-WEEKDAY($B455,3))</f>
        <v/>
      </c>
      <c r="T455" s="24">
        <f>IF($B455="",0,IF(COUNTIFS($B$5:$B455,$B455,$D$5:$D455,$D455)=1,1,0))</f>
        <v/>
      </c>
      <c r="U455" s="24">
        <f>IF($B455="",0,IF(COUNTIFS($B$5:$B455,$B455,$C$5:$C455,$C455)=1,1,0))</f>
        <v/>
      </c>
      <c r="V455" s="24">
        <f>IF(OR($B455="",$G455="",$G455="لا توجد مشاهدات"),0,1)</f>
        <v/>
      </c>
      <c r="W455" s="24">
        <f>IF(AND($B455&lt;&gt;"",$I455="تم تحرير مخالفة"),1,0)</f>
        <v/>
      </c>
      <c r="X455" s="24">
        <f>IF($B455="","",IF($S455=WkStart,COUNTIF($S$5:$S455,WkStart),""))</f>
        <v/>
      </c>
    </row>
    <row r="456">
      <c r="A456" s="16">
        <f>IF($B456="","",ROW()-4)</f>
        <v/>
      </c>
      <c r="B456" s="17" t="n"/>
      <c r="C456" s="18" t="n"/>
      <c r="D456" s="18" t="n"/>
      <c r="E456" s="19" t="n"/>
      <c r="F456" s="19" t="n"/>
      <c r="G456" s="18" t="n"/>
      <c r="H456" s="18" t="n"/>
      <c r="I456" s="18" t="n"/>
      <c r="J456" s="20" t="n"/>
      <c r="K456" s="21" t="n"/>
      <c r="L456" s="21" t="n"/>
      <c r="M456" s="18" t="n"/>
      <c r="N456" s="22">
        <f>IF($B456="","",CHOOSE(WEEKDAY($B456),"الأحد","الاثنين","الثلاثاء","الأربعاء","الخميس","الجمعة","السبت"))</f>
        <v/>
      </c>
      <c r="O456" s="23">
        <f>IF(OR($K456="",$L456=""),"",HYPERLINK("https://maps.google.com/?q="&amp;$K456&amp;","&amp;$L456,"عرض الموقع"))</f>
        <v/>
      </c>
      <c r="P456" s="23">
        <f>IF(OR($B456="",N($J456)=0),"",HYPERLINK(PhotoDir&amp;"/"&amp;YEAR($B456)&amp;"-"&amp;TEXT(MONTH($B456),"00")&amp;"-"&amp;TEXT(DAY($B456),"00")&amp;"_"&amp;$D456,"فتح الصور ("&amp;$J456&amp;")"))</f>
        <v/>
      </c>
      <c r="Q456" s="24">
        <f>IF($B456="","",MONTH($B456))</f>
        <v/>
      </c>
      <c r="R456" s="24">
        <f>IF($B456="","",YEAR($B456))</f>
        <v/>
      </c>
      <c r="S456" s="25">
        <f>IF($B456="","",$B456-WEEKDAY($B456,3))</f>
        <v/>
      </c>
      <c r="T456" s="24">
        <f>IF($B456="",0,IF(COUNTIFS($B$5:$B456,$B456,$D$5:$D456,$D456)=1,1,0))</f>
        <v/>
      </c>
      <c r="U456" s="24">
        <f>IF($B456="",0,IF(COUNTIFS($B$5:$B456,$B456,$C$5:$C456,$C456)=1,1,0))</f>
        <v/>
      </c>
      <c r="V456" s="24">
        <f>IF(OR($B456="",$G456="",$G456="لا توجد مشاهدات"),0,1)</f>
        <v/>
      </c>
      <c r="W456" s="24">
        <f>IF(AND($B456&lt;&gt;"",$I456="تم تحرير مخالفة"),1,0)</f>
        <v/>
      </c>
      <c r="X456" s="24">
        <f>IF($B456="","",IF($S456=WkStart,COUNTIF($S$5:$S456,WkStart),""))</f>
        <v/>
      </c>
    </row>
    <row r="457">
      <c r="A457" s="16">
        <f>IF($B457="","",ROW()-4)</f>
        <v/>
      </c>
      <c r="B457" s="17" t="n"/>
      <c r="C457" s="18" t="n"/>
      <c r="D457" s="18" t="n"/>
      <c r="E457" s="19" t="n"/>
      <c r="F457" s="19" t="n"/>
      <c r="G457" s="18" t="n"/>
      <c r="H457" s="18" t="n"/>
      <c r="I457" s="18" t="n"/>
      <c r="J457" s="20" t="n"/>
      <c r="K457" s="21" t="n"/>
      <c r="L457" s="21" t="n"/>
      <c r="M457" s="18" t="n"/>
      <c r="N457" s="22">
        <f>IF($B457="","",CHOOSE(WEEKDAY($B457),"الأحد","الاثنين","الثلاثاء","الأربعاء","الخميس","الجمعة","السبت"))</f>
        <v/>
      </c>
      <c r="O457" s="23">
        <f>IF(OR($K457="",$L457=""),"",HYPERLINK("https://maps.google.com/?q="&amp;$K457&amp;","&amp;$L457,"عرض الموقع"))</f>
        <v/>
      </c>
      <c r="P457" s="23">
        <f>IF(OR($B457="",N($J457)=0),"",HYPERLINK(PhotoDir&amp;"/"&amp;YEAR($B457)&amp;"-"&amp;TEXT(MONTH($B457),"00")&amp;"-"&amp;TEXT(DAY($B457),"00")&amp;"_"&amp;$D457,"فتح الصور ("&amp;$J457&amp;")"))</f>
        <v/>
      </c>
      <c r="Q457" s="24">
        <f>IF($B457="","",MONTH($B457))</f>
        <v/>
      </c>
      <c r="R457" s="24">
        <f>IF($B457="","",YEAR($B457))</f>
        <v/>
      </c>
      <c r="S457" s="25">
        <f>IF($B457="","",$B457-WEEKDAY($B457,3))</f>
        <v/>
      </c>
      <c r="T457" s="24">
        <f>IF($B457="",0,IF(COUNTIFS($B$5:$B457,$B457,$D$5:$D457,$D457)=1,1,0))</f>
        <v/>
      </c>
      <c r="U457" s="24">
        <f>IF($B457="",0,IF(COUNTIFS($B$5:$B457,$B457,$C$5:$C457,$C457)=1,1,0))</f>
        <v/>
      </c>
      <c r="V457" s="24">
        <f>IF(OR($B457="",$G457="",$G457="لا توجد مشاهدات"),0,1)</f>
        <v/>
      </c>
      <c r="W457" s="24">
        <f>IF(AND($B457&lt;&gt;"",$I457="تم تحرير مخالفة"),1,0)</f>
        <v/>
      </c>
      <c r="X457" s="24">
        <f>IF($B457="","",IF($S457=WkStart,COUNTIF($S$5:$S457,WkStart),""))</f>
        <v/>
      </c>
    </row>
    <row r="458">
      <c r="A458" s="16">
        <f>IF($B458="","",ROW()-4)</f>
        <v/>
      </c>
      <c r="B458" s="17" t="n"/>
      <c r="C458" s="18" t="n"/>
      <c r="D458" s="18" t="n"/>
      <c r="E458" s="19" t="n"/>
      <c r="F458" s="19" t="n"/>
      <c r="G458" s="18" t="n"/>
      <c r="H458" s="18" t="n"/>
      <c r="I458" s="18" t="n"/>
      <c r="J458" s="20" t="n"/>
      <c r="K458" s="21" t="n"/>
      <c r="L458" s="21" t="n"/>
      <c r="M458" s="18" t="n"/>
      <c r="N458" s="22">
        <f>IF($B458="","",CHOOSE(WEEKDAY($B458),"الأحد","الاثنين","الثلاثاء","الأربعاء","الخميس","الجمعة","السبت"))</f>
        <v/>
      </c>
      <c r="O458" s="23">
        <f>IF(OR($K458="",$L458=""),"",HYPERLINK("https://maps.google.com/?q="&amp;$K458&amp;","&amp;$L458,"عرض الموقع"))</f>
        <v/>
      </c>
      <c r="P458" s="23">
        <f>IF(OR($B458="",N($J458)=0),"",HYPERLINK(PhotoDir&amp;"/"&amp;YEAR($B458)&amp;"-"&amp;TEXT(MONTH($B458),"00")&amp;"-"&amp;TEXT(DAY($B458),"00")&amp;"_"&amp;$D458,"فتح الصور ("&amp;$J458&amp;")"))</f>
        <v/>
      </c>
      <c r="Q458" s="24">
        <f>IF($B458="","",MONTH($B458))</f>
        <v/>
      </c>
      <c r="R458" s="24">
        <f>IF($B458="","",YEAR($B458))</f>
        <v/>
      </c>
      <c r="S458" s="25">
        <f>IF($B458="","",$B458-WEEKDAY($B458,3))</f>
        <v/>
      </c>
      <c r="T458" s="24">
        <f>IF($B458="",0,IF(COUNTIFS($B$5:$B458,$B458,$D$5:$D458,$D458)=1,1,0))</f>
        <v/>
      </c>
      <c r="U458" s="24">
        <f>IF($B458="",0,IF(COUNTIFS($B$5:$B458,$B458,$C$5:$C458,$C458)=1,1,0))</f>
        <v/>
      </c>
      <c r="V458" s="24">
        <f>IF(OR($B458="",$G458="",$G458="لا توجد مشاهدات"),0,1)</f>
        <v/>
      </c>
      <c r="W458" s="24">
        <f>IF(AND($B458&lt;&gt;"",$I458="تم تحرير مخالفة"),1,0)</f>
        <v/>
      </c>
      <c r="X458" s="24">
        <f>IF($B458="","",IF($S458=WkStart,COUNTIF($S$5:$S458,WkStart),""))</f>
        <v/>
      </c>
    </row>
    <row r="459">
      <c r="A459" s="16">
        <f>IF($B459="","",ROW()-4)</f>
        <v/>
      </c>
      <c r="B459" s="17" t="n"/>
      <c r="C459" s="18" t="n"/>
      <c r="D459" s="18" t="n"/>
      <c r="E459" s="19" t="n"/>
      <c r="F459" s="19" t="n"/>
      <c r="G459" s="18" t="n"/>
      <c r="H459" s="18" t="n"/>
      <c r="I459" s="18" t="n"/>
      <c r="J459" s="20" t="n"/>
      <c r="K459" s="21" t="n"/>
      <c r="L459" s="21" t="n"/>
      <c r="M459" s="18" t="n"/>
      <c r="N459" s="22">
        <f>IF($B459="","",CHOOSE(WEEKDAY($B459),"الأحد","الاثنين","الثلاثاء","الأربعاء","الخميس","الجمعة","السبت"))</f>
        <v/>
      </c>
      <c r="O459" s="23">
        <f>IF(OR($K459="",$L459=""),"",HYPERLINK("https://maps.google.com/?q="&amp;$K459&amp;","&amp;$L459,"عرض الموقع"))</f>
        <v/>
      </c>
      <c r="P459" s="23">
        <f>IF(OR($B459="",N($J459)=0),"",HYPERLINK(PhotoDir&amp;"/"&amp;YEAR($B459)&amp;"-"&amp;TEXT(MONTH($B459),"00")&amp;"-"&amp;TEXT(DAY($B459),"00")&amp;"_"&amp;$D459,"فتح الصور ("&amp;$J459&amp;")"))</f>
        <v/>
      </c>
      <c r="Q459" s="24">
        <f>IF($B459="","",MONTH($B459))</f>
        <v/>
      </c>
      <c r="R459" s="24">
        <f>IF($B459="","",YEAR($B459))</f>
        <v/>
      </c>
      <c r="S459" s="25">
        <f>IF($B459="","",$B459-WEEKDAY($B459,3))</f>
        <v/>
      </c>
      <c r="T459" s="24">
        <f>IF($B459="",0,IF(COUNTIFS($B$5:$B459,$B459,$D$5:$D459,$D459)=1,1,0))</f>
        <v/>
      </c>
      <c r="U459" s="24">
        <f>IF($B459="",0,IF(COUNTIFS($B$5:$B459,$B459,$C$5:$C459,$C459)=1,1,0))</f>
        <v/>
      </c>
      <c r="V459" s="24">
        <f>IF(OR($B459="",$G459="",$G459="لا توجد مشاهدات"),0,1)</f>
        <v/>
      </c>
      <c r="W459" s="24">
        <f>IF(AND($B459&lt;&gt;"",$I459="تم تحرير مخالفة"),1,0)</f>
        <v/>
      </c>
      <c r="X459" s="24">
        <f>IF($B459="","",IF($S459=WkStart,COUNTIF($S$5:$S459,WkStart),""))</f>
        <v/>
      </c>
    </row>
    <row r="460">
      <c r="A460" s="16">
        <f>IF($B460="","",ROW()-4)</f>
        <v/>
      </c>
      <c r="B460" s="17" t="n"/>
      <c r="C460" s="18" t="n"/>
      <c r="D460" s="18" t="n"/>
      <c r="E460" s="19" t="n"/>
      <c r="F460" s="19" t="n"/>
      <c r="G460" s="18" t="n"/>
      <c r="H460" s="18" t="n"/>
      <c r="I460" s="18" t="n"/>
      <c r="J460" s="20" t="n"/>
      <c r="K460" s="21" t="n"/>
      <c r="L460" s="21" t="n"/>
      <c r="M460" s="18" t="n"/>
      <c r="N460" s="22">
        <f>IF($B460="","",CHOOSE(WEEKDAY($B460),"الأحد","الاثنين","الثلاثاء","الأربعاء","الخميس","الجمعة","السبت"))</f>
        <v/>
      </c>
      <c r="O460" s="23">
        <f>IF(OR($K460="",$L460=""),"",HYPERLINK("https://maps.google.com/?q="&amp;$K460&amp;","&amp;$L460,"عرض الموقع"))</f>
        <v/>
      </c>
      <c r="P460" s="23">
        <f>IF(OR($B460="",N($J460)=0),"",HYPERLINK(PhotoDir&amp;"/"&amp;YEAR($B460)&amp;"-"&amp;TEXT(MONTH($B460),"00")&amp;"-"&amp;TEXT(DAY($B460),"00")&amp;"_"&amp;$D460,"فتح الصور ("&amp;$J460&amp;")"))</f>
        <v/>
      </c>
      <c r="Q460" s="24">
        <f>IF($B460="","",MONTH($B460))</f>
        <v/>
      </c>
      <c r="R460" s="24">
        <f>IF($B460="","",YEAR($B460))</f>
        <v/>
      </c>
      <c r="S460" s="25">
        <f>IF($B460="","",$B460-WEEKDAY($B460,3))</f>
        <v/>
      </c>
      <c r="T460" s="24">
        <f>IF($B460="",0,IF(COUNTIFS($B$5:$B460,$B460,$D$5:$D460,$D460)=1,1,0))</f>
        <v/>
      </c>
      <c r="U460" s="24">
        <f>IF($B460="",0,IF(COUNTIFS($B$5:$B460,$B460,$C$5:$C460,$C460)=1,1,0))</f>
        <v/>
      </c>
      <c r="V460" s="24">
        <f>IF(OR($B460="",$G460="",$G460="لا توجد مشاهدات"),0,1)</f>
        <v/>
      </c>
      <c r="W460" s="24">
        <f>IF(AND($B460&lt;&gt;"",$I460="تم تحرير مخالفة"),1,0)</f>
        <v/>
      </c>
      <c r="X460" s="24">
        <f>IF($B460="","",IF($S460=WkStart,COUNTIF($S$5:$S460,WkStart),""))</f>
        <v/>
      </c>
    </row>
    <row r="461">
      <c r="A461" s="16">
        <f>IF($B461="","",ROW()-4)</f>
        <v/>
      </c>
      <c r="B461" s="17" t="n"/>
      <c r="C461" s="18" t="n"/>
      <c r="D461" s="18" t="n"/>
      <c r="E461" s="19" t="n"/>
      <c r="F461" s="19" t="n"/>
      <c r="G461" s="18" t="n"/>
      <c r="H461" s="18" t="n"/>
      <c r="I461" s="18" t="n"/>
      <c r="J461" s="20" t="n"/>
      <c r="K461" s="21" t="n"/>
      <c r="L461" s="21" t="n"/>
      <c r="M461" s="18" t="n"/>
      <c r="N461" s="22">
        <f>IF($B461="","",CHOOSE(WEEKDAY($B461),"الأحد","الاثنين","الثلاثاء","الأربعاء","الخميس","الجمعة","السبت"))</f>
        <v/>
      </c>
      <c r="O461" s="23">
        <f>IF(OR($K461="",$L461=""),"",HYPERLINK("https://maps.google.com/?q="&amp;$K461&amp;","&amp;$L461,"عرض الموقع"))</f>
        <v/>
      </c>
      <c r="P461" s="23">
        <f>IF(OR($B461="",N($J461)=0),"",HYPERLINK(PhotoDir&amp;"/"&amp;YEAR($B461)&amp;"-"&amp;TEXT(MONTH($B461),"00")&amp;"-"&amp;TEXT(DAY($B461),"00")&amp;"_"&amp;$D461,"فتح الصور ("&amp;$J461&amp;")"))</f>
        <v/>
      </c>
      <c r="Q461" s="24">
        <f>IF($B461="","",MONTH($B461))</f>
        <v/>
      </c>
      <c r="R461" s="24">
        <f>IF($B461="","",YEAR($B461))</f>
        <v/>
      </c>
      <c r="S461" s="25">
        <f>IF($B461="","",$B461-WEEKDAY($B461,3))</f>
        <v/>
      </c>
      <c r="T461" s="24">
        <f>IF($B461="",0,IF(COUNTIFS($B$5:$B461,$B461,$D$5:$D461,$D461)=1,1,0))</f>
        <v/>
      </c>
      <c r="U461" s="24">
        <f>IF($B461="",0,IF(COUNTIFS($B$5:$B461,$B461,$C$5:$C461,$C461)=1,1,0))</f>
        <v/>
      </c>
      <c r="V461" s="24">
        <f>IF(OR($B461="",$G461="",$G461="لا توجد مشاهدات"),0,1)</f>
        <v/>
      </c>
      <c r="W461" s="24">
        <f>IF(AND($B461&lt;&gt;"",$I461="تم تحرير مخالفة"),1,0)</f>
        <v/>
      </c>
      <c r="X461" s="24">
        <f>IF($B461="","",IF($S461=WkStart,COUNTIF($S$5:$S461,WkStart),""))</f>
        <v/>
      </c>
    </row>
    <row r="462">
      <c r="A462" s="16">
        <f>IF($B462="","",ROW()-4)</f>
        <v/>
      </c>
      <c r="B462" s="17" t="n"/>
      <c r="C462" s="18" t="n"/>
      <c r="D462" s="18" t="n"/>
      <c r="E462" s="19" t="n"/>
      <c r="F462" s="19" t="n"/>
      <c r="G462" s="18" t="n"/>
      <c r="H462" s="18" t="n"/>
      <c r="I462" s="18" t="n"/>
      <c r="J462" s="20" t="n"/>
      <c r="K462" s="21" t="n"/>
      <c r="L462" s="21" t="n"/>
      <c r="M462" s="18" t="n"/>
      <c r="N462" s="22">
        <f>IF($B462="","",CHOOSE(WEEKDAY($B462),"الأحد","الاثنين","الثلاثاء","الأربعاء","الخميس","الجمعة","السبت"))</f>
        <v/>
      </c>
      <c r="O462" s="23">
        <f>IF(OR($K462="",$L462=""),"",HYPERLINK("https://maps.google.com/?q="&amp;$K462&amp;","&amp;$L462,"عرض الموقع"))</f>
        <v/>
      </c>
      <c r="P462" s="23">
        <f>IF(OR($B462="",N($J462)=0),"",HYPERLINK(PhotoDir&amp;"/"&amp;YEAR($B462)&amp;"-"&amp;TEXT(MONTH($B462),"00")&amp;"-"&amp;TEXT(DAY($B462),"00")&amp;"_"&amp;$D462,"فتح الصور ("&amp;$J462&amp;")"))</f>
        <v/>
      </c>
      <c r="Q462" s="24">
        <f>IF($B462="","",MONTH($B462))</f>
        <v/>
      </c>
      <c r="R462" s="24">
        <f>IF($B462="","",YEAR($B462))</f>
        <v/>
      </c>
      <c r="S462" s="25">
        <f>IF($B462="","",$B462-WEEKDAY($B462,3))</f>
        <v/>
      </c>
      <c r="T462" s="24">
        <f>IF($B462="",0,IF(COUNTIFS($B$5:$B462,$B462,$D$5:$D462,$D462)=1,1,0))</f>
        <v/>
      </c>
      <c r="U462" s="24">
        <f>IF($B462="",0,IF(COUNTIFS($B$5:$B462,$B462,$C$5:$C462,$C462)=1,1,0))</f>
        <v/>
      </c>
      <c r="V462" s="24">
        <f>IF(OR($B462="",$G462="",$G462="لا توجد مشاهدات"),0,1)</f>
        <v/>
      </c>
      <c r="W462" s="24">
        <f>IF(AND($B462&lt;&gt;"",$I462="تم تحرير مخالفة"),1,0)</f>
        <v/>
      </c>
      <c r="X462" s="24">
        <f>IF($B462="","",IF($S462=WkStart,COUNTIF($S$5:$S462,WkStart),""))</f>
        <v/>
      </c>
    </row>
    <row r="463">
      <c r="A463" s="16">
        <f>IF($B463="","",ROW()-4)</f>
        <v/>
      </c>
      <c r="B463" s="17" t="n"/>
      <c r="C463" s="18" t="n"/>
      <c r="D463" s="18" t="n"/>
      <c r="E463" s="19" t="n"/>
      <c r="F463" s="19" t="n"/>
      <c r="G463" s="18" t="n"/>
      <c r="H463" s="18" t="n"/>
      <c r="I463" s="18" t="n"/>
      <c r="J463" s="20" t="n"/>
      <c r="K463" s="21" t="n"/>
      <c r="L463" s="21" t="n"/>
      <c r="M463" s="18" t="n"/>
      <c r="N463" s="22">
        <f>IF($B463="","",CHOOSE(WEEKDAY($B463),"الأحد","الاثنين","الثلاثاء","الأربعاء","الخميس","الجمعة","السبت"))</f>
        <v/>
      </c>
      <c r="O463" s="23">
        <f>IF(OR($K463="",$L463=""),"",HYPERLINK("https://maps.google.com/?q="&amp;$K463&amp;","&amp;$L463,"عرض الموقع"))</f>
        <v/>
      </c>
      <c r="P463" s="23">
        <f>IF(OR($B463="",N($J463)=0),"",HYPERLINK(PhotoDir&amp;"/"&amp;YEAR($B463)&amp;"-"&amp;TEXT(MONTH($B463),"00")&amp;"-"&amp;TEXT(DAY($B463),"00")&amp;"_"&amp;$D463,"فتح الصور ("&amp;$J463&amp;")"))</f>
        <v/>
      </c>
      <c r="Q463" s="24">
        <f>IF($B463="","",MONTH($B463))</f>
        <v/>
      </c>
      <c r="R463" s="24">
        <f>IF($B463="","",YEAR($B463))</f>
        <v/>
      </c>
      <c r="S463" s="25">
        <f>IF($B463="","",$B463-WEEKDAY($B463,3))</f>
        <v/>
      </c>
      <c r="T463" s="24">
        <f>IF($B463="",0,IF(COUNTIFS($B$5:$B463,$B463,$D$5:$D463,$D463)=1,1,0))</f>
        <v/>
      </c>
      <c r="U463" s="24">
        <f>IF($B463="",0,IF(COUNTIFS($B$5:$B463,$B463,$C$5:$C463,$C463)=1,1,0))</f>
        <v/>
      </c>
      <c r="V463" s="24">
        <f>IF(OR($B463="",$G463="",$G463="لا توجد مشاهدات"),0,1)</f>
        <v/>
      </c>
      <c r="W463" s="24">
        <f>IF(AND($B463&lt;&gt;"",$I463="تم تحرير مخالفة"),1,0)</f>
        <v/>
      </c>
      <c r="X463" s="24">
        <f>IF($B463="","",IF($S463=WkStart,COUNTIF($S$5:$S463,WkStart),""))</f>
        <v/>
      </c>
    </row>
    <row r="464">
      <c r="A464" s="16">
        <f>IF($B464="","",ROW()-4)</f>
        <v/>
      </c>
      <c r="B464" s="17" t="n"/>
      <c r="C464" s="18" t="n"/>
      <c r="D464" s="18" t="n"/>
      <c r="E464" s="19" t="n"/>
      <c r="F464" s="19" t="n"/>
      <c r="G464" s="18" t="n"/>
      <c r="H464" s="18" t="n"/>
      <c r="I464" s="18" t="n"/>
      <c r="J464" s="20" t="n"/>
      <c r="K464" s="21" t="n"/>
      <c r="L464" s="21" t="n"/>
      <c r="M464" s="18" t="n"/>
      <c r="N464" s="22">
        <f>IF($B464="","",CHOOSE(WEEKDAY($B464),"الأحد","الاثنين","الثلاثاء","الأربعاء","الخميس","الجمعة","السبت"))</f>
        <v/>
      </c>
      <c r="O464" s="23">
        <f>IF(OR($K464="",$L464=""),"",HYPERLINK("https://maps.google.com/?q="&amp;$K464&amp;","&amp;$L464,"عرض الموقع"))</f>
        <v/>
      </c>
      <c r="P464" s="23">
        <f>IF(OR($B464="",N($J464)=0),"",HYPERLINK(PhotoDir&amp;"/"&amp;YEAR($B464)&amp;"-"&amp;TEXT(MONTH($B464),"00")&amp;"-"&amp;TEXT(DAY($B464),"00")&amp;"_"&amp;$D464,"فتح الصور ("&amp;$J464&amp;")"))</f>
        <v/>
      </c>
      <c r="Q464" s="24">
        <f>IF($B464="","",MONTH($B464))</f>
        <v/>
      </c>
      <c r="R464" s="24">
        <f>IF($B464="","",YEAR($B464))</f>
        <v/>
      </c>
      <c r="S464" s="25">
        <f>IF($B464="","",$B464-WEEKDAY($B464,3))</f>
        <v/>
      </c>
      <c r="T464" s="24">
        <f>IF($B464="",0,IF(COUNTIFS($B$5:$B464,$B464,$D$5:$D464,$D464)=1,1,0))</f>
        <v/>
      </c>
      <c r="U464" s="24">
        <f>IF($B464="",0,IF(COUNTIFS($B$5:$B464,$B464,$C$5:$C464,$C464)=1,1,0))</f>
        <v/>
      </c>
      <c r="V464" s="24">
        <f>IF(OR($B464="",$G464="",$G464="لا توجد مشاهدات"),0,1)</f>
        <v/>
      </c>
      <c r="W464" s="24">
        <f>IF(AND($B464&lt;&gt;"",$I464="تم تحرير مخالفة"),1,0)</f>
        <v/>
      </c>
      <c r="X464" s="24">
        <f>IF($B464="","",IF($S464=WkStart,COUNTIF($S$5:$S464,WkStart),""))</f>
        <v/>
      </c>
    </row>
    <row r="465">
      <c r="A465" s="16">
        <f>IF($B465="","",ROW()-4)</f>
        <v/>
      </c>
      <c r="B465" s="17" t="n"/>
      <c r="C465" s="18" t="n"/>
      <c r="D465" s="18" t="n"/>
      <c r="E465" s="19" t="n"/>
      <c r="F465" s="19" t="n"/>
      <c r="G465" s="18" t="n"/>
      <c r="H465" s="18" t="n"/>
      <c r="I465" s="18" t="n"/>
      <c r="J465" s="20" t="n"/>
      <c r="K465" s="21" t="n"/>
      <c r="L465" s="21" t="n"/>
      <c r="M465" s="18" t="n"/>
      <c r="N465" s="22">
        <f>IF($B465="","",CHOOSE(WEEKDAY($B465),"الأحد","الاثنين","الثلاثاء","الأربعاء","الخميس","الجمعة","السبت"))</f>
        <v/>
      </c>
      <c r="O465" s="23">
        <f>IF(OR($K465="",$L465=""),"",HYPERLINK("https://maps.google.com/?q="&amp;$K465&amp;","&amp;$L465,"عرض الموقع"))</f>
        <v/>
      </c>
      <c r="P465" s="23">
        <f>IF(OR($B465="",N($J465)=0),"",HYPERLINK(PhotoDir&amp;"/"&amp;YEAR($B465)&amp;"-"&amp;TEXT(MONTH($B465),"00")&amp;"-"&amp;TEXT(DAY($B465),"00")&amp;"_"&amp;$D465,"فتح الصور ("&amp;$J465&amp;")"))</f>
        <v/>
      </c>
      <c r="Q465" s="24">
        <f>IF($B465="","",MONTH($B465))</f>
        <v/>
      </c>
      <c r="R465" s="24">
        <f>IF($B465="","",YEAR($B465))</f>
        <v/>
      </c>
      <c r="S465" s="25">
        <f>IF($B465="","",$B465-WEEKDAY($B465,3))</f>
        <v/>
      </c>
      <c r="T465" s="24">
        <f>IF($B465="",0,IF(COUNTIFS($B$5:$B465,$B465,$D$5:$D465,$D465)=1,1,0))</f>
        <v/>
      </c>
      <c r="U465" s="24">
        <f>IF($B465="",0,IF(COUNTIFS($B$5:$B465,$B465,$C$5:$C465,$C465)=1,1,0))</f>
        <v/>
      </c>
      <c r="V465" s="24">
        <f>IF(OR($B465="",$G465="",$G465="لا توجد مشاهدات"),0,1)</f>
        <v/>
      </c>
      <c r="W465" s="24">
        <f>IF(AND($B465&lt;&gt;"",$I465="تم تحرير مخالفة"),1,0)</f>
        <v/>
      </c>
      <c r="X465" s="24">
        <f>IF($B465="","",IF($S465=WkStart,COUNTIF($S$5:$S465,WkStart),""))</f>
        <v/>
      </c>
    </row>
    <row r="466">
      <c r="A466" s="16">
        <f>IF($B466="","",ROW()-4)</f>
        <v/>
      </c>
      <c r="B466" s="17" t="n"/>
      <c r="C466" s="18" t="n"/>
      <c r="D466" s="18" t="n"/>
      <c r="E466" s="19" t="n"/>
      <c r="F466" s="19" t="n"/>
      <c r="G466" s="18" t="n"/>
      <c r="H466" s="18" t="n"/>
      <c r="I466" s="18" t="n"/>
      <c r="J466" s="20" t="n"/>
      <c r="K466" s="21" t="n"/>
      <c r="L466" s="21" t="n"/>
      <c r="M466" s="18" t="n"/>
      <c r="N466" s="22">
        <f>IF($B466="","",CHOOSE(WEEKDAY($B466),"الأحد","الاثنين","الثلاثاء","الأربعاء","الخميس","الجمعة","السبت"))</f>
        <v/>
      </c>
      <c r="O466" s="23">
        <f>IF(OR($K466="",$L466=""),"",HYPERLINK("https://maps.google.com/?q="&amp;$K466&amp;","&amp;$L466,"عرض الموقع"))</f>
        <v/>
      </c>
      <c r="P466" s="23">
        <f>IF(OR($B466="",N($J466)=0),"",HYPERLINK(PhotoDir&amp;"/"&amp;YEAR($B466)&amp;"-"&amp;TEXT(MONTH($B466),"00")&amp;"-"&amp;TEXT(DAY($B466),"00")&amp;"_"&amp;$D466,"فتح الصور ("&amp;$J466&amp;")"))</f>
        <v/>
      </c>
      <c r="Q466" s="24">
        <f>IF($B466="","",MONTH($B466))</f>
        <v/>
      </c>
      <c r="R466" s="24">
        <f>IF($B466="","",YEAR($B466))</f>
        <v/>
      </c>
      <c r="S466" s="25">
        <f>IF($B466="","",$B466-WEEKDAY($B466,3))</f>
        <v/>
      </c>
      <c r="T466" s="24">
        <f>IF($B466="",0,IF(COUNTIFS($B$5:$B466,$B466,$D$5:$D466,$D466)=1,1,0))</f>
        <v/>
      </c>
      <c r="U466" s="24">
        <f>IF($B466="",0,IF(COUNTIFS($B$5:$B466,$B466,$C$5:$C466,$C466)=1,1,0))</f>
        <v/>
      </c>
      <c r="V466" s="24">
        <f>IF(OR($B466="",$G466="",$G466="لا توجد مشاهدات"),0,1)</f>
        <v/>
      </c>
      <c r="W466" s="24">
        <f>IF(AND($B466&lt;&gt;"",$I466="تم تحرير مخالفة"),1,0)</f>
        <v/>
      </c>
      <c r="X466" s="24">
        <f>IF($B466="","",IF($S466=WkStart,COUNTIF($S$5:$S466,WkStart),""))</f>
        <v/>
      </c>
    </row>
    <row r="467">
      <c r="A467" s="16">
        <f>IF($B467="","",ROW()-4)</f>
        <v/>
      </c>
      <c r="B467" s="17" t="n"/>
      <c r="C467" s="18" t="n"/>
      <c r="D467" s="18" t="n"/>
      <c r="E467" s="19" t="n"/>
      <c r="F467" s="19" t="n"/>
      <c r="G467" s="18" t="n"/>
      <c r="H467" s="18" t="n"/>
      <c r="I467" s="18" t="n"/>
      <c r="J467" s="20" t="n"/>
      <c r="K467" s="21" t="n"/>
      <c r="L467" s="21" t="n"/>
      <c r="M467" s="18" t="n"/>
      <c r="N467" s="22">
        <f>IF($B467="","",CHOOSE(WEEKDAY($B467),"الأحد","الاثنين","الثلاثاء","الأربعاء","الخميس","الجمعة","السبت"))</f>
        <v/>
      </c>
      <c r="O467" s="23">
        <f>IF(OR($K467="",$L467=""),"",HYPERLINK("https://maps.google.com/?q="&amp;$K467&amp;","&amp;$L467,"عرض الموقع"))</f>
        <v/>
      </c>
      <c r="P467" s="23">
        <f>IF(OR($B467="",N($J467)=0),"",HYPERLINK(PhotoDir&amp;"/"&amp;YEAR($B467)&amp;"-"&amp;TEXT(MONTH($B467),"00")&amp;"-"&amp;TEXT(DAY($B467),"00")&amp;"_"&amp;$D467,"فتح الصور ("&amp;$J467&amp;")"))</f>
        <v/>
      </c>
      <c r="Q467" s="24">
        <f>IF($B467="","",MONTH($B467))</f>
        <v/>
      </c>
      <c r="R467" s="24">
        <f>IF($B467="","",YEAR($B467))</f>
        <v/>
      </c>
      <c r="S467" s="25">
        <f>IF($B467="","",$B467-WEEKDAY($B467,3))</f>
        <v/>
      </c>
      <c r="T467" s="24">
        <f>IF($B467="",0,IF(COUNTIFS($B$5:$B467,$B467,$D$5:$D467,$D467)=1,1,0))</f>
        <v/>
      </c>
      <c r="U467" s="24">
        <f>IF($B467="",0,IF(COUNTIFS($B$5:$B467,$B467,$C$5:$C467,$C467)=1,1,0))</f>
        <v/>
      </c>
      <c r="V467" s="24">
        <f>IF(OR($B467="",$G467="",$G467="لا توجد مشاهدات"),0,1)</f>
        <v/>
      </c>
      <c r="W467" s="24">
        <f>IF(AND($B467&lt;&gt;"",$I467="تم تحرير مخالفة"),1,0)</f>
        <v/>
      </c>
      <c r="X467" s="24">
        <f>IF($B467="","",IF($S467=WkStart,COUNTIF($S$5:$S467,WkStart),""))</f>
        <v/>
      </c>
    </row>
    <row r="468">
      <c r="A468" s="16">
        <f>IF($B468="","",ROW()-4)</f>
        <v/>
      </c>
      <c r="B468" s="17" t="n"/>
      <c r="C468" s="18" t="n"/>
      <c r="D468" s="18" t="n"/>
      <c r="E468" s="19" t="n"/>
      <c r="F468" s="19" t="n"/>
      <c r="G468" s="18" t="n"/>
      <c r="H468" s="18" t="n"/>
      <c r="I468" s="18" t="n"/>
      <c r="J468" s="20" t="n"/>
      <c r="K468" s="21" t="n"/>
      <c r="L468" s="21" t="n"/>
      <c r="M468" s="18" t="n"/>
      <c r="N468" s="22">
        <f>IF($B468="","",CHOOSE(WEEKDAY($B468),"الأحد","الاثنين","الثلاثاء","الأربعاء","الخميس","الجمعة","السبت"))</f>
        <v/>
      </c>
      <c r="O468" s="23">
        <f>IF(OR($K468="",$L468=""),"",HYPERLINK("https://maps.google.com/?q="&amp;$K468&amp;","&amp;$L468,"عرض الموقع"))</f>
        <v/>
      </c>
      <c r="P468" s="23">
        <f>IF(OR($B468="",N($J468)=0),"",HYPERLINK(PhotoDir&amp;"/"&amp;YEAR($B468)&amp;"-"&amp;TEXT(MONTH($B468),"00")&amp;"-"&amp;TEXT(DAY($B468),"00")&amp;"_"&amp;$D468,"فتح الصور ("&amp;$J468&amp;")"))</f>
        <v/>
      </c>
      <c r="Q468" s="24">
        <f>IF($B468="","",MONTH($B468))</f>
        <v/>
      </c>
      <c r="R468" s="24">
        <f>IF($B468="","",YEAR($B468))</f>
        <v/>
      </c>
      <c r="S468" s="25">
        <f>IF($B468="","",$B468-WEEKDAY($B468,3))</f>
        <v/>
      </c>
      <c r="T468" s="24">
        <f>IF($B468="",0,IF(COUNTIFS($B$5:$B468,$B468,$D$5:$D468,$D468)=1,1,0))</f>
        <v/>
      </c>
      <c r="U468" s="24">
        <f>IF($B468="",0,IF(COUNTIFS($B$5:$B468,$B468,$C$5:$C468,$C468)=1,1,0))</f>
        <v/>
      </c>
      <c r="V468" s="24">
        <f>IF(OR($B468="",$G468="",$G468="لا توجد مشاهدات"),0,1)</f>
        <v/>
      </c>
      <c r="W468" s="24">
        <f>IF(AND($B468&lt;&gt;"",$I468="تم تحرير مخالفة"),1,0)</f>
        <v/>
      </c>
      <c r="X468" s="24">
        <f>IF($B468="","",IF($S468=WkStart,COUNTIF($S$5:$S468,WkStart),""))</f>
        <v/>
      </c>
    </row>
    <row r="469">
      <c r="A469" s="16">
        <f>IF($B469="","",ROW()-4)</f>
        <v/>
      </c>
      <c r="B469" s="17" t="n"/>
      <c r="C469" s="18" t="n"/>
      <c r="D469" s="18" t="n"/>
      <c r="E469" s="19" t="n"/>
      <c r="F469" s="19" t="n"/>
      <c r="G469" s="18" t="n"/>
      <c r="H469" s="18" t="n"/>
      <c r="I469" s="18" t="n"/>
      <c r="J469" s="20" t="n"/>
      <c r="K469" s="21" t="n"/>
      <c r="L469" s="21" t="n"/>
      <c r="M469" s="18" t="n"/>
      <c r="N469" s="22">
        <f>IF($B469="","",CHOOSE(WEEKDAY($B469),"الأحد","الاثنين","الثلاثاء","الأربعاء","الخميس","الجمعة","السبت"))</f>
        <v/>
      </c>
      <c r="O469" s="23">
        <f>IF(OR($K469="",$L469=""),"",HYPERLINK("https://maps.google.com/?q="&amp;$K469&amp;","&amp;$L469,"عرض الموقع"))</f>
        <v/>
      </c>
      <c r="P469" s="23">
        <f>IF(OR($B469="",N($J469)=0),"",HYPERLINK(PhotoDir&amp;"/"&amp;YEAR($B469)&amp;"-"&amp;TEXT(MONTH($B469),"00")&amp;"-"&amp;TEXT(DAY($B469),"00")&amp;"_"&amp;$D469,"فتح الصور ("&amp;$J469&amp;")"))</f>
        <v/>
      </c>
      <c r="Q469" s="24">
        <f>IF($B469="","",MONTH($B469))</f>
        <v/>
      </c>
      <c r="R469" s="24">
        <f>IF($B469="","",YEAR($B469))</f>
        <v/>
      </c>
      <c r="S469" s="25">
        <f>IF($B469="","",$B469-WEEKDAY($B469,3))</f>
        <v/>
      </c>
      <c r="T469" s="24">
        <f>IF($B469="",0,IF(COUNTIFS($B$5:$B469,$B469,$D$5:$D469,$D469)=1,1,0))</f>
        <v/>
      </c>
      <c r="U469" s="24">
        <f>IF($B469="",0,IF(COUNTIFS($B$5:$B469,$B469,$C$5:$C469,$C469)=1,1,0))</f>
        <v/>
      </c>
      <c r="V469" s="24">
        <f>IF(OR($B469="",$G469="",$G469="لا توجد مشاهدات"),0,1)</f>
        <v/>
      </c>
      <c r="W469" s="24">
        <f>IF(AND($B469&lt;&gt;"",$I469="تم تحرير مخالفة"),1,0)</f>
        <v/>
      </c>
      <c r="X469" s="24">
        <f>IF($B469="","",IF($S469=WkStart,COUNTIF($S$5:$S469,WkStart),""))</f>
        <v/>
      </c>
    </row>
    <row r="470">
      <c r="A470" s="16">
        <f>IF($B470="","",ROW()-4)</f>
        <v/>
      </c>
      <c r="B470" s="17" t="n"/>
      <c r="C470" s="18" t="n"/>
      <c r="D470" s="18" t="n"/>
      <c r="E470" s="19" t="n"/>
      <c r="F470" s="19" t="n"/>
      <c r="G470" s="18" t="n"/>
      <c r="H470" s="18" t="n"/>
      <c r="I470" s="18" t="n"/>
      <c r="J470" s="20" t="n"/>
      <c r="K470" s="21" t="n"/>
      <c r="L470" s="21" t="n"/>
      <c r="M470" s="18" t="n"/>
      <c r="N470" s="22">
        <f>IF($B470="","",CHOOSE(WEEKDAY($B470),"الأحد","الاثنين","الثلاثاء","الأربعاء","الخميس","الجمعة","السبت"))</f>
        <v/>
      </c>
      <c r="O470" s="23">
        <f>IF(OR($K470="",$L470=""),"",HYPERLINK("https://maps.google.com/?q="&amp;$K470&amp;","&amp;$L470,"عرض الموقع"))</f>
        <v/>
      </c>
      <c r="P470" s="23">
        <f>IF(OR($B470="",N($J470)=0),"",HYPERLINK(PhotoDir&amp;"/"&amp;YEAR($B470)&amp;"-"&amp;TEXT(MONTH($B470),"00")&amp;"-"&amp;TEXT(DAY($B470),"00")&amp;"_"&amp;$D470,"فتح الصور ("&amp;$J470&amp;")"))</f>
        <v/>
      </c>
      <c r="Q470" s="24">
        <f>IF($B470="","",MONTH($B470))</f>
        <v/>
      </c>
      <c r="R470" s="24">
        <f>IF($B470="","",YEAR($B470))</f>
        <v/>
      </c>
      <c r="S470" s="25">
        <f>IF($B470="","",$B470-WEEKDAY($B470,3))</f>
        <v/>
      </c>
      <c r="T470" s="24">
        <f>IF($B470="",0,IF(COUNTIFS($B$5:$B470,$B470,$D$5:$D470,$D470)=1,1,0))</f>
        <v/>
      </c>
      <c r="U470" s="24">
        <f>IF($B470="",0,IF(COUNTIFS($B$5:$B470,$B470,$C$5:$C470,$C470)=1,1,0))</f>
        <v/>
      </c>
      <c r="V470" s="24">
        <f>IF(OR($B470="",$G470="",$G470="لا توجد مشاهدات"),0,1)</f>
        <v/>
      </c>
      <c r="W470" s="24">
        <f>IF(AND($B470&lt;&gt;"",$I470="تم تحرير مخالفة"),1,0)</f>
        <v/>
      </c>
      <c r="X470" s="24">
        <f>IF($B470="","",IF($S470=WkStart,COUNTIF($S$5:$S470,WkStart),""))</f>
        <v/>
      </c>
    </row>
    <row r="471">
      <c r="A471" s="16">
        <f>IF($B471="","",ROW()-4)</f>
        <v/>
      </c>
      <c r="B471" s="17" t="n"/>
      <c r="C471" s="18" t="n"/>
      <c r="D471" s="18" t="n"/>
      <c r="E471" s="19" t="n"/>
      <c r="F471" s="19" t="n"/>
      <c r="G471" s="18" t="n"/>
      <c r="H471" s="18" t="n"/>
      <c r="I471" s="18" t="n"/>
      <c r="J471" s="20" t="n"/>
      <c r="K471" s="21" t="n"/>
      <c r="L471" s="21" t="n"/>
      <c r="M471" s="18" t="n"/>
      <c r="N471" s="22">
        <f>IF($B471="","",CHOOSE(WEEKDAY($B471),"الأحد","الاثنين","الثلاثاء","الأربعاء","الخميس","الجمعة","السبت"))</f>
        <v/>
      </c>
      <c r="O471" s="23">
        <f>IF(OR($K471="",$L471=""),"",HYPERLINK("https://maps.google.com/?q="&amp;$K471&amp;","&amp;$L471,"عرض الموقع"))</f>
        <v/>
      </c>
      <c r="P471" s="23">
        <f>IF(OR($B471="",N($J471)=0),"",HYPERLINK(PhotoDir&amp;"/"&amp;YEAR($B471)&amp;"-"&amp;TEXT(MONTH($B471),"00")&amp;"-"&amp;TEXT(DAY($B471),"00")&amp;"_"&amp;$D471,"فتح الصور ("&amp;$J471&amp;")"))</f>
        <v/>
      </c>
      <c r="Q471" s="24">
        <f>IF($B471="","",MONTH($B471))</f>
        <v/>
      </c>
      <c r="R471" s="24">
        <f>IF($B471="","",YEAR($B471))</f>
        <v/>
      </c>
      <c r="S471" s="25">
        <f>IF($B471="","",$B471-WEEKDAY($B471,3))</f>
        <v/>
      </c>
      <c r="T471" s="24">
        <f>IF($B471="",0,IF(COUNTIFS($B$5:$B471,$B471,$D$5:$D471,$D471)=1,1,0))</f>
        <v/>
      </c>
      <c r="U471" s="24">
        <f>IF($B471="",0,IF(COUNTIFS($B$5:$B471,$B471,$C$5:$C471,$C471)=1,1,0))</f>
        <v/>
      </c>
      <c r="V471" s="24">
        <f>IF(OR($B471="",$G471="",$G471="لا توجد مشاهدات"),0,1)</f>
        <v/>
      </c>
      <c r="W471" s="24">
        <f>IF(AND($B471&lt;&gt;"",$I471="تم تحرير مخالفة"),1,0)</f>
        <v/>
      </c>
      <c r="X471" s="24">
        <f>IF($B471="","",IF($S471=WkStart,COUNTIF($S$5:$S471,WkStart),""))</f>
        <v/>
      </c>
    </row>
    <row r="472">
      <c r="A472" s="16">
        <f>IF($B472="","",ROW()-4)</f>
        <v/>
      </c>
      <c r="B472" s="17" t="n"/>
      <c r="C472" s="18" t="n"/>
      <c r="D472" s="18" t="n"/>
      <c r="E472" s="19" t="n"/>
      <c r="F472" s="19" t="n"/>
      <c r="G472" s="18" t="n"/>
      <c r="H472" s="18" t="n"/>
      <c r="I472" s="18" t="n"/>
      <c r="J472" s="20" t="n"/>
      <c r="K472" s="21" t="n"/>
      <c r="L472" s="21" t="n"/>
      <c r="M472" s="18" t="n"/>
      <c r="N472" s="22">
        <f>IF($B472="","",CHOOSE(WEEKDAY($B472),"الأحد","الاثنين","الثلاثاء","الأربعاء","الخميس","الجمعة","السبت"))</f>
        <v/>
      </c>
      <c r="O472" s="23">
        <f>IF(OR($K472="",$L472=""),"",HYPERLINK("https://maps.google.com/?q="&amp;$K472&amp;","&amp;$L472,"عرض الموقع"))</f>
        <v/>
      </c>
      <c r="P472" s="23">
        <f>IF(OR($B472="",N($J472)=0),"",HYPERLINK(PhotoDir&amp;"/"&amp;YEAR($B472)&amp;"-"&amp;TEXT(MONTH($B472),"00")&amp;"-"&amp;TEXT(DAY($B472),"00")&amp;"_"&amp;$D472,"فتح الصور ("&amp;$J472&amp;")"))</f>
        <v/>
      </c>
      <c r="Q472" s="24">
        <f>IF($B472="","",MONTH($B472))</f>
        <v/>
      </c>
      <c r="R472" s="24">
        <f>IF($B472="","",YEAR($B472))</f>
        <v/>
      </c>
      <c r="S472" s="25">
        <f>IF($B472="","",$B472-WEEKDAY($B472,3))</f>
        <v/>
      </c>
      <c r="T472" s="24">
        <f>IF($B472="",0,IF(COUNTIFS($B$5:$B472,$B472,$D$5:$D472,$D472)=1,1,0))</f>
        <v/>
      </c>
      <c r="U472" s="24">
        <f>IF($B472="",0,IF(COUNTIFS($B$5:$B472,$B472,$C$5:$C472,$C472)=1,1,0))</f>
        <v/>
      </c>
      <c r="V472" s="24">
        <f>IF(OR($B472="",$G472="",$G472="لا توجد مشاهدات"),0,1)</f>
        <v/>
      </c>
      <c r="W472" s="24">
        <f>IF(AND($B472&lt;&gt;"",$I472="تم تحرير مخالفة"),1,0)</f>
        <v/>
      </c>
      <c r="X472" s="24">
        <f>IF($B472="","",IF($S472=WkStart,COUNTIF($S$5:$S472,WkStart),""))</f>
        <v/>
      </c>
    </row>
    <row r="473">
      <c r="A473" s="16">
        <f>IF($B473="","",ROW()-4)</f>
        <v/>
      </c>
      <c r="B473" s="17" t="n"/>
      <c r="C473" s="18" t="n"/>
      <c r="D473" s="18" t="n"/>
      <c r="E473" s="19" t="n"/>
      <c r="F473" s="19" t="n"/>
      <c r="G473" s="18" t="n"/>
      <c r="H473" s="18" t="n"/>
      <c r="I473" s="18" t="n"/>
      <c r="J473" s="20" t="n"/>
      <c r="K473" s="21" t="n"/>
      <c r="L473" s="21" t="n"/>
      <c r="M473" s="18" t="n"/>
      <c r="N473" s="22">
        <f>IF($B473="","",CHOOSE(WEEKDAY($B473),"الأحد","الاثنين","الثلاثاء","الأربعاء","الخميس","الجمعة","السبت"))</f>
        <v/>
      </c>
      <c r="O473" s="23">
        <f>IF(OR($K473="",$L473=""),"",HYPERLINK("https://maps.google.com/?q="&amp;$K473&amp;","&amp;$L473,"عرض الموقع"))</f>
        <v/>
      </c>
      <c r="P473" s="23">
        <f>IF(OR($B473="",N($J473)=0),"",HYPERLINK(PhotoDir&amp;"/"&amp;YEAR($B473)&amp;"-"&amp;TEXT(MONTH($B473),"00")&amp;"-"&amp;TEXT(DAY($B473),"00")&amp;"_"&amp;$D473,"فتح الصور ("&amp;$J473&amp;")"))</f>
        <v/>
      </c>
      <c r="Q473" s="24">
        <f>IF($B473="","",MONTH($B473))</f>
        <v/>
      </c>
      <c r="R473" s="24">
        <f>IF($B473="","",YEAR($B473))</f>
        <v/>
      </c>
      <c r="S473" s="25">
        <f>IF($B473="","",$B473-WEEKDAY($B473,3))</f>
        <v/>
      </c>
      <c r="T473" s="24">
        <f>IF($B473="",0,IF(COUNTIFS($B$5:$B473,$B473,$D$5:$D473,$D473)=1,1,0))</f>
        <v/>
      </c>
      <c r="U473" s="24">
        <f>IF($B473="",0,IF(COUNTIFS($B$5:$B473,$B473,$C$5:$C473,$C473)=1,1,0))</f>
        <v/>
      </c>
      <c r="V473" s="24">
        <f>IF(OR($B473="",$G473="",$G473="لا توجد مشاهدات"),0,1)</f>
        <v/>
      </c>
      <c r="W473" s="24">
        <f>IF(AND($B473&lt;&gt;"",$I473="تم تحرير مخالفة"),1,0)</f>
        <v/>
      </c>
      <c r="X473" s="24">
        <f>IF($B473="","",IF($S473=WkStart,COUNTIF($S$5:$S473,WkStart),""))</f>
        <v/>
      </c>
    </row>
    <row r="474">
      <c r="A474" s="16">
        <f>IF($B474="","",ROW()-4)</f>
        <v/>
      </c>
      <c r="B474" s="17" t="n"/>
      <c r="C474" s="18" t="n"/>
      <c r="D474" s="18" t="n"/>
      <c r="E474" s="19" t="n"/>
      <c r="F474" s="19" t="n"/>
      <c r="G474" s="18" t="n"/>
      <c r="H474" s="18" t="n"/>
      <c r="I474" s="18" t="n"/>
      <c r="J474" s="20" t="n"/>
      <c r="K474" s="21" t="n"/>
      <c r="L474" s="21" t="n"/>
      <c r="M474" s="18" t="n"/>
      <c r="N474" s="22">
        <f>IF($B474="","",CHOOSE(WEEKDAY($B474),"الأحد","الاثنين","الثلاثاء","الأربعاء","الخميس","الجمعة","السبت"))</f>
        <v/>
      </c>
      <c r="O474" s="23">
        <f>IF(OR($K474="",$L474=""),"",HYPERLINK("https://maps.google.com/?q="&amp;$K474&amp;","&amp;$L474,"عرض الموقع"))</f>
        <v/>
      </c>
      <c r="P474" s="23">
        <f>IF(OR($B474="",N($J474)=0),"",HYPERLINK(PhotoDir&amp;"/"&amp;YEAR($B474)&amp;"-"&amp;TEXT(MONTH($B474),"00")&amp;"-"&amp;TEXT(DAY($B474),"00")&amp;"_"&amp;$D474,"فتح الصور ("&amp;$J474&amp;")"))</f>
        <v/>
      </c>
      <c r="Q474" s="24">
        <f>IF($B474="","",MONTH($B474))</f>
        <v/>
      </c>
      <c r="R474" s="24">
        <f>IF($B474="","",YEAR($B474))</f>
        <v/>
      </c>
      <c r="S474" s="25">
        <f>IF($B474="","",$B474-WEEKDAY($B474,3))</f>
        <v/>
      </c>
      <c r="T474" s="24">
        <f>IF($B474="",0,IF(COUNTIFS($B$5:$B474,$B474,$D$5:$D474,$D474)=1,1,0))</f>
        <v/>
      </c>
      <c r="U474" s="24">
        <f>IF($B474="",0,IF(COUNTIFS($B$5:$B474,$B474,$C$5:$C474,$C474)=1,1,0))</f>
        <v/>
      </c>
      <c r="V474" s="24">
        <f>IF(OR($B474="",$G474="",$G474="لا توجد مشاهدات"),0,1)</f>
        <v/>
      </c>
      <c r="W474" s="24">
        <f>IF(AND($B474&lt;&gt;"",$I474="تم تحرير مخالفة"),1,0)</f>
        <v/>
      </c>
      <c r="X474" s="24">
        <f>IF($B474="","",IF($S474=WkStart,COUNTIF($S$5:$S474,WkStart),""))</f>
        <v/>
      </c>
    </row>
    <row r="475">
      <c r="A475" s="16">
        <f>IF($B475="","",ROW()-4)</f>
        <v/>
      </c>
      <c r="B475" s="17" t="n"/>
      <c r="C475" s="18" t="n"/>
      <c r="D475" s="18" t="n"/>
      <c r="E475" s="19" t="n"/>
      <c r="F475" s="19" t="n"/>
      <c r="G475" s="18" t="n"/>
      <c r="H475" s="18" t="n"/>
      <c r="I475" s="18" t="n"/>
      <c r="J475" s="20" t="n"/>
      <c r="K475" s="21" t="n"/>
      <c r="L475" s="21" t="n"/>
      <c r="M475" s="18" t="n"/>
      <c r="N475" s="22">
        <f>IF($B475="","",CHOOSE(WEEKDAY($B475),"الأحد","الاثنين","الثلاثاء","الأربعاء","الخميس","الجمعة","السبت"))</f>
        <v/>
      </c>
      <c r="O475" s="23">
        <f>IF(OR($K475="",$L475=""),"",HYPERLINK("https://maps.google.com/?q="&amp;$K475&amp;","&amp;$L475,"عرض الموقع"))</f>
        <v/>
      </c>
      <c r="P475" s="23">
        <f>IF(OR($B475="",N($J475)=0),"",HYPERLINK(PhotoDir&amp;"/"&amp;YEAR($B475)&amp;"-"&amp;TEXT(MONTH($B475),"00")&amp;"-"&amp;TEXT(DAY($B475),"00")&amp;"_"&amp;$D475,"فتح الصور ("&amp;$J475&amp;")"))</f>
        <v/>
      </c>
      <c r="Q475" s="24">
        <f>IF($B475="","",MONTH($B475))</f>
        <v/>
      </c>
      <c r="R475" s="24">
        <f>IF($B475="","",YEAR($B475))</f>
        <v/>
      </c>
      <c r="S475" s="25">
        <f>IF($B475="","",$B475-WEEKDAY($B475,3))</f>
        <v/>
      </c>
      <c r="T475" s="24">
        <f>IF($B475="",0,IF(COUNTIFS($B$5:$B475,$B475,$D$5:$D475,$D475)=1,1,0))</f>
        <v/>
      </c>
      <c r="U475" s="24">
        <f>IF($B475="",0,IF(COUNTIFS($B$5:$B475,$B475,$C$5:$C475,$C475)=1,1,0))</f>
        <v/>
      </c>
      <c r="V475" s="24">
        <f>IF(OR($B475="",$G475="",$G475="لا توجد مشاهدات"),0,1)</f>
        <v/>
      </c>
      <c r="W475" s="24">
        <f>IF(AND($B475&lt;&gt;"",$I475="تم تحرير مخالفة"),1,0)</f>
        <v/>
      </c>
      <c r="X475" s="24">
        <f>IF($B475="","",IF($S475=WkStart,COUNTIF($S$5:$S475,WkStart),""))</f>
        <v/>
      </c>
    </row>
    <row r="476">
      <c r="A476" s="16">
        <f>IF($B476="","",ROW()-4)</f>
        <v/>
      </c>
      <c r="B476" s="17" t="n"/>
      <c r="C476" s="18" t="n"/>
      <c r="D476" s="18" t="n"/>
      <c r="E476" s="19" t="n"/>
      <c r="F476" s="19" t="n"/>
      <c r="G476" s="18" t="n"/>
      <c r="H476" s="18" t="n"/>
      <c r="I476" s="18" t="n"/>
      <c r="J476" s="20" t="n"/>
      <c r="K476" s="21" t="n"/>
      <c r="L476" s="21" t="n"/>
      <c r="M476" s="18" t="n"/>
      <c r="N476" s="22">
        <f>IF($B476="","",CHOOSE(WEEKDAY($B476),"الأحد","الاثنين","الثلاثاء","الأربعاء","الخميس","الجمعة","السبت"))</f>
        <v/>
      </c>
      <c r="O476" s="23">
        <f>IF(OR($K476="",$L476=""),"",HYPERLINK("https://maps.google.com/?q="&amp;$K476&amp;","&amp;$L476,"عرض الموقع"))</f>
        <v/>
      </c>
      <c r="P476" s="23">
        <f>IF(OR($B476="",N($J476)=0),"",HYPERLINK(PhotoDir&amp;"/"&amp;YEAR($B476)&amp;"-"&amp;TEXT(MONTH($B476),"00")&amp;"-"&amp;TEXT(DAY($B476),"00")&amp;"_"&amp;$D476,"فتح الصور ("&amp;$J476&amp;")"))</f>
        <v/>
      </c>
      <c r="Q476" s="24">
        <f>IF($B476="","",MONTH($B476))</f>
        <v/>
      </c>
      <c r="R476" s="24">
        <f>IF($B476="","",YEAR($B476))</f>
        <v/>
      </c>
      <c r="S476" s="25">
        <f>IF($B476="","",$B476-WEEKDAY($B476,3))</f>
        <v/>
      </c>
      <c r="T476" s="24">
        <f>IF($B476="",0,IF(COUNTIFS($B$5:$B476,$B476,$D$5:$D476,$D476)=1,1,0))</f>
        <v/>
      </c>
      <c r="U476" s="24">
        <f>IF($B476="",0,IF(COUNTIFS($B$5:$B476,$B476,$C$5:$C476,$C476)=1,1,0))</f>
        <v/>
      </c>
      <c r="V476" s="24">
        <f>IF(OR($B476="",$G476="",$G476="لا توجد مشاهدات"),0,1)</f>
        <v/>
      </c>
      <c r="W476" s="24">
        <f>IF(AND($B476&lt;&gt;"",$I476="تم تحرير مخالفة"),1,0)</f>
        <v/>
      </c>
      <c r="X476" s="24">
        <f>IF($B476="","",IF($S476=WkStart,COUNTIF($S$5:$S476,WkStart),""))</f>
        <v/>
      </c>
    </row>
    <row r="477">
      <c r="A477" s="16">
        <f>IF($B477="","",ROW()-4)</f>
        <v/>
      </c>
      <c r="B477" s="17" t="n"/>
      <c r="C477" s="18" t="n"/>
      <c r="D477" s="18" t="n"/>
      <c r="E477" s="19" t="n"/>
      <c r="F477" s="19" t="n"/>
      <c r="G477" s="18" t="n"/>
      <c r="H477" s="18" t="n"/>
      <c r="I477" s="18" t="n"/>
      <c r="J477" s="20" t="n"/>
      <c r="K477" s="21" t="n"/>
      <c r="L477" s="21" t="n"/>
      <c r="M477" s="18" t="n"/>
      <c r="N477" s="22">
        <f>IF($B477="","",CHOOSE(WEEKDAY($B477),"الأحد","الاثنين","الثلاثاء","الأربعاء","الخميس","الجمعة","السبت"))</f>
        <v/>
      </c>
      <c r="O477" s="23">
        <f>IF(OR($K477="",$L477=""),"",HYPERLINK("https://maps.google.com/?q="&amp;$K477&amp;","&amp;$L477,"عرض الموقع"))</f>
        <v/>
      </c>
      <c r="P477" s="23">
        <f>IF(OR($B477="",N($J477)=0),"",HYPERLINK(PhotoDir&amp;"/"&amp;YEAR($B477)&amp;"-"&amp;TEXT(MONTH($B477),"00")&amp;"-"&amp;TEXT(DAY($B477),"00")&amp;"_"&amp;$D477,"فتح الصور ("&amp;$J477&amp;")"))</f>
        <v/>
      </c>
      <c r="Q477" s="24">
        <f>IF($B477="","",MONTH($B477))</f>
        <v/>
      </c>
      <c r="R477" s="24">
        <f>IF($B477="","",YEAR($B477))</f>
        <v/>
      </c>
      <c r="S477" s="25">
        <f>IF($B477="","",$B477-WEEKDAY($B477,3))</f>
        <v/>
      </c>
      <c r="T477" s="24">
        <f>IF($B477="",0,IF(COUNTIFS($B$5:$B477,$B477,$D$5:$D477,$D477)=1,1,0))</f>
        <v/>
      </c>
      <c r="U477" s="24">
        <f>IF($B477="",0,IF(COUNTIFS($B$5:$B477,$B477,$C$5:$C477,$C477)=1,1,0))</f>
        <v/>
      </c>
      <c r="V477" s="24">
        <f>IF(OR($B477="",$G477="",$G477="لا توجد مشاهدات"),0,1)</f>
        <v/>
      </c>
      <c r="W477" s="24">
        <f>IF(AND($B477&lt;&gt;"",$I477="تم تحرير مخالفة"),1,0)</f>
        <v/>
      </c>
      <c r="X477" s="24">
        <f>IF($B477="","",IF($S477=WkStart,COUNTIF($S$5:$S477,WkStart),""))</f>
        <v/>
      </c>
    </row>
    <row r="478">
      <c r="A478" s="16">
        <f>IF($B478="","",ROW()-4)</f>
        <v/>
      </c>
      <c r="B478" s="17" t="n"/>
      <c r="C478" s="18" t="n"/>
      <c r="D478" s="18" t="n"/>
      <c r="E478" s="19" t="n"/>
      <c r="F478" s="19" t="n"/>
      <c r="G478" s="18" t="n"/>
      <c r="H478" s="18" t="n"/>
      <c r="I478" s="18" t="n"/>
      <c r="J478" s="20" t="n"/>
      <c r="K478" s="21" t="n"/>
      <c r="L478" s="21" t="n"/>
      <c r="M478" s="18" t="n"/>
      <c r="N478" s="22">
        <f>IF($B478="","",CHOOSE(WEEKDAY($B478),"الأحد","الاثنين","الثلاثاء","الأربعاء","الخميس","الجمعة","السبت"))</f>
        <v/>
      </c>
      <c r="O478" s="23">
        <f>IF(OR($K478="",$L478=""),"",HYPERLINK("https://maps.google.com/?q="&amp;$K478&amp;","&amp;$L478,"عرض الموقع"))</f>
        <v/>
      </c>
      <c r="P478" s="23">
        <f>IF(OR($B478="",N($J478)=0),"",HYPERLINK(PhotoDir&amp;"/"&amp;YEAR($B478)&amp;"-"&amp;TEXT(MONTH($B478),"00")&amp;"-"&amp;TEXT(DAY($B478),"00")&amp;"_"&amp;$D478,"فتح الصور ("&amp;$J478&amp;")"))</f>
        <v/>
      </c>
      <c r="Q478" s="24">
        <f>IF($B478="","",MONTH($B478))</f>
        <v/>
      </c>
      <c r="R478" s="24">
        <f>IF($B478="","",YEAR($B478))</f>
        <v/>
      </c>
      <c r="S478" s="25">
        <f>IF($B478="","",$B478-WEEKDAY($B478,3))</f>
        <v/>
      </c>
      <c r="T478" s="24">
        <f>IF($B478="",0,IF(COUNTIFS($B$5:$B478,$B478,$D$5:$D478,$D478)=1,1,0))</f>
        <v/>
      </c>
      <c r="U478" s="24">
        <f>IF($B478="",0,IF(COUNTIFS($B$5:$B478,$B478,$C$5:$C478,$C478)=1,1,0))</f>
        <v/>
      </c>
      <c r="V478" s="24">
        <f>IF(OR($B478="",$G478="",$G478="لا توجد مشاهدات"),0,1)</f>
        <v/>
      </c>
      <c r="W478" s="24">
        <f>IF(AND($B478&lt;&gt;"",$I478="تم تحرير مخالفة"),1,0)</f>
        <v/>
      </c>
      <c r="X478" s="24">
        <f>IF($B478="","",IF($S478=WkStart,COUNTIF($S$5:$S478,WkStart),""))</f>
        <v/>
      </c>
    </row>
    <row r="479">
      <c r="A479" s="16">
        <f>IF($B479="","",ROW()-4)</f>
        <v/>
      </c>
      <c r="B479" s="17" t="n"/>
      <c r="C479" s="18" t="n"/>
      <c r="D479" s="18" t="n"/>
      <c r="E479" s="19" t="n"/>
      <c r="F479" s="19" t="n"/>
      <c r="G479" s="18" t="n"/>
      <c r="H479" s="18" t="n"/>
      <c r="I479" s="18" t="n"/>
      <c r="J479" s="20" t="n"/>
      <c r="K479" s="21" t="n"/>
      <c r="L479" s="21" t="n"/>
      <c r="M479" s="18" t="n"/>
      <c r="N479" s="22">
        <f>IF($B479="","",CHOOSE(WEEKDAY($B479),"الأحد","الاثنين","الثلاثاء","الأربعاء","الخميس","الجمعة","السبت"))</f>
        <v/>
      </c>
      <c r="O479" s="23">
        <f>IF(OR($K479="",$L479=""),"",HYPERLINK("https://maps.google.com/?q="&amp;$K479&amp;","&amp;$L479,"عرض الموقع"))</f>
        <v/>
      </c>
      <c r="P479" s="23">
        <f>IF(OR($B479="",N($J479)=0),"",HYPERLINK(PhotoDir&amp;"/"&amp;YEAR($B479)&amp;"-"&amp;TEXT(MONTH($B479),"00")&amp;"-"&amp;TEXT(DAY($B479),"00")&amp;"_"&amp;$D479,"فتح الصور ("&amp;$J479&amp;")"))</f>
        <v/>
      </c>
      <c r="Q479" s="24">
        <f>IF($B479="","",MONTH($B479))</f>
        <v/>
      </c>
      <c r="R479" s="24">
        <f>IF($B479="","",YEAR($B479))</f>
        <v/>
      </c>
      <c r="S479" s="25">
        <f>IF($B479="","",$B479-WEEKDAY($B479,3))</f>
        <v/>
      </c>
      <c r="T479" s="24">
        <f>IF($B479="",0,IF(COUNTIFS($B$5:$B479,$B479,$D$5:$D479,$D479)=1,1,0))</f>
        <v/>
      </c>
      <c r="U479" s="24">
        <f>IF($B479="",0,IF(COUNTIFS($B$5:$B479,$B479,$C$5:$C479,$C479)=1,1,0))</f>
        <v/>
      </c>
      <c r="V479" s="24">
        <f>IF(OR($B479="",$G479="",$G479="لا توجد مشاهدات"),0,1)</f>
        <v/>
      </c>
      <c r="W479" s="24">
        <f>IF(AND($B479&lt;&gt;"",$I479="تم تحرير مخالفة"),1,0)</f>
        <v/>
      </c>
      <c r="X479" s="24">
        <f>IF($B479="","",IF($S479=WkStart,COUNTIF($S$5:$S479,WkStart),""))</f>
        <v/>
      </c>
    </row>
    <row r="480">
      <c r="A480" s="16">
        <f>IF($B480="","",ROW()-4)</f>
        <v/>
      </c>
      <c r="B480" s="17" t="n"/>
      <c r="C480" s="18" t="n"/>
      <c r="D480" s="18" t="n"/>
      <c r="E480" s="19" t="n"/>
      <c r="F480" s="19" t="n"/>
      <c r="G480" s="18" t="n"/>
      <c r="H480" s="18" t="n"/>
      <c r="I480" s="18" t="n"/>
      <c r="J480" s="20" t="n"/>
      <c r="K480" s="21" t="n"/>
      <c r="L480" s="21" t="n"/>
      <c r="M480" s="18" t="n"/>
      <c r="N480" s="22">
        <f>IF($B480="","",CHOOSE(WEEKDAY($B480),"الأحد","الاثنين","الثلاثاء","الأربعاء","الخميس","الجمعة","السبت"))</f>
        <v/>
      </c>
      <c r="O480" s="23">
        <f>IF(OR($K480="",$L480=""),"",HYPERLINK("https://maps.google.com/?q="&amp;$K480&amp;","&amp;$L480,"عرض الموقع"))</f>
        <v/>
      </c>
      <c r="P480" s="23">
        <f>IF(OR($B480="",N($J480)=0),"",HYPERLINK(PhotoDir&amp;"/"&amp;YEAR($B480)&amp;"-"&amp;TEXT(MONTH($B480),"00")&amp;"-"&amp;TEXT(DAY($B480),"00")&amp;"_"&amp;$D480,"فتح الصور ("&amp;$J480&amp;")"))</f>
        <v/>
      </c>
      <c r="Q480" s="24">
        <f>IF($B480="","",MONTH($B480))</f>
        <v/>
      </c>
      <c r="R480" s="24">
        <f>IF($B480="","",YEAR($B480))</f>
        <v/>
      </c>
      <c r="S480" s="25">
        <f>IF($B480="","",$B480-WEEKDAY($B480,3))</f>
        <v/>
      </c>
      <c r="T480" s="24">
        <f>IF($B480="",0,IF(COUNTIFS($B$5:$B480,$B480,$D$5:$D480,$D480)=1,1,0))</f>
        <v/>
      </c>
      <c r="U480" s="24">
        <f>IF($B480="",0,IF(COUNTIFS($B$5:$B480,$B480,$C$5:$C480,$C480)=1,1,0))</f>
        <v/>
      </c>
      <c r="V480" s="24">
        <f>IF(OR($B480="",$G480="",$G480="لا توجد مشاهدات"),0,1)</f>
        <v/>
      </c>
      <c r="W480" s="24">
        <f>IF(AND($B480&lt;&gt;"",$I480="تم تحرير مخالفة"),1,0)</f>
        <v/>
      </c>
      <c r="X480" s="24">
        <f>IF($B480="","",IF($S480=WkStart,COUNTIF($S$5:$S480,WkStart),""))</f>
        <v/>
      </c>
    </row>
    <row r="481">
      <c r="A481" s="16">
        <f>IF($B481="","",ROW()-4)</f>
        <v/>
      </c>
      <c r="B481" s="17" t="n"/>
      <c r="C481" s="18" t="n"/>
      <c r="D481" s="18" t="n"/>
      <c r="E481" s="19" t="n"/>
      <c r="F481" s="19" t="n"/>
      <c r="G481" s="18" t="n"/>
      <c r="H481" s="18" t="n"/>
      <c r="I481" s="18" t="n"/>
      <c r="J481" s="20" t="n"/>
      <c r="K481" s="21" t="n"/>
      <c r="L481" s="21" t="n"/>
      <c r="M481" s="18" t="n"/>
      <c r="N481" s="22">
        <f>IF($B481="","",CHOOSE(WEEKDAY($B481),"الأحد","الاثنين","الثلاثاء","الأربعاء","الخميس","الجمعة","السبت"))</f>
        <v/>
      </c>
      <c r="O481" s="23">
        <f>IF(OR($K481="",$L481=""),"",HYPERLINK("https://maps.google.com/?q="&amp;$K481&amp;","&amp;$L481,"عرض الموقع"))</f>
        <v/>
      </c>
      <c r="P481" s="23">
        <f>IF(OR($B481="",N($J481)=0),"",HYPERLINK(PhotoDir&amp;"/"&amp;YEAR($B481)&amp;"-"&amp;TEXT(MONTH($B481),"00")&amp;"-"&amp;TEXT(DAY($B481),"00")&amp;"_"&amp;$D481,"فتح الصور ("&amp;$J481&amp;")"))</f>
        <v/>
      </c>
      <c r="Q481" s="24">
        <f>IF($B481="","",MONTH($B481))</f>
        <v/>
      </c>
      <c r="R481" s="24">
        <f>IF($B481="","",YEAR($B481))</f>
        <v/>
      </c>
      <c r="S481" s="25">
        <f>IF($B481="","",$B481-WEEKDAY($B481,3))</f>
        <v/>
      </c>
      <c r="T481" s="24">
        <f>IF($B481="",0,IF(COUNTIFS($B$5:$B481,$B481,$D$5:$D481,$D481)=1,1,0))</f>
        <v/>
      </c>
      <c r="U481" s="24">
        <f>IF($B481="",0,IF(COUNTIFS($B$5:$B481,$B481,$C$5:$C481,$C481)=1,1,0))</f>
        <v/>
      </c>
      <c r="V481" s="24">
        <f>IF(OR($B481="",$G481="",$G481="لا توجد مشاهدات"),0,1)</f>
        <v/>
      </c>
      <c r="W481" s="24">
        <f>IF(AND($B481&lt;&gt;"",$I481="تم تحرير مخالفة"),1,0)</f>
        <v/>
      </c>
      <c r="X481" s="24">
        <f>IF($B481="","",IF($S481=WkStart,COUNTIF($S$5:$S481,WkStart),""))</f>
        <v/>
      </c>
    </row>
    <row r="482">
      <c r="A482" s="16">
        <f>IF($B482="","",ROW()-4)</f>
        <v/>
      </c>
      <c r="B482" s="17" t="n"/>
      <c r="C482" s="18" t="n"/>
      <c r="D482" s="18" t="n"/>
      <c r="E482" s="19" t="n"/>
      <c r="F482" s="19" t="n"/>
      <c r="G482" s="18" t="n"/>
      <c r="H482" s="18" t="n"/>
      <c r="I482" s="18" t="n"/>
      <c r="J482" s="20" t="n"/>
      <c r="K482" s="21" t="n"/>
      <c r="L482" s="21" t="n"/>
      <c r="M482" s="18" t="n"/>
      <c r="N482" s="22">
        <f>IF($B482="","",CHOOSE(WEEKDAY($B482),"الأحد","الاثنين","الثلاثاء","الأربعاء","الخميس","الجمعة","السبت"))</f>
        <v/>
      </c>
      <c r="O482" s="23">
        <f>IF(OR($K482="",$L482=""),"",HYPERLINK("https://maps.google.com/?q="&amp;$K482&amp;","&amp;$L482,"عرض الموقع"))</f>
        <v/>
      </c>
      <c r="P482" s="23">
        <f>IF(OR($B482="",N($J482)=0),"",HYPERLINK(PhotoDir&amp;"/"&amp;YEAR($B482)&amp;"-"&amp;TEXT(MONTH($B482),"00")&amp;"-"&amp;TEXT(DAY($B482),"00")&amp;"_"&amp;$D482,"فتح الصور ("&amp;$J482&amp;")"))</f>
        <v/>
      </c>
      <c r="Q482" s="24">
        <f>IF($B482="","",MONTH($B482))</f>
        <v/>
      </c>
      <c r="R482" s="24">
        <f>IF($B482="","",YEAR($B482))</f>
        <v/>
      </c>
      <c r="S482" s="25">
        <f>IF($B482="","",$B482-WEEKDAY($B482,3))</f>
        <v/>
      </c>
      <c r="T482" s="24">
        <f>IF($B482="",0,IF(COUNTIFS($B$5:$B482,$B482,$D$5:$D482,$D482)=1,1,0))</f>
        <v/>
      </c>
      <c r="U482" s="24">
        <f>IF($B482="",0,IF(COUNTIFS($B$5:$B482,$B482,$C$5:$C482,$C482)=1,1,0))</f>
        <v/>
      </c>
      <c r="V482" s="24">
        <f>IF(OR($B482="",$G482="",$G482="لا توجد مشاهدات"),0,1)</f>
        <v/>
      </c>
      <c r="W482" s="24">
        <f>IF(AND($B482&lt;&gt;"",$I482="تم تحرير مخالفة"),1,0)</f>
        <v/>
      </c>
      <c r="X482" s="24">
        <f>IF($B482="","",IF($S482=WkStart,COUNTIF($S$5:$S482,WkStart),""))</f>
        <v/>
      </c>
    </row>
    <row r="483">
      <c r="A483" s="16">
        <f>IF($B483="","",ROW()-4)</f>
        <v/>
      </c>
      <c r="B483" s="17" t="n"/>
      <c r="C483" s="18" t="n"/>
      <c r="D483" s="18" t="n"/>
      <c r="E483" s="19" t="n"/>
      <c r="F483" s="19" t="n"/>
      <c r="G483" s="18" t="n"/>
      <c r="H483" s="18" t="n"/>
      <c r="I483" s="18" t="n"/>
      <c r="J483" s="20" t="n"/>
      <c r="K483" s="21" t="n"/>
      <c r="L483" s="21" t="n"/>
      <c r="M483" s="18" t="n"/>
      <c r="N483" s="22">
        <f>IF($B483="","",CHOOSE(WEEKDAY($B483),"الأحد","الاثنين","الثلاثاء","الأربعاء","الخميس","الجمعة","السبت"))</f>
        <v/>
      </c>
      <c r="O483" s="23">
        <f>IF(OR($K483="",$L483=""),"",HYPERLINK("https://maps.google.com/?q="&amp;$K483&amp;","&amp;$L483,"عرض الموقع"))</f>
        <v/>
      </c>
      <c r="P483" s="23">
        <f>IF(OR($B483="",N($J483)=0),"",HYPERLINK(PhotoDir&amp;"/"&amp;YEAR($B483)&amp;"-"&amp;TEXT(MONTH($B483),"00")&amp;"-"&amp;TEXT(DAY($B483),"00")&amp;"_"&amp;$D483,"فتح الصور ("&amp;$J483&amp;")"))</f>
        <v/>
      </c>
      <c r="Q483" s="24">
        <f>IF($B483="","",MONTH($B483))</f>
        <v/>
      </c>
      <c r="R483" s="24">
        <f>IF($B483="","",YEAR($B483))</f>
        <v/>
      </c>
      <c r="S483" s="25">
        <f>IF($B483="","",$B483-WEEKDAY($B483,3))</f>
        <v/>
      </c>
      <c r="T483" s="24">
        <f>IF($B483="",0,IF(COUNTIFS($B$5:$B483,$B483,$D$5:$D483,$D483)=1,1,0))</f>
        <v/>
      </c>
      <c r="U483" s="24">
        <f>IF($B483="",0,IF(COUNTIFS($B$5:$B483,$B483,$C$5:$C483,$C483)=1,1,0))</f>
        <v/>
      </c>
      <c r="V483" s="24">
        <f>IF(OR($B483="",$G483="",$G483="لا توجد مشاهدات"),0,1)</f>
        <v/>
      </c>
      <c r="W483" s="24">
        <f>IF(AND($B483&lt;&gt;"",$I483="تم تحرير مخالفة"),1,0)</f>
        <v/>
      </c>
      <c r="X483" s="24">
        <f>IF($B483="","",IF($S483=WkStart,COUNTIF($S$5:$S483,WkStart),""))</f>
        <v/>
      </c>
    </row>
    <row r="484">
      <c r="A484" s="16">
        <f>IF($B484="","",ROW()-4)</f>
        <v/>
      </c>
      <c r="B484" s="17" t="n"/>
      <c r="C484" s="18" t="n"/>
      <c r="D484" s="18" t="n"/>
      <c r="E484" s="19" t="n"/>
      <c r="F484" s="19" t="n"/>
      <c r="G484" s="18" t="n"/>
      <c r="H484" s="18" t="n"/>
      <c r="I484" s="18" t="n"/>
      <c r="J484" s="20" t="n"/>
      <c r="K484" s="21" t="n"/>
      <c r="L484" s="21" t="n"/>
      <c r="M484" s="18" t="n"/>
      <c r="N484" s="22">
        <f>IF($B484="","",CHOOSE(WEEKDAY($B484),"الأحد","الاثنين","الثلاثاء","الأربعاء","الخميس","الجمعة","السبت"))</f>
        <v/>
      </c>
      <c r="O484" s="23">
        <f>IF(OR($K484="",$L484=""),"",HYPERLINK("https://maps.google.com/?q="&amp;$K484&amp;","&amp;$L484,"عرض الموقع"))</f>
        <v/>
      </c>
      <c r="P484" s="23">
        <f>IF(OR($B484="",N($J484)=0),"",HYPERLINK(PhotoDir&amp;"/"&amp;YEAR($B484)&amp;"-"&amp;TEXT(MONTH($B484),"00")&amp;"-"&amp;TEXT(DAY($B484),"00")&amp;"_"&amp;$D484,"فتح الصور ("&amp;$J484&amp;")"))</f>
        <v/>
      </c>
      <c r="Q484" s="24">
        <f>IF($B484="","",MONTH($B484))</f>
        <v/>
      </c>
      <c r="R484" s="24">
        <f>IF($B484="","",YEAR($B484))</f>
        <v/>
      </c>
      <c r="S484" s="25">
        <f>IF($B484="","",$B484-WEEKDAY($B484,3))</f>
        <v/>
      </c>
      <c r="T484" s="24">
        <f>IF($B484="",0,IF(COUNTIFS($B$5:$B484,$B484,$D$5:$D484,$D484)=1,1,0))</f>
        <v/>
      </c>
      <c r="U484" s="24">
        <f>IF($B484="",0,IF(COUNTIFS($B$5:$B484,$B484,$C$5:$C484,$C484)=1,1,0))</f>
        <v/>
      </c>
      <c r="V484" s="24">
        <f>IF(OR($B484="",$G484="",$G484="لا توجد مشاهدات"),0,1)</f>
        <v/>
      </c>
      <c r="W484" s="24">
        <f>IF(AND($B484&lt;&gt;"",$I484="تم تحرير مخالفة"),1,0)</f>
        <v/>
      </c>
      <c r="X484" s="24">
        <f>IF($B484="","",IF($S484=WkStart,COUNTIF($S$5:$S484,WkStart),""))</f>
        <v/>
      </c>
    </row>
    <row r="485">
      <c r="A485" s="16">
        <f>IF($B485="","",ROW()-4)</f>
        <v/>
      </c>
      <c r="B485" s="17" t="n"/>
      <c r="C485" s="18" t="n"/>
      <c r="D485" s="18" t="n"/>
      <c r="E485" s="19" t="n"/>
      <c r="F485" s="19" t="n"/>
      <c r="G485" s="18" t="n"/>
      <c r="H485" s="18" t="n"/>
      <c r="I485" s="18" t="n"/>
      <c r="J485" s="20" t="n"/>
      <c r="K485" s="21" t="n"/>
      <c r="L485" s="21" t="n"/>
      <c r="M485" s="18" t="n"/>
      <c r="N485" s="22">
        <f>IF($B485="","",CHOOSE(WEEKDAY($B485),"الأحد","الاثنين","الثلاثاء","الأربعاء","الخميس","الجمعة","السبت"))</f>
        <v/>
      </c>
      <c r="O485" s="23">
        <f>IF(OR($K485="",$L485=""),"",HYPERLINK("https://maps.google.com/?q="&amp;$K485&amp;","&amp;$L485,"عرض الموقع"))</f>
        <v/>
      </c>
      <c r="P485" s="23">
        <f>IF(OR($B485="",N($J485)=0),"",HYPERLINK(PhotoDir&amp;"/"&amp;YEAR($B485)&amp;"-"&amp;TEXT(MONTH($B485),"00")&amp;"-"&amp;TEXT(DAY($B485),"00")&amp;"_"&amp;$D485,"فتح الصور ("&amp;$J485&amp;")"))</f>
        <v/>
      </c>
      <c r="Q485" s="24">
        <f>IF($B485="","",MONTH($B485))</f>
        <v/>
      </c>
      <c r="R485" s="24">
        <f>IF($B485="","",YEAR($B485))</f>
        <v/>
      </c>
      <c r="S485" s="25">
        <f>IF($B485="","",$B485-WEEKDAY($B485,3))</f>
        <v/>
      </c>
      <c r="T485" s="24">
        <f>IF($B485="",0,IF(COUNTIFS($B$5:$B485,$B485,$D$5:$D485,$D485)=1,1,0))</f>
        <v/>
      </c>
      <c r="U485" s="24">
        <f>IF($B485="",0,IF(COUNTIFS($B$5:$B485,$B485,$C$5:$C485,$C485)=1,1,0))</f>
        <v/>
      </c>
      <c r="V485" s="24">
        <f>IF(OR($B485="",$G485="",$G485="لا توجد مشاهدات"),0,1)</f>
        <v/>
      </c>
      <c r="W485" s="24">
        <f>IF(AND($B485&lt;&gt;"",$I485="تم تحرير مخالفة"),1,0)</f>
        <v/>
      </c>
      <c r="X485" s="24">
        <f>IF($B485="","",IF($S485=WkStart,COUNTIF($S$5:$S485,WkStart),""))</f>
        <v/>
      </c>
    </row>
    <row r="486">
      <c r="A486" s="16">
        <f>IF($B486="","",ROW()-4)</f>
        <v/>
      </c>
      <c r="B486" s="17" t="n"/>
      <c r="C486" s="18" t="n"/>
      <c r="D486" s="18" t="n"/>
      <c r="E486" s="19" t="n"/>
      <c r="F486" s="19" t="n"/>
      <c r="G486" s="18" t="n"/>
      <c r="H486" s="18" t="n"/>
      <c r="I486" s="18" t="n"/>
      <c r="J486" s="20" t="n"/>
      <c r="K486" s="21" t="n"/>
      <c r="L486" s="21" t="n"/>
      <c r="M486" s="18" t="n"/>
      <c r="N486" s="22">
        <f>IF($B486="","",CHOOSE(WEEKDAY($B486),"الأحد","الاثنين","الثلاثاء","الأربعاء","الخميس","الجمعة","السبت"))</f>
        <v/>
      </c>
      <c r="O486" s="23">
        <f>IF(OR($K486="",$L486=""),"",HYPERLINK("https://maps.google.com/?q="&amp;$K486&amp;","&amp;$L486,"عرض الموقع"))</f>
        <v/>
      </c>
      <c r="P486" s="23">
        <f>IF(OR($B486="",N($J486)=0),"",HYPERLINK(PhotoDir&amp;"/"&amp;YEAR($B486)&amp;"-"&amp;TEXT(MONTH($B486),"00")&amp;"-"&amp;TEXT(DAY($B486),"00")&amp;"_"&amp;$D486,"فتح الصور ("&amp;$J486&amp;")"))</f>
        <v/>
      </c>
      <c r="Q486" s="24">
        <f>IF($B486="","",MONTH($B486))</f>
        <v/>
      </c>
      <c r="R486" s="24">
        <f>IF($B486="","",YEAR($B486))</f>
        <v/>
      </c>
      <c r="S486" s="25">
        <f>IF($B486="","",$B486-WEEKDAY($B486,3))</f>
        <v/>
      </c>
      <c r="T486" s="24">
        <f>IF($B486="",0,IF(COUNTIFS($B$5:$B486,$B486,$D$5:$D486,$D486)=1,1,0))</f>
        <v/>
      </c>
      <c r="U486" s="24">
        <f>IF($B486="",0,IF(COUNTIFS($B$5:$B486,$B486,$C$5:$C486,$C486)=1,1,0))</f>
        <v/>
      </c>
      <c r="V486" s="24">
        <f>IF(OR($B486="",$G486="",$G486="لا توجد مشاهدات"),0,1)</f>
        <v/>
      </c>
      <c r="W486" s="24">
        <f>IF(AND($B486&lt;&gt;"",$I486="تم تحرير مخالفة"),1,0)</f>
        <v/>
      </c>
      <c r="X486" s="24">
        <f>IF($B486="","",IF($S486=WkStart,COUNTIF($S$5:$S486,WkStart),""))</f>
        <v/>
      </c>
    </row>
    <row r="487">
      <c r="A487" s="16">
        <f>IF($B487="","",ROW()-4)</f>
        <v/>
      </c>
      <c r="B487" s="17" t="n"/>
      <c r="C487" s="18" t="n"/>
      <c r="D487" s="18" t="n"/>
      <c r="E487" s="19" t="n"/>
      <c r="F487" s="19" t="n"/>
      <c r="G487" s="18" t="n"/>
      <c r="H487" s="18" t="n"/>
      <c r="I487" s="18" t="n"/>
      <c r="J487" s="20" t="n"/>
      <c r="K487" s="21" t="n"/>
      <c r="L487" s="21" t="n"/>
      <c r="M487" s="18" t="n"/>
      <c r="N487" s="22">
        <f>IF($B487="","",CHOOSE(WEEKDAY($B487),"الأحد","الاثنين","الثلاثاء","الأربعاء","الخميس","الجمعة","السبت"))</f>
        <v/>
      </c>
      <c r="O487" s="23">
        <f>IF(OR($K487="",$L487=""),"",HYPERLINK("https://maps.google.com/?q="&amp;$K487&amp;","&amp;$L487,"عرض الموقع"))</f>
        <v/>
      </c>
      <c r="P487" s="23">
        <f>IF(OR($B487="",N($J487)=0),"",HYPERLINK(PhotoDir&amp;"/"&amp;YEAR($B487)&amp;"-"&amp;TEXT(MONTH($B487),"00")&amp;"-"&amp;TEXT(DAY($B487),"00")&amp;"_"&amp;$D487,"فتح الصور ("&amp;$J487&amp;")"))</f>
        <v/>
      </c>
      <c r="Q487" s="24">
        <f>IF($B487="","",MONTH($B487))</f>
        <v/>
      </c>
      <c r="R487" s="24">
        <f>IF($B487="","",YEAR($B487))</f>
        <v/>
      </c>
      <c r="S487" s="25">
        <f>IF($B487="","",$B487-WEEKDAY($B487,3))</f>
        <v/>
      </c>
      <c r="T487" s="24">
        <f>IF($B487="",0,IF(COUNTIFS($B$5:$B487,$B487,$D$5:$D487,$D487)=1,1,0))</f>
        <v/>
      </c>
      <c r="U487" s="24">
        <f>IF($B487="",0,IF(COUNTIFS($B$5:$B487,$B487,$C$5:$C487,$C487)=1,1,0))</f>
        <v/>
      </c>
      <c r="V487" s="24">
        <f>IF(OR($B487="",$G487="",$G487="لا توجد مشاهدات"),0,1)</f>
        <v/>
      </c>
      <c r="W487" s="24">
        <f>IF(AND($B487&lt;&gt;"",$I487="تم تحرير مخالفة"),1,0)</f>
        <v/>
      </c>
      <c r="X487" s="24">
        <f>IF($B487="","",IF($S487=WkStart,COUNTIF($S$5:$S487,WkStart),""))</f>
        <v/>
      </c>
    </row>
    <row r="488">
      <c r="A488" s="16">
        <f>IF($B488="","",ROW()-4)</f>
        <v/>
      </c>
      <c r="B488" s="17" t="n"/>
      <c r="C488" s="18" t="n"/>
      <c r="D488" s="18" t="n"/>
      <c r="E488" s="19" t="n"/>
      <c r="F488" s="19" t="n"/>
      <c r="G488" s="18" t="n"/>
      <c r="H488" s="18" t="n"/>
      <c r="I488" s="18" t="n"/>
      <c r="J488" s="20" t="n"/>
      <c r="K488" s="21" t="n"/>
      <c r="L488" s="21" t="n"/>
      <c r="M488" s="18" t="n"/>
      <c r="N488" s="22">
        <f>IF($B488="","",CHOOSE(WEEKDAY($B488),"الأحد","الاثنين","الثلاثاء","الأربعاء","الخميس","الجمعة","السبت"))</f>
        <v/>
      </c>
      <c r="O488" s="23">
        <f>IF(OR($K488="",$L488=""),"",HYPERLINK("https://maps.google.com/?q="&amp;$K488&amp;","&amp;$L488,"عرض الموقع"))</f>
        <v/>
      </c>
      <c r="P488" s="23">
        <f>IF(OR($B488="",N($J488)=0),"",HYPERLINK(PhotoDir&amp;"/"&amp;YEAR($B488)&amp;"-"&amp;TEXT(MONTH($B488),"00")&amp;"-"&amp;TEXT(DAY($B488),"00")&amp;"_"&amp;$D488,"فتح الصور ("&amp;$J488&amp;")"))</f>
        <v/>
      </c>
      <c r="Q488" s="24">
        <f>IF($B488="","",MONTH($B488))</f>
        <v/>
      </c>
      <c r="R488" s="24">
        <f>IF($B488="","",YEAR($B488))</f>
        <v/>
      </c>
      <c r="S488" s="25">
        <f>IF($B488="","",$B488-WEEKDAY($B488,3))</f>
        <v/>
      </c>
      <c r="T488" s="24">
        <f>IF($B488="",0,IF(COUNTIFS($B$5:$B488,$B488,$D$5:$D488,$D488)=1,1,0))</f>
        <v/>
      </c>
      <c r="U488" s="24">
        <f>IF($B488="",0,IF(COUNTIFS($B$5:$B488,$B488,$C$5:$C488,$C488)=1,1,0))</f>
        <v/>
      </c>
      <c r="V488" s="24">
        <f>IF(OR($B488="",$G488="",$G488="لا توجد مشاهدات"),0,1)</f>
        <v/>
      </c>
      <c r="W488" s="24">
        <f>IF(AND($B488&lt;&gt;"",$I488="تم تحرير مخالفة"),1,0)</f>
        <v/>
      </c>
      <c r="X488" s="24">
        <f>IF($B488="","",IF($S488=WkStart,COUNTIF($S$5:$S488,WkStart),""))</f>
        <v/>
      </c>
    </row>
    <row r="489">
      <c r="A489" s="16">
        <f>IF($B489="","",ROW()-4)</f>
        <v/>
      </c>
      <c r="B489" s="17" t="n"/>
      <c r="C489" s="18" t="n"/>
      <c r="D489" s="18" t="n"/>
      <c r="E489" s="19" t="n"/>
      <c r="F489" s="19" t="n"/>
      <c r="G489" s="18" t="n"/>
      <c r="H489" s="18" t="n"/>
      <c r="I489" s="18" t="n"/>
      <c r="J489" s="20" t="n"/>
      <c r="K489" s="21" t="n"/>
      <c r="L489" s="21" t="n"/>
      <c r="M489" s="18" t="n"/>
      <c r="N489" s="22">
        <f>IF($B489="","",CHOOSE(WEEKDAY($B489),"الأحد","الاثنين","الثلاثاء","الأربعاء","الخميس","الجمعة","السبت"))</f>
        <v/>
      </c>
      <c r="O489" s="23">
        <f>IF(OR($K489="",$L489=""),"",HYPERLINK("https://maps.google.com/?q="&amp;$K489&amp;","&amp;$L489,"عرض الموقع"))</f>
        <v/>
      </c>
      <c r="P489" s="23">
        <f>IF(OR($B489="",N($J489)=0),"",HYPERLINK(PhotoDir&amp;"/"&amp;YEAR($B489)&amp;"-"&amp;TEXT(MONTH($B489),"00")&amp;"-"&amp;TEXT(DAY($B489),"00")&amp;"_"&amp;$D489,"فتح الصور ("&amp;$J489&amp;")"))</f>
        <v/>
      </c>
      <c r="Q489" s="24">
        <f>IF($B489="","",MONTH($B489))</f>
        <v/>
      </c>
      <c r="R489" s="24">
        <f>IF($B489="","",YEAR($B489))</f>
        <v/>
      </c>
      <c r="S489" s="25">
        <f>IF($B489="","",$B489-WEEKDAY($B489,3))</f>
        <v/>
      </c>
      <c r="T489" s="24">
        <f>IF($B489="",0,IF(COUNTIFS($B$5:$B489,$B489,$D$5:$D489,$D489)=1,1,0))</f>
        <v/>
      </c>
      <c r="U489" s="24">
        <f>IF($B489="",0,IF(COUNTIFS($B$5:$B489,$B489,$C$5:$C489,$C489)=1,1,0))</f>
        <v/>
      </c>
      <c r="V489" s="24">
        <f>IF(OR($B489="",$G489="",$G489="لا توجد مشاهدات"),0,1)</f>
        <v/>
      </c>
      <c r="W489" s="24">
        <f>IF(AND($B489&lt;&gt;"",$I489="تم تحرير مخالفة"),1,0)</f>
        <v/>
      </c>
      <c r="X489" s="24">
        <f>IF($B489="","",IF($S489=WkStart,COUNTIF($S$5:$S489,WkStart),""))</f>
        <v/>
      </c>
    </row>
    <row r="490">
      <c r="A490" s="16">
        <f>IF($B490="","",ROW()-4)</f>
        <v/>
      </c>
      <c r="B490" s="17" t="n"/>
      <c r="C490" s="18" t="n"/>
      <c r="D490" s="18" t="n"/>
      <c r="E490" s="19" t="n"/>
      <c r="F490" s="19" t="n"/>
      <c r="G490" s="18" t="n"/>
      <c r="H490" s="18" t="n"/>
      <c r="I490" s="18" t="n"/>
      <c r="J490" s="20" t="n"/>
      <c r="K490" s="21" t="n"/>
      <c r="L490" s="21" t="n"/>
      <c r="M490" s="18" t="n"/>
      <c r="N490" s="22">
        <f>IF($B490="","",CHOOSE(WEEKDAY($B490),"الأحد","الاثنين","الثلاثاء","الأربعاء","الخميس","الجمعة","السبت"))</f>
        <v/>
      </c>
      <c r="O490" s="23">
        <f>IF(OR($K490="",$L490=""),"",HYPERLINK("https://maps.google.com/?q="&amp;$K490&amp;","&amp;$L490,"عرض الموقع"))</f>
        <v/>
      </c>
      <c r="P490" s="23">
        <f>IF(OR($B490="",N($J490)=0),"",HYPERLINK(PhotoDir&amp;"/"&amp;YEAR($B490)&amp;"-"&amp;TEXT(MONTH($B490),"00")&amp;"-"&amp;TEXT(DAY($B490),"00")&amp;"_"&amp;$D490,"فتح الصور ("&amp;$J490&amp;")"))</f>
        <v/>
      </c>
      <c r="Q490" s="24">
        <f>IF($B490="","",MONTH($B490))</f>
        <v/>
      </c>
      <c r="R490" s="24">
        <f>IF($B490="","",YEAR($B490))</f>
        <v/>
      </c>
      <c r="S490" s="25">
        <f>IF($B490="","",$B490-WEEKDAY($B490,3))</f>
        <v/>
      </c>
      <c r="T490" s="24">
        <f>IF($B490="",0,IF(COUNTIFS($B$5:$B490,$B490,$D$5:$D490,$D490)=1,1,0))</f>
        <v/>
      </c>
      <c r="U490" s="24">
        <f>IF($B490="",0,IF(COUNTIFS($B$5:$B490,$B490,$C$5:$C490,$C490)=1,1,0))</f>
        <v/>
      </c>
      <c r="V490" s="24">
        <f>IF(OR($B490="",$G490="",$G490="لا توجد مشاهدات"),0,1)</f>
        <v/>
      </c>
      <c r="W490" s="24">
        <f>IF(AND($B490&lt;&gt;"",$I490="تم تحرير مخالفة"),1,0)</f>
        <v/>
      </c>
      <c r="X490" s="24">
        <f>IF($B490="","",IF($S490=WkStart,COUNTIF($S$5:$S490,WkStart),""))</f>
        <v/>
      </c>
    </row>
    <row r="491">
      <c r="A491" s="16">
        <f>IF($B491="","",ROW()-4)</f>
        <v/>
      </c>
      <c r="B491" s="17" t="n"/>
      <c r="C491" s="18" t="n"/>
      <c r="D491" s="18" t="n"/>
      <c r="E491" s="19" t="n"/>
      <c r="F491" s="19" t="n"/>
      <c r="G491" s="18" t="n"/>
      <c r="H491" s="18" t="n"/>
      <c r="I491" s="18" t="n"/>
      <c r="J491" s="20" t="n"/>
      <c r="K491" s="21" t="n"/>
      <c r="L491" s="21" t="n"/>
      <c r="M491" s="18" t="n"/>
      <c r="N491" s="22">
        <f>IF($B491="","",CHOOSE(WEEKDAY($B491),"الأحد","الاثنين","الثلاثاء","الأربعاء","الخميس","الجمعة","السبت"))</f>
        <v/>
      </c>
      <c r="O491" s="23">
        <f>IF(OR($K491="",$L491=""),"",HYPERLINK("https://maps.google.com/?q="&amp;$K491&amp;","&amp;$L491,"عرض الموقع"))</f>
        <v/>
      </c>
      <c r="P491" s="23">
        <f>IF(OR($B491="",N($J491)=0),"",HYPERLINK(PhotoDir&amp;"/"&amp;YEAR($B491)&amp;"-"&amp;TEXT(MONTH($B491),"00")&amp;"-"&amp;TEXT(DAY($B491),"00")&amp;"_"&amp;$D491,"فتح الصور ("&amp;$J491&amp;")"))</f>
        <v/>
      </c>
      <c r="Q491" s="24">
        <f>IF($B491="","",MONTH($B491))</f>
        <v/>
      </c>
      <c r="R491" s="24">
        <f>IF($B491="","",YEAR($B491))</f>
        <v/>
      </c>
      <c r="S491" s="25">
        <f>IF($B491="","",$B491-WEEKDAY($B491,3))</f>
        <v/>
      </c>
      <c r="T491" s="24">
        <f>IF($B491="",0,IF(COUNTIFS($B$5:$B491,$B491,$D$5:$D491,$D491)=1,1,0))</f>
        <v/>
      </c>
      <c r="U491" s="24">
        <f>IF($B491="",0,IF(COUNTIFS($B$5:$B491,$B491,$C$5:$C491,$C491)=1,1,0))</f>
        <v/>
      </c>
      <c r="V491" s="24">
        <f>IF(OR($B491="",$G491="",$G491="لا توجد مشاهدات"),0,1)</f>
        <v/>
      </c>
      <c r="W491" s="24">
        <f>IF(AND($B491&lt;&gt;"",$I491="تم تحرير مخالفة"),1,0)</f>
        <v/>
      </c>
      <c r="X491" s="24">
        <f>IF($B491="","",IF($S491=WkStart,COUNTIF($S$5:$S491,WkStart),""))</f>
        <v/>
      </c>
    </row>
    <row r="492">
      <c r="A492" s="16">
        <f>IF($B492="","",ROW()-4)</f>
        <v/>
      </c>
      <c r="B492" s="17" t="n"/>
      <c r="C492" s="18" t="n"/>
      <c r="D492" s="18" t="n"/>
      <c r="E492" s="19" t="n"/>
      <c r="F492" s="19" t="n"/>
      <c r="G492" s="18" t="n"/>
      <c r="H492" s="18" t="n"/>
      <c r="I492" s="18" t="n"/>
      <c r="J492" s="20" t="n"/>
      <c r="K492" s="21" t="n"/>
      <c r="L492" s="21" t="n"/>
      <c r="M492" s="18" t="n"/>
      <c r="N492" s="22">
        <f>IF($B492="","",CHOOSE(WEEKDAY($B492),"الأحد","الاثنين","الثلاثاء","الأربعاء","الخميس","الجمعة","السبت"))</f>
        <v/>
      </c>
      <c r="O492" s="23">
        <f>IF(OR($K492="",$L492=""),"",HYPERLINK("https://maps.google.com/?q="&amp;$K492&amp;","&amp;$L492,"عرض الموقع"))</f>
        <v/>
      </c>
      <c r="P492" s="23">
        <f>IF(OR($B492="",N($J492)=0),"",HYPERLINK(PhotoDir&amp;"/"&amp;YEAR($B492)&amp;"-"&amp;TEXT(MONTH($B492),"00")&amp;"-"&amp;TEXT(DAY($B492),"00")&amp;"_"&amp;$D492,"فتح الصور ("&amp;$J492&amp;")"))</f>
        <v/>
      </c>
      <c r="Q492" s="24">
        <f>IF($B492="","",MONTH($B492))</f>
        <v/>
      </c>
      <c r="R492" s="24">
        <f>IF($B492="","",YEAR($B492))</f>
        <v/>
      </c>
      <c r="S492" s="25">
        <f>IF($B492="","",$B492-WEEKDAY($B492,3))</f>
        <v/>
      </c>
      <c r="T492" s="24">
        <f>IF($B492="",0,IF(COUNTIFS($B$5:$B492,$B492,$D$5:$D492,$D492)=1,1,0))</f>
        <v/>
      </c>
      <c r="U492" s="24">
        <f>IF($B492="",0,IF(COUNTIFS($B$5:$B492,$B492,$C$5:$C492,$C492)=1,1,0))</f>
        <v/>
      </c>
      <c r="V492" s="24">
        <f>IF(OR($B492="",$G492="",$G492="لا توجد مشاهدات"),0,1)</f>
        <v/>
      </c>
      <c r="W492" s="24">
        <f>IF(AND($B492&lt;&gt;"",$I492="تم تحرير مخالفة"),1,0)</f>
        <v/>
      </c>
      <c r="X492" s="24">
        <f>IF($B492="","",IF($S492=WkStart,COUNTIF($S$5:$S492,WkStart),""))</f>
        <v/>
      </c>
    </row>
    <row r="493">
      <c r="A493" s="16">
        <f>IF($B493="","",ROW()-4)</f>
        <v/>
      </c>
      <c r="B493" s="17" t="n"/>
      <c r="C493" s="18" t="n"/>
      <c r="D493" s="18" t="n"/>
      <c r="E493" s="19" t="n"/>
      <c r="F493" s="19" t="n"/>
      <c r="G493" s="18" t="n"/>
      <c r="H493" s="18" t="n"/>
      <c r="I493" s="18" t="n"/>
      <c r="J493" s="20" t="n"/>
      <c r="K493" s="21" t="n"/>
      <c r="L493" s="21" t="n"/>
      <c r="M493" s="18" t="n"/>
      <c r="N493" s="22">
        <f>IF($B493="","",CHOOSE(WEEKDAY($B493),"الأحد","الاثنين","الثلاثاء","الأربعاء","الخميس","الجمعة","السبت"))</f>
        <v/>
      </c>
      <c r="O493" s="23">
        <f>IF(OR($K493="",$L493=""),"",HYPERLINK("https://maps.google.com/?q="&amp;$K493&amp;","&amp;$L493,"عرض الموقع"))</f>
        <v/>
      </c>
      <c r="P493" s="23">
        <f>IF(OR($B493="",N($J493)=0),"",HYPERLINK(PhotoDir&amp;"/"&amp;YEAR($B493)&amp;"-"&amp;TEXT(MONTH($B493),"00")&amp;"-"&amp;TEXT(DAY($B493),"00")&amp;"_"&amp;$D493,"فتح الصور ("&amp;$J493&amp;")"))</f>
        <v/>
      </c>
      <c r="Q493" s="24">
        <f>IF($B493="","",MONTH($B493))</f>
        <v/>
      </c>
      <c r="R493" s="24">
        <f>IF($B493="","",YEAR($B493))</f>
        <v/>
      </c>
      <c r="S493" s="25">
        <f>IF($B493="","",$B493-WEEKDAY($B493,3))</f>
        <v/>
      </c>
      <c r="T493" s="24">
        <f>IF($B493="",0,IF(COUNTIFS($B$5:$B493,$B493,$D$5:$D493,$D493)=1,1,0))</f>
        <v/>
      </c>
      <c r="U493" s="24">
        <f>IF($B493="",0,IF(COUNTIFS($B$5:$B493,$B493,$C$5:$C493,$C493)=1,1,0))</f>
        <v/>
      </c>
      <c r="V493" s="24">
        <f>IF(OR($B493="",$G493="",$G493="لا توجد مشاهدات"),0,1)</f>
        <v/>
      </c>
      <c r="W493" s="24">
        <f>IF(AND($B493&lt;&gt;"",$I493="تم تحرير مخالفة"),1,0)</f>
        <v/>
      </c>
      <c r="X493" s="24">
        <f>IF($B493="","",IF($S493=WkStart,COUNTIF($S$5:$S493,WkStart),""))</f>
        <v/>
      </c>
    </row>
    <row r="494">
      <c r="A494" s="16">
        <f>IF($B494="","",ROW()-4)</f>
        <v/>
      </c>
      <c r="B494" s="17" t="n"/>
      <c r="C494" s="18" t="n"/>
      <c r="D494" s="18" t="n"/>
      <c r="E494" s="19" t="n"/>
      <c r="F494" s="19" t="n"/>
      <c r="G494" s="18" t="n"/>
      <c r="H494" s="18" t="n"/>
      <c r="I494" s="18" t="n"/>
      <c r="J494" s="20" t="n"/>
      <c r="K494" s="21" t="n"/>
      <c r="L494" s="21" t="n"/>
      <c r="M494" s="18" t="n"/>
      <c r="N494" s="22">
        <f>IF($B494="","",CHOOSE(WEEKDAY($B494),"الأحد","الاثنين","الثلاثاء","الأربعاء","الخميس","الجمعة","السبت"))</f>
        <v/>
      </c>
      <c r="O494" s="23">
        <f>IF(OR($K494="",$L494=""),"",HYPERLINK("https://maps.google.com/?q="&amp;$K494&amp;","&amp;$L494,"عرض الموقع"))</f>
        <v/>
      </c>
      <c r="P494" s="23">
        <f>IF(OR($B494="",N($J494)=0),"",HYPERLINK(PhotoDir&amp;"/"&amp;YEAR($B494)&amp;"-"&amp;TEXT(MONTH($B494),"00")&amp;"-"&amp;TEXT(DAY($B494),"00")&amp;"_"&amp;$D494,"فتح الصور ("&amp;$J494&amp;")"))</f>
        <v/>
      </c>
      <c r="Q494" s="24">
        <f>IF($B494="","",MONTH($B494))</f>
        <v/>
      </c>
      <c r="R494" s="24">
        <f>IF($B494="","",YEAR($B494))</f>
        <v/>
      </c>
      <c r="S494" s="25">
        <f>IF($B494="","",$B494-WEEKDAY($B494,3))</f>
        <v/>
      </c>
      <c r="T494" s="24">
        <f>IF($B494="",0,IF(COUNTIFS($B$5:$B494,$B494,$D$5:$D494,$D494)=1,1,0))</f>
        <v/>
      </c>
      <c r="U494" s="24">
        <f>IF($B494="",0,IF(COUNTIFS($B$5:$B494,$B494,$C$5:$C494,$C494)=1,1,0))</f>
        <v/>
      </c>
      <c r="V494" s="24">
        <f>IF(OR($B494="",$G494="",$G494="لا توجد مشاهدات"),0,1)</f>
        <v/>
      </c>
      <c r="W494" s="24">
        <f>IF(AND($B494&lt;&gt;"",$I494="تم تحرير مخالفة"),1,0)</f>
        <v/>
      </c>
      <c r="X494" s="24">
        <f>IF($B494="","",IF($S494=WkStart,COUNTIF($S$5:$S494,WkStart),""))</f>
        <v/>
      </c>
    </row>
    <row r="495">
      <c r="A495" s="16">
        <f>IF($B495="","",ROW()-4)</f>
        <v/>
      </c>
      <c r="B495" s="17" t="n"/>
      <c r="C495" s="18" t="n"/>
      <c r="D495" s="18" t="n"/>
      <c r="E495" s="19" t="n"/>
      <c r="F495" s="19" t="n"/>
      <c r="G495" s="18" t="n"/>
      <c r="H495" s="18" t="n"/>
      <c r="I495" s="18" t="n"/>
      <c r="J495" s="20" t="n"/>
      <c r="K495" s="21" t="n"/>
      <c r="L495" s="21" t="n"/>
      <c r="M495" s="18" t="n"/>
      <c r="N495" s="22">
        <f>IF($B495="","",CHOOSE(WEEKDAY($B495),"الأحد","الاثنين","الثلاثاء","الأربعاء","الخميس","الجمعة","السبت"))</f>
        <v/>
      </c>
      <c r="O495" s="23">
        <f>IF(OR($K495="",$L495=""),"",HYPERLINK("https://maps.google.com/?q="&amp;$K495&amp;","&amp;$L495,"عرض الموقع"))</f>
        <v/>
      </c>
      <c r="P495" s="23">
        <f>IF(OR($B495="",N($J495)=0),"",HYPERLINK(PhotoDir&amp;"/"&amp;YEAR($B495)&amp;"-"&amp;TEXT(MONTH($B495),"00")&amp;"-"&amp;TEXT(DAY($B495),"00")&amp;"_"&amp;$D495,"فتح الصور ("&amp;$J495&amp;")"))</f>
        <v/>
      </c>
      <c r="Q495" s="24">
        <f>IF($B495="","",MONTH($B495))</f>
        <v/>
      </c>
      <c r="R495" s="24">
        <f>IF($B495="","",YEAR($B495))</f>
        <v/>
      </c>
      <c r="S495" s="25">
        <f>IF($B495="","",$B495-WEEKDAY($B495,3))</f>
        <v/>
      </c>
      <c r="T495" s="24">
        <f>IF($B495="",0,IF(COUNTIFS($B$5:$B495,$B495,$D$5:$D495,$D495)=1,1,0))</f>
        <v/>
      </c>
      <c r="U495" s="24">
        <f>IF($B495="",0,IF(COUNTIFS($B$5:$B495,$B495,$C$5:$C495,$C495)=1,1,0))</f>
        <v/>
      </c>
      <c r="V495" s="24">
        <f>IF(OR($B495="",$G495="",$G495="لا توجد مشاهدات"),0,1)</f>
        <v/>
      </c>
      <c r="W495" s="24">
        <f>IF(AND($B495&lt;&gt;"",$I495="تم تحرير مخالفة"),1,0)</f>
        <v/>
      </c>
      <c r="X495" s="24">
        <f>IF($B495="","",IF($S495=WkStart,COUNTIF($S$5:$S495,WkStart),""))</f>
        <v/>
      </c>
    </row>
    <row r="496">
      <c r="A496" s="16">
        <f>IF($B496="","",ROW()-4)</f>
        <v/>
      </c>
      <c r="B496" s="17" t="n"/>
      <c r="C496" s="18" t="n"/>
      <c r="D496" s="18" t="n"/>
      <c r="E496" s="19" t="n"/>
      <c r="F496" s="19" t="n"/>
      <c r="G496" s="18" t="n"/>
      <c r="H496" s="18" t="n"/>
      <c r="I496" s="18" t="n"/>
      <c r="J496" s="20" t="n"/>
      <c r="K496" s="21" t="n"/>
      <c r="L496" s="21" t="n"/>
      <c r="M496" s="18" t="n"/>
      <c r="N496" s="22">
        <f>IF($B496="","",CHOOSE(WEEKDAY($B496),"الأحد","الاثنين","الثلاثاء","الأربعاء","الخميس","الجمعة","السبت"))</f>
        <v/>
      </c>
      <c r="O496" s="23">
        <f>IF(OR($K496="",$L496=""),"",HYPERLINK("https://maps.google.com/?q="&amp;$K496&amp;","&amp;$L496,"عرض الموقع"))</f>
        <v/>
      </c>
      <c r="P496" s="23">
        <f>IF(OR($B496="",N($J496)=0),"",HYPERLINK(PhotoDir&amp;"/"&amp;YEAR($B496)&amp;"-"&amp;TEXT(MONTH($B496),"00")&amp;"-"&amp;TEXT(DAY($B496),"00")&amp;"_"&amp;$D496,"فتح الصور ("&amp;$J496&amp;")"))</f>
        <v/>
      </c>
      <c r="Q496" s="24">
        <f>IF($B496="","",MONTH($B496))</f>
        <v/>
      </c>
      <c r="R496" s="24">
        <f>IF($B496="","",YEAR($B496))</f>
        <v/>
      </c>
      <c r="S496" s="25">
        <f>IF($B496="","",$B496-WEEKDAY($B496,3))</f>
        <v/>
      </c>
      <c r="T496" s="24">
        <f>IF($B496="",0,IF(COUNTIFS($B$5:$B496,$B496,$D$5:$D496,$D496)=1,1,0))</f>
        <v/>
      </c>
      <c r="U496" s="24">
        <f>IF($B496="",0,IF(COUNTIFS($B$5:$B496,$B496,$C$5:$C496,$C496)=1,1,0))</f>
        <v/>
      </c>
      <c r="V496" s="24">
        <f>IF(OR($B496="",$G496="",$G496="لا توجد مشاهدات"),0,1)</f>
        <v/>
      </c>
      <c r="W496" s="24">
        <f>IF(AND($B496&lt;&gt;"",$I496="تم تحرير مخالفة"),1,0)</f>
        <v/>
      </c>
      <c r="X496" s="24">
        <f>IF($B496="","",IF($S496=WkStart,COUNTIF($S$5:$S496,WkStart),""))</f>
        <v/>
      </c>
    </row>
    <row r="497">
      <c r="A497" s="16">
        <f>IF($B497="","",ROW()-4)</f>
        <v/>
      </c>
      <c r="B497" s="17" t="n"/>
      <c r="C497" s="18" t="n"/>
      <c r="D497" s="18" t="n"/>
      <c r="E497" s="19" t="n"/>
      <c r="F497" s="19" t="n"/>
      <c r="G497" s="18" t="n"/>
      <c r="H497" s="18" t="n"/>
      <c r="I497" s="18" t="n"/>
      <c r="J497" s="20" t="n"/>
      <c r="K497" s="21" t="n"/>
      <c r="L497" s="21" t="n"/>
      <c r="M497" s="18" t="n"/>
      <c r="N497" s="22">
        <f>IF($B497="","",CHOOSE(WEEKDAY($B497),"الأحد","الاثنين","الثلاثاء","الأربعاء","الخميس","الجمعة","السبت"))</f>
        <v/>
      </c>
      <c r="O497" s="23">
        <f>IF(OR($K497="",$L497=""),"",HYPERLINK("https://maps.google.com/?q="&amp;$K497&amp;","&amp;$L497,"عرض الموقع"))</f>
        <v/>
      </c>
      <c r="P497" s="23">
        <f>IF(OR($B497="",N($J497)=0),"",HYPERLINK(PhotoDir&amp;"/"&amp;YEAR($B497)&amp;"-"&amp;TEXT(MONTH($B497),"00")&amp;"-"&amp;TEXT(DAY($B497),"00")&amp;"_"&amp;$D497,"فتح الصور ("&amp;$J497&amp;")"))</f>
        <v/>
      </c>
      <c r="Q497" s="24">
        <f>IF($B497="","",MONTH($B497))</f>
        <v/>
      </c>
      <c r="R497" s="24">
        <f>IF($B497="","",YEAR($B497))</f>
        <v/>
      </c>
      <c r="S497" s="25">
        <f>IF($B497="","",$B497-WEEKDAY($B497,3))</f>
        <v/>
      </c>
      <c r="T497" s="24">
        <f>IF($B497="",0,IF(COUNTIFS($B$5:$B497,$B497,$D$5:$D497,$D497)=1,1,0))</f>
        <v/>
      </c>
      <c r="U497" s="24">
        <f>IF($B497="",0,IF(COUNTIFS($B$5:$B497,$B497,$C$5:$C497,$C497)=1,1,0))</f>
        <v/>
      </c>
      <c r="V497" s="24">
        <f>IF(OR($B497="",$G497="",$G497="لا توجد مشاهدات"),0,1)</f>
        <v/>
      </c>
      <c r="W497" s="24">
        <f>IF(AND($B497&lt;&gt;"",$I497="تم تحرير مخالفة"),1,0)</f>
        <v/>
      </c>
      <c r="X497" s="24">
        <f>IF($B497="","",IF($S497=WkStart,COUNTIF($S$5:$S497,WkStart),""))</f>
        <v/>
      </c>
    </row>
    <row r="498">
      <c r="A498" s="16">
        <f>IF($B498="","",ROW()-4)</f>
        <v/>
      </c>
      <c r="B498" s="17" t="n"/>
      <c r="C498" s="18" t="n"/>
      <c r="D498" s="18" t="n"/>
      <c r="E498" s="19" t="n"/>
      <c r="F498" s="19" t="n"/>
      <c r="G498" s="18" t="n"/>
      <c r="H498" s="18" t="n"/>
      <c r="I498" s="18" t="n"/>
      <c r="J498" s="20" t="n"/>
      <c r="K498" s="21" t="n"/>
      <c r="L498" s="21" t="n"/>
      <c r="M498" s="18" t="n"/>
      <c r="N498" s="22">
        <f>IF($B498="","",CHOOSE(WEEKDAY($B498),"الأحد","الاثنين","الثلاثاء","الأربعاء","الخميس","الجمعة","السبت"))</f>
        <v/>
      </c>
      <c r="O498" s="23">
        <f>IF(OR($K498="",$L498=""),"",HYPERLINK("https://maps.google.com/?q="&amp;$K498&amp;","&amp;$L498,"عرض الموقع"))</f>
        <v/>
      </c>
      <c r="P498" s="23">
        <f>IF(OR($B498="",N($J498)=0),"",HYPERLINK(PhotoDir&amp;"/"&amp;YEAR($B498)&amp;"-"&amp;TEXT(MONTH($B498),"00")&amp;"-"&amp;TEXT(DAY($B498),"00")&amp;"_"&amp;$D498,"فتح الصور ("&amp;$J498&amp;")"))</f>
        <v/>
      </c>
      <c r="Q498" s="24">
        <f>IF($B498="","",MONTH($B498))</f>
        <v/>
      </c>
      <c r="R498" s="24">
        <f>IF($B498="","",YEAR($B498))</f>
        <v/>
      </c>
      <c r="S498" s="25">
        <f>IF($B498="","",$B498-WEEKDAY($B498,3))</f>
        <v/>
      </c>
      <c r="T498" s="24">
        <f>IF($B498="",0,IF(COUNTIFS($B$5:$B498,$B498,$D$5:$D498,$D498)=1,1,0))</f>
        <v/>
      </c>
      <c r="U498" s="24">
        <f>IF($B498="",0,IF(COUNTIFS($B$5:$B498,$B498,$C$5:$C498,$C498)=1,1,0))</f>
        <v/>
      </c>
      <c r="V498" s="24">
        <f>IF(OR($B498="",$G498="",$G498="لا توجد مشاهدات"),0,1)</f>
        <v/>
      </c>
      <c r="W498" s="24">
        <f>IF(AND($B498&lt;&gt;"",$I498="تم تحرير مخالفة"),1,0)</f>
        <v/>
      </c>
      <c r="X498" s="24">
        <f>IF($B498="","",IF($S498=WkStart,COUNTIF($S$5:$S498,WkStart),""))</f>
        <v/>
      </c>
    </row>
    <row r="499">
      <c r="A499" s="16">
        <f>IF($B499="","",ROW()-4)</f>
        <v/>
      </c>
      <c r="B499" s="17" t="n"/>
      <c r="C499" s="18" t="n"/>
      <c r="D499" s="18" t="n"/>
      <c r="E499" s="19" t="n"/>
      <c r="F499" s="19" t="n"/>
      <c r="G499" s="18" t="n"/>
      <c r="H499" s="18" t="n"/>
      <c r="I499" s="18" t="n"/>
      <c r="J499" s="20" t="n"/>
      <c r="K499" s="21" t="n"/>
      <c r="L499" s="21" t="n"/>
      <c r="M499" s="18" t="n"/>
      <c r="N499" s="22">
        <f>IF($B499="","",CHOOSE(WEEKDAY($B499),"الأحد","الاثنين","الثلاثاء","الأربعاء","الخميس","الجمعة","السبت"))</f>
        <v/>
      </c>
      <c r="O499" s="23">
        <f>IF(OR($K499="",$L499=""),"",HYPERLINK("https://maps.google.com/?q="&amp;$K499&amp;","&amp;$L499,"عرض الموقع"))</f>
        <v/>
      </c>
      <c r="P499" s="23">
        <f>IF(OR($B499="",N($J499)=0),"",HYPERLINK(PhotoDir&amp;"/"&amp;YEAR($B499)&amp;"-"&amp;TEXT(MONTH($B499),"00")&amp;"-"&amp;TEXT(DAY($B499),"00")&amp;"_"&amp;$D499,"فتح الصور ("&amp;$J499&amp;")"))</f>
        <v/>
      </c>
      <c r="Q499" s="24">
        <f>IF($B499="","",MONTH($B499))</f>
        <v/>
      </c>
      <c r="R499" s="24">
        <f>IF($B499="","",YEAR($B499))</f>
        <v/>
      </c>
      <c r="S499" s="25">
        <f>IF($B499="","",$B499-WEEKDAY($B499,3))</f>
        <v/>
      </c>
      <c r="T499" s="24">
        <f>IF($B499="",0,IF(COUNTIFS($B$5:$B499,$B499,$D$5:$D499,$D499)=1,1,0))</f>
        <v/>
      </c>
      <c r="U499" s="24">
        <f>IF($B499="",0,IF(COUNTIFS($B$5:$B499,$B499,$C$5:$C499,$C499)=1,1,0))</f>
        <v/>
      </c>
      <c r="V499" s="24">
        <f>IF(OR($B499="",$G499="",$G499="لا توجد مشاهدات"),0,1)</f>
        <v/>
      </c>
      <c r="W499" s="24">
        <f>IF(AND($B499&lt;&gt;"",$I499="تم تحرير مخالفة"),1,0)</f>
        <v/>
      </c>
      <c r="X499" s="24">
        <f>IF($B499="","",IF($S499=WkStart,COUNTIF($S$5:$S499,WkStart),""))</f>
        <v/>
      </c>
    </row>
    <row r="500">
      <c r="A500" s="16">
        <f>IF($B500="","",ROW()-4)</f>
        <v/>
      </c>
      <c r="B500" s="17" t="n"/>
      <c r="C500" s="18" t="n"/>
      <c r="D500" s="18" t="n"/>
      <c r="E500" s="19" t="n"/>
      <c r="F500" s="19" t="n"/>
      <c r="G500" s="18" t="n"/>
      <c r="H500" s="18" t="n"/>
      <c r="I500" s="18" t="n"/>
      <c r="J500" s="20" t="n"/>
      <c r="K500" s="21" t="n"/>
      <c r="L500" s="21" t="n"/>
      <c r="M500" s="18" t="n"/>
      <c r="N500" s="22">
        <f>IF($B500="","",CHOOSE(WEEKDAY($B500),"الأحد","الاثنين","الثلاثاء","الأربعاء","الخميس","الجمعة","السبت"))</f>
        <v/>
      </c>
      <c r="O500" s="23">
        <f>IF(OR($K500="",$L500=""),"",HYPERLINK("https://maps.google.com/?q="&amp;$K500&amp;","&amp;$L500,"عرض الموقع"))</f>
        <v/>
      </c>
      <c r="P500" s="23">
        <f>IF(OR($B500="",N($J500)=0),"",HYPERLINK(PhotoDir&amp;"/"&amp;YEAR($B500)&amp;"-"&amp;TEXT(MONTH($B500),"00")&amp;"-"&amp;TEXT(DAY($B500),"00")&amp;"_"&amp;$D500,"فتح الصور ("&amp;$J500&amp;")"))</f>
        <v/>
      </c>
      <c r="Q500" s="24">
        <f>IF($B500="","",MONTH($B500))</f>
        <v/>
      </c>
      <c r="R500" s="24">
        <f>IF($B500="","",YEAR($B500))</f>
        <v/>
      </c>
      <c r="S500" s="25">
        <f>IF($B500="","",$B500-WEEKDAY($B500,3))</f>
        <v/>
      </c>
      <c r="T500" s="24">
        <f>IF($B500="",0,IF(COUNTIFS($B$5:$B500,$B500,$D$5:$D500,$D500)=1,1,0))</f>
        <v/>
      </c>
      <c r="U500" s="24">
        <f>IF($B500="",0,IF(COUNTIFS($B$5:$B500,$B500,$C$5:$C500,$C500)=1,1,0))</f>
        <v/>
      </c>
      <c r="V500" s="24">
        <f>IF(OR($B500="",$G500="",$G500="لا توجد مشاهدات"),0,1)</f>
        <v/>
      </c>
      <c r="W500" s="24">
        <f>IF(AND($B500&lt;&gt;"",$I500="تم تحرير مخالفة"),1,0)</f>
        <v/>
      </c>
      <c r="X500" s="24">
        <f>IF($B500="","",IF($S500=WkStart,COUNTIF($S$5:$S500,WkStart),""))</f>
        <v/>
      </c>
    </row>
    <row r="501">
      <c r="A501" s="16">
        <f>IF($B501="","",ROW()-4)</f>
        <v/>
      </c>
      <c r="B501" s="17" t="n"/>
      <c r="C501" s="18" t="n"/>
      <c r="D501" s="18" t="n"/>
      <c r="E501" s="19" t="n"/>
      <c r="F501" s="19" t="n"/>
      <c r="G501" s="18" t="n"/>
      <c r="H501" s="18" t="n"/>
      <c r="I501" s="18" t="n"/>
      <c r="J501" s="20" t="n"/>
      <c r="K501" s="21" t="n"/>
      <c r="L501" s="21" t="n"/>
      <c r="M501" s="18" t="n"/>
      <c r="N501" s="22">
        <f>IF($B501="","",CHOOSE(WEEKDAY($B501),"الأحد","الاثنين","الثلاثاء","الأربعاء","الخميس","الجمعة","السبت"))</f>
        <v/>
      </c>
      <c r="O501" s="23">
        <f>IF(OR($K501="",$L501=""),"",HYPERLINK("https://maps.google.com/?q="&amp;$K501&amp;","&amp;$L501,"عرض الموقع"))</f>
        <v/>
      </c>
      <c r="P501" s="23">
        <f>IF(OR($B501="",N($J501)=0),"",HYPERLINK(PhotoDir&amp;"/"&amp;YEAR($B501)&amp;"-"&amp;TEXT(MONTH($B501),"00")&amp;"-"&amp;TEXT(DAY($B501),"00")&amp;"_"&amp;$D501,"فتح الصور ("&amp;$J501&amp;")"))</f>
        <v/>
      </c>
      <c r="Q501" s="24">
        <f>IF($B501="","",MONTH($B501))</f>
        <v/>
      </c>
      <c r="R501" s="24">
        <f>IF($B501="","",YEAR($B501))</f>
        <v/>
      </c>
      <c r="S501" s="25">
        <f>IF($B501="","",$B501-WEEKDAY($B501,3))</f>
        <v/>
      </c>
      <c r="T501" s="24">
        <f>IF($B501="",0,IF(COUNTIFS($B$5:$B501,$B501,$D$5:$D501,$D501)=1,1,0))</f>
        <v/>
      </c>
      <c r="U501" s="24">
        <f>IF($B501="",0,IF(COUNTIFS($B$5:$B501,$B501,$C$5:$C501,$C501)=1,1,0))</f>
        <v/>
      </c>
      <c r="V501" s="24">
        <f>IF(OR($B501="",$G501="",$G501="لا توجد مشاهدات"),0,1)</f>
        <v/>
      </c>
      <c r="W501" s="24">
        <f>IF(AND($B501&lt;&gt;"",$I501="تم تحرير مخالفة"),1,0)</f>
        <v/>
      </c>
      <c r="X501" s="24">
        <f>IF($B501="","",IF($S501=WkStart,COUNTIF($S$5:$S501,WkStart),""))</f>
        <v/>
      </c>
    </row>
    <row r="502">
      <c r="A502" s="16">
        <f>IF($B502="","",ROW()-4)</f>
        <v/>
      </c>
      <c r="B502" s="17" t="n"/>
      <c r="C502" s="18" t="n"/>
      <c r="D502" s="18" t="n"/>
      <c r="E502" s="19" t="n"/>
      <c r="F502" s="19" t="n"/>
      <c r="G502" s="18" t="n"/>
      <c r="H502" s="18" t="n"/>
      <c r="I502" s="18" t="n"/>
      <c r="J502" s="20" t="n"/>
      <c r="K502" s="21" t="n"/>
      <c r="L502" s="21" t="n"/>
      <c r="M502" s="18" t="n"/>
      <c r="N502" s="22">
        <f>IF($B502="","",CHOOSE(WEEKDAY($B502),"الأحد","الاثنين","الثلاثاء","الأربعاء","الخميس","الجمعة","السبت"))</f>
        <v/>
      </c>
      <c r="O502" s="23">
        <f>IF(OR($K502="",$L502=""),"",HYPERLINK("https://maps.google.com/?q="&amp;$K502&amp;","&amp;$L502,"عرض الموقع"))</f>
        <v/>
      </c>
      <c r="P502" s="23">
        <f>IF(OR($B502="",N($J502)=0),"",HYPERLINK(PhotoDir&amp;"/"&amp;YEAR($B502)&amp;"-"&amp;TEXT(MONTH($B502),"00")&amp;"-"&amp;TEXT(DAY($B502),"00")&amp;"_"&amp;$D502,"فتح الصور ("&amp;$J502&amp;")"))</f>
        <v/>
      </c>
      <c r="Q502" s="24">
        <f>IF($B502="","",MONTH($B502))</f>
        <v/>
      </c>
      <c r="R502" s="24">
        <f>IF($B502="","",YEAR($B502))</f>
        <v/>
      </c>
      <c r="S502" s="25">
        <f>IF($B502="","",$B502-WEEKDAY($B502,3))</f>
        <v/>
      </c>
      <c r="T502" s="24">
        <f>IF($B502="",0,IF(COUNTIFS($B$5:$B502,$B502,$D$5:$D502,$D502)=1,1,0))</f>
        <v/>
      </c>
      <c r="U502" s="24">
        <f>IF($B502="",0,IF(COUNTIFS($B$5:$B502,$B502,$C$5:$C502,$C502)=1,1,0))</f>
        <v/>
      </c>
      <c r="V502" s="24">
        <f>IF(OR($B502="",$G502="",$G502="لا توجد مشاهدات"),0,1)</f>
        <v/>
      </c>
      <c r="W502" s="24">
        <f>IF(AND($B502&lt;&gt;"",$I502="تم تحرير مخالفة"),1,0)</f>
        <v/>
      </c>
      <c r="X502" s="24">
        <f>IF($B502="","",IF($S502=WkStart,COUNTIF($S$5:$S502,WkStart),""))</f>
        <v/>
      </c>
    </row>
    <row r="503">
      <c r="A503" s="16">
        <f>IF($B503="","",ROW()-4)</f>
        <v/>
      </c>
      <c r="B503" s="17" t="n"/>
      <c r="C503" s="18" t="n"/>
      <c r="D503" s="18" t="n"/>
      <c r="E503" s="19" t="n"/>
      <c r="F503" s="19" t="n"/>
      <c r="G503" s="18" t="n"/>
      <c r="H503" s="18" t="n"/>
      <c r="I503" s="18" t="n"/>
      <c r="J503" s="20" t="n"/>
      <c r="K503" s="21" t="n"/>
      <c r="L503" s="21" t="n"/>
      <c r="M503" s="18" t="n"/>
      <c r="N503" s="22">
        <f>IF($B503="","",CHOOSE(WEEKDAY($B503),"الأحد","الاثنين","الثلاثاء","الأربعاء","الخميس","الجمعة","السبت"))</f>
        <v/>
      </c>
      <c r="O503" s="23">
        <f>IF(OR($K503="",$L503=""),"",HYPERLINK("https://maps.google.com/?q="&amp;$K503&amp;","&amp;$L503,"عرض الموقع"))</f>
        <v/>
      </c>
      <c r="P503" s="23">
        <f>IF(OR($B503="",N($J503)=0),"",HYPERLINK(PhotoDir&amp;"/"&amp;YEAR($B503)&amp;"-"&amp;TEXT(MONTH($B503),"00")&amp;"-"&amp;TEXT(DAY($B503),"00")&amp;"_"&amp;$D503,"فتح الصور ("&amp;$J503&amp;")"))</f>
        <v/>
      </c>
      <c r="Q503" s="24">
        <f>IF($B503="","",MONTH($B503))</f>
        <v/>
      </c>
      <c r="R503" s="24">
        <f>IF($B503="","",YEAR($B503))</f>
        <v/>
      </c>
      <c r="S503" s="25">
        <f>IF($B503="","",$B503-WEEKDAY($B503,3))</f>
        <v/>
      </c>
      <c r="T503" s="24">
        <f>IF($B503="",0,IF(COUNTIFS($B$5:$B503,$B503,$D$5:$D503,$D503)=1,1,0))</f>
        <v/>
      </c>
      <c r="U503" s="24">
        <f>IF($B503="",0,IF(COUNTIFS($B$5:$B503,$B503,$C$5:$C503,$C503)=1,1,0))</f>
        <v/>
      </c>
      <c r="V503" s="24">
        <f>IF(OR($B503="",$G503="",$G503="لا توجد مشاهدات"),0,1)</f>
        <v/>
      </c>
      <c r="W503" s="24">
        <f>IF(AND($B503&lt;&gt;"",$I503="تم تحرير مخالفة"),1,0)</f>
        <v/>
      </c>
      <c r="X503" s="24">
        <f>IF($B503="","",IF($S503=WkStart,COUNTIF($S$5:$S503,WkStart),""))</f>
        <v/>
      </c>
    </row>
    <row r="504">
      <c r="A504" s="16">
        <f>IF($B504="","",ROW()-4)</f>
        <v/>
      </c>
      <c r="B504" s="17" t="n"/>
      <c r="C504" s="18" t="n"/>
      <c r="D504" s="18" t="n"/>
      <c r="E504" s="19" t="n"/>
      <c r="F504" s="19" t="n"/>
      <c r="G504" s="18" t="n"/>
      <c r="H504" s="18" t="n"/>
      <c r="I504" s="18" t="n"/>
      <c r="J504" s="20" t="n"/>
      <c r="K504" s="21" t="n"/>
      <c r="L504" s="21" t="n"/>
      <c r="M504" s="18" t="n"/>
      <c r="N504" s="22">
        <f>IF($B504="","",CHOOSE(WEEKDAY($B504),"الأحد","الاثنين","الثلاثاء","الأربعاء","الخميس","الجمعة","السبت"))</f>
        <v/>
      </c>
      <c r="O504" s="23">
        <f>IF(OR($K504="",$L504=""),"",HYPERLINK("https://maps.google.com/?q="&amp;$K504&amp;","&amp;$L504,"عرض الموقع"))</f>
        <v/>
      </c>
      <c r="P504" s="23">
        <f>IF(OR($B504="",N($J504)=0),"",HYPERLINK(PhotoDir&amp;"/"&amp;YEAR($B504)&amp;"-"&amp;TEXT(MONTH($B504),"00")&amp;"-"&amp;TEXT(DAY($B504),"00")&amp;"_"&amp;$D504,"فتح الصور ("&amp;$J504&amp;")"))</f>
        <v/>
      </c>
      <c r="Q504" s="24">
        <f>IF($B504="","",MONTH($B504))</f>
        <v/>
      </c>
      <c r="R504" s="24">
        <f>IF($B504="","",YEAR($B504))</f>
        <v/>
      </c>
      <c r="S504" s="25">
        <f>IF($B504="","",$B504-WEEKDAY($B504,3))</f>
        <v/>
      </c>
      <c r="T504" s="24">
        <f>IF($B504="",0,IF(COUNTIFS($B$5:$B504,$B504,$D$5:$D504,$D504)=1,1,0))</f>
        <v/>
      </c>
      <c r="U504" s="24">
        <f>IF($B504="",0,IF(COUNTIFS($B$5:$B504,$B504,$C$5:$C504,$C504)=1,1,0))</f>
        <v/>
      </c>
      <c r="V504" s="24">
        <f>IF(OR($B504="",$G504="",$G504="لا توجد مشاهدات"),0,1)</f>
        <v/>
      </c>
      <c r="W504" s="24">
        <f>IF(AND($B504&lt;&gt;"",$I504="تم تحرير مخالفة"),1,0)</f>
        <v/>
      </c>
      <c r="X504" s="24">
        <f>IF($B504="","",IF($S504=WkStart,COUNTIF($S$5:$S504,WkStart),""))</f>
        <v/>
      </c>
    </row>
    <row r="505">
      <c r="A505" s="16">
        <f>IF($B505="","",ROW()-4)</f>
        <v/>
      </c>
      <c r="B505" s="17" t="n"/>
      <c r="C505" s="18" t="n"/>
      <c r="D505" s="18" t="n"/>
      <c r="E505" s="19" t="n"/>
      <c r="F505" s="19" t="n"/>
      <c r="G505" s="18" t="n"/>
      <c r="H505" s="18" t="n"/>
      <c r="I505" s="18" t="n"/>
      <c r="J505" s="20" t="n"/>
      <c r="K505" s="21" t="n"/>
      <c r="L505" s="21" t="n"/>
      <c r="M505" s="18" t="n"/>
      <c r="N505" s="22">
        <f>IF($B505="","",CHOOSE(WEEKDAY($B505),"الأحد","الاثنين","الثلاثاء","الأربعاء","الخميس","الجمعة","السبت"))</f>
        <v/>
      </c>
      <c r="O505" s="23">
        <f>IF(OR($K505="",$L505=""),"",HYPERLINK("https://maps.google.com/?q="&amp;$K505&amp;","&amp;$L505,"عرض الموقع"))</f>
        <v/>
      </c>
      <c r="P505" s="23">
        <f>IF(OR($B505="",N($J505)=0),"",HYPERLINK(PhotoDir&amp;"/"&amp;YEAR($B505)&amp;"-"&amp;TEXT(MONTH($B505),"00")&amp;"-"&amp;TEXT(DAY($B505),"00")&amp;"_"&amp;$D505,"فتح الصور ("&amp;$J505&amp;")"))</f>
        <v/>
      </c>
      <c r="Q505" s="24">
        <f>IF($B505="","",MONTH($B505))</f>
        <v/>
      </c>
      <c r="R505" s="24">
        <f>IF($B505="","",YEAR($B505))</f>
        <v/>
      </c>
      <c r="S505" s="25">
        <f>IF($B505="","",$B505-WEEKDAY($B505,3))</f>
        <v/>
      </c>
      <c r="T505" s="24">
        <f>IF($B505="",0,IF(COUNTIFS($B$5:$B505,$B505,$D$5:$D505,$D505)=1,1,0))</f>
        <v/>
      </c>
      <c r="U505" s="24">
        <f>IF($B505="",0,IF(COUNTIFS($B$5:$B505,$B505,$C$5:$C505,$C505)=1,1,0))</f>
        <v/>
      </c>
      <c r="V505" s="24">
        <f>IF(OR($B505="",$G505="",$G505="لا توجد مشاهدات"),0,1)</f>
        <v/>
      </c>
      <c r="W505" s="24">
        <f>IF(AND($B505&lt;&gt;"",$I505="تم تحرير مخالفة"),1,0)</f>
        <v/>
      </c>
      <c r="X505" s="24">
        <f>IF($B505="","",IF($S505=WkStart,COUNTIF($S$5:$S505,WkStart),""))</f>
        <v/>
      </c>
    </row>
    <row r="506">
      <c r="A506" s="16">
        <f>IF($B506="","",ROW()-4)</f>
        <v/>
      </c>
      <c r="B506" s="17" t="n"/>
      <c r="C506" s="18" t="n"/>
      <c r="D506" s="18" t="n"/>
      <c r="E506" s="19" t="n"/>
      <c r="F506" s="19" t="n"/>
      <c r="G506" s="18" t="n"/>
      <c r="H506" s="18" t="n"/>
      <c r="I506" s="18" t="n"/>
      <c r="J506" s="20" t="n"/>
      <c r="K506" s="21" t="n"/>
      <c r="L506" s="21" t="n"/>
      <c r="M506" s="18" t="n"/>
      <c r="N506" s="22">
        <f>IF($B506="","",CHOOSE(WEEKDAY($B506),"الأحد","الاثنين","الثلاثاء","الأربعاء","الخميس","الجمعة","السبت"))</f>
        <v/>
      </c>
      <c r="O506" s="23">
        <f>IF(OR($K506="",$L506=""),"",HYPERLINK("https://maps.google.com/?q="&amp;$K506&amp;","&amp;$L506,"عرض الموقع"))</f>
        <v/>
      </c>
      <c r="P506" s="23">
        <f>IF(OR($B506="",N($J506)=0),"",HYPERLINK(PhotoDir&amp;"/"&amp;YEAR($B506)&amp;"-"&amp;TEXT(MONTH($B506),"00")&amp;"-"&amp;TEXT(DAY($B506),"00")&amp;"_"&amp;$D506,"فتح الصور ("&amp;$J506&amp;")"))</f>
        <v/>
      </c>
      <c r="Q506" s="24">
        <f>IF($B506="","",MONTH($B506))</f>
        <v/>
      </c>
      <c r="R506" s="24">
        <f>IF($B506="","",YEAR($B506))</f>
        <v/>
      </c>
      <c r="S506" s="25">
        <f>IF($B506="","",$B506-WEEKDAY($B506,3))</f>
        <v/>
      </c>
      <c r="T506" s="24">
        <f>IF($B506="",0,IF(COUNTIFS($B$5:$B506,$B506,$D$5:$D506,$D506)=1,1,0))</f>
        <v/>
      </c>
      <c r="U506" s="24">
        <f>IF($B506="",0,IF(COUNTIFS($B$5:$B506,$B506,$C$5:$C506,$C506)=1,1,0))</f>
        <v/>
      </c>
      <c r="V506" s="24">
        <f>IF(OR($B506="",$G506="",$G506="لا توجد مشاهدات"),0,1)</f>
        <v/>
      </c>
      <c r="W506" s="24">
        <f>IF(AND($B506&lt;&gt;"",$I506="تم تحرير مخالفة"),1,0)</f>
        <v/>
      </c>
      <c r="X506" s="24">
        <f>IF($B506="","",IF($S506=WkStart,COUNTIF($S$5:$S506,WkStart),""))</f>
        <v/>
      </c>
    </row>
    <row r="507">
      <c r="A507" s="16">
        <f>IF($B507="","",ROW()-4)</f>
        <v/>
      </c>
      <c r="B507" s="17" t="n"/>
      <c r="C507" s="18" t="n"/>
      <c r="D507" s="18" t="n"/>
      <c r="E507" s="19" t="n"/>
      <c r="F507" s="19" t="n"/>
      <c r="G507" s="18" t="n"/>
      <c r="H507" s="18" t="n"/>
      <c r="I507" s="18" t="n"/>
      <c r="J507" s="20" t="n"/>
      <c r="K507" s="21" t="n"/>
      <c r="L507" s="21" t="n"/>
      <c r="M507" s="18" t="n"/>
      <c r="N507" s="22">
        <f>IF($B507="","",CHOOSE(WEEKDAY($B507),"الأحد","الاثنين","الثلاثاء","الأربعاء","الخميس","الجمعة","السبت"))</f>
        <v/>
      </c>
      <c r="O507" s="23">
        <f>IF(OR($K507="",$L507=""),"",HYPERLINK("https://maps.google.com/?q="&amp;$K507&amp;","&amp;$L507,"عرض الموقع"))</f>
        <v/>
      </c>
      <c r="P507" s="23">
        <f>IF(OR($B507="",N($J507)=0),"",HYPERLINK(PhotoDir&amp;"/"&amp;YEAR($B507)&amp;"-"&amp;TEXT(MONTH($B507),"00")&amp;"-"&amp;TEXT(DAY($B507),"00")&amp;"_"&amp;$D507,"فتح الصور ("&amp;$J507&amp;")"))</f>
        <v/>
      </c>
      <c r="Q507" s="24">
        <f>IF($B507="","",MONTH($B507))</f>
        <v/>
      </c>
      <c r="R507" s="24">
        <f>IF($B507="","",YEAR($B507))</f>
        <v/>
      </c>
      <c r="S507" s="25">
        <f>IF($B507="","",$B507-WEEKDAY($B507,3))</f>
        <v/>
      </c>
      <c r="T507" s="24">
        <f>IF($B507="",0,IF(COUNTIFS($B$5:$B507,$B507,$D$5:$D507,$D507)=1,1,0))</f>
        <v/>
      </c>
      <c r="U507" s="24">
        <f>IF($B507="",0,IF(COUNTIFS($B$5:$B507,$B507,$C$5:$C507,$C507)=1,1,0))</f>
        <v/>
      </c>
      <c r="V507" s="24">
        <f>IF(OR($B507="",$G507="",$G507="لا توجد مشاهدات"),0,1)</f>
        <v/>
      </c>
      <c r="W507" s="24">
        <f>IF(AND($B507&lt;&gt;"",$I507="تم تحرير مخالفة"),1,0)</f>
        <v/>
      </c>
      <c r="X507" s="24">
        <f>IF($B507="","",IF($S507=WkStart,COUNTIF($S$5:$S507,WkStart),""))</f>
        <v/>
      </c>
    </row>
    <row r="508">
      <c r="A508" s="16">
        <f>IF($B508="","",ROW()-4)</f>
        <v/>
      </c>
      <c r="B508" s="17" t="n"/>
      <c r="C508" s="18" t="n"/>
      <c r="D508" s="18" t="n"/>
      <c r="E508" s="19" t="n"/>
      <c r="F508" s="19" t="n"/>
      <c r="G508" s="18" t="n"/>
      <c r="H508" s="18" t="n"/>
      <c r="I508" s="18" t="n"/>
      <c r="J508" s="20" t="n"/>
      <c r="K508" s="21" t="n"/>
      <c r="L508" s="21" t="n"/>
      <c r="M508" s="18" t="n"/>
      <c r="N508" s="22">
        <f>IF($B508="","",CHOOSE(WEEKDAY($B508),"الأحد","الاثنين","الثلاثاء","الأربعاء","الخميس","الجمعة","السبت"))</f>
        <v/>
      </c>
      <c r="O508" s="23">
        <f>IF(OR($K508="",$L508=""),"",HYPERLINK("https://maps.google.com/?q="&amp;$K508&amp;","&amp;$L508,"عرض الموقع"))</f>
        <v/>
      </c>
      <c r="P508" s="23">
        <f>IF(OR($B508="",N($J508)=0),"",HYPERLINK(PhotoDir&amp;"/"&amp;YEAR($B508)&amp;"-"&amp;TEXT(MONTH($B508),"00")&amp;"-"&amp;TEXT(DAY($B508),"00")&amp;"_"&amp;$D508,"فتح الصور ("&amp;$J508&amp;")"))</f>
        <v/>
      </c>
      <c r="Q508" s="24">
        <f>IF($B508="","",MONTH($B508))</f>
        <v/>
      </c>
      <c r="R508" s="24">
        <f>IF($B508="","",YEAR($B508))</f>
        <v/>
      </c>
      <c r="S508" s="25">
        <f>IF($B508="","",$B508-WEEKDAY($B508,3))</f>
        <v/>
      </c>
      <c r="T508" s="24">
        <f>IF($B508="",0,IF(COUNTIFS($B$5:$B508,$B508,$D$5:$D508,$D508)=1,1,0))</f>
        <v/>
      </c>
      <c r="U508" s="24">
        <f>IF($B508="",0,IF(COUNTIFS($B$5:$B508,$B508,$C$5:$C508,$C508)=1,1,0))</f>
        <v/>
      </c>
      <c r="V508" s="24">
        <f>IF(OR($B508="",$G508="",$G508="لا توجد مشاهدات"),0,1)</f>
        <v/>
      </c>
      <c r="W508" s="24">
        <f>IF(AND($B508&lt;&gt;"",$I508="تم تحرير مخالفة"),1,0)</f>
        <v/>
      </c>
      <c r="X508" s="24">
        <f>IF($B508="","",IF($S508=WkStart,COUNTIF($S$5:$S508,WkStart),""))</f>
        <v/>
      </c>
    </row>
    <row r="509">
      <c r="A509" s="16">
        <f>IF($B509="","",ROW()-4)</f>
        <v/>
      </c>
      <c r="B509" s="17" t="n"/>
      <c r="C509" s="18" t="n"/>
      <c r="D509" s="18" t="n"/>
      <c r="E509" s="19" t="n"/>
      <c r="F509" s="19" t="n"/>
      <c r="G509" s="18" t="n"/>
      <c r="H509" s="18" t="n"/>
      <c r="I509" s="18" t="n"/>
      <c r="J509" s="20" t="n"/>
      <c r="K509" s="21" t="n"/>
      <c r="L509" s="21" t="n"/>
      <c r="M509" s="18" t="n"/>
      <c r="N509" s="22">
        <f>IF($B509="","",CHOOSE(WEEKDAY($B509),"الأحد","الاثنين","الثلاثاء","الأربعاء","الخميس","الجمعة","السبت"))</f>
        <v/>
      </c>
      <c r="O509" s="23">
        <f>IF(OR($K509="",$L509=""),"",HYPERLINK("https://maps.google.com/?q="&amp;$K509&amp;","&amp;$L509,"عرض الموقع"))</f>
        <v/>
      </c>
      <c r="P509" s="23">
        <f>IF(OR($B509="",N($J509)=0),"",HYPERLINK(PhotoDir&amp;"/"&amp;YEAR($B509)&amp;"-"&amp;TEXT(MONTH($B509),"00")&amp;"-"&amp;TEXT(DAY($B509),"00")&amp;"_"&amp;$D509,"فتح الصور ("&amp;$J509&amp;")"))</f>
        <v/>
      </c>
      <c r="Q509" s="24">
        <f>IF($B509="","",MONTH($B509))</f>
        <v/>
      </c>
      <c r="R509" s="24">
        <f>IF($B509="","",YEAR($B509))</f>
        <v/>
      </c>
      <c r="S509" s="25">
        <f>IF($B509="","",$B509-WEEKDAY($B509,3))</f>
        <v/>
      </c>
      <c r="T509" s="24">
        <f>IF($B509="",0,IF(COUNTIFS($B$5:$B509,$B509,$D$5:$D509,$D509)=1,1,0))</f>
        <v/>
      </c>
      <c r="U509" s="24">
        <f>IF($B509="",0,IF(COUNTIFS($B$5:$B509,$B509,$C$5:$C509,$C509)=1,1,0))</f>
        <v/>
      </c>
      <c r="V509" s="24">
        <f>IF(OR($B509="",$G509="",$G509="لا توجد مشاهدات"),0,1)</f>
        <v/>
      </c>
      <c r="W509" s="24">
        <f>IF(AND($B509&lt;&gt;"",$I509="تم تحرير مخالفة"),1,0)</f>
        <v/>
      </c>
      <c r="X509" s="24">
        <f>IF($B509="","",IF($S509=WkStart,COUNTIF($S$5:$S509,WkStart),""))</f>
        <v/>
      </c>
    </row>
    <row r="510">
      <c r="A510" s="16">
        <f>IF($B510="","",ROW()-4)</f>
        <v/>
      </c>
      <c r="B510" s="17" t="n"/>
      <c r="C510" s="18" t="n"/>
      <c r="D510" s="18" t="n"/>
      <c r="E510" s="19" t="n"/>
      <c r="F510" s="19" t="n"/>
      <c r="G510" s="18" t="n"/>
      <c r="H510" s="18" t="n"/>
      <c r="I510" s="18" t="n"/>
      <c r="J510" s="20" t="n"/>
      <c r="K510" s="21" t="n"/>
      <c r="L510" s="21" t="n"/>
      <c r="M510" s="18" t="n"/>
      <c r="N510" s="22">
        <f>IF($B510="","",CHOOSE(WEEKDAY($B510),"الأحد","الاثنين","الثلاثاء","الأربعاء","الخميس","الجمعة","السبت"))</f>
        <v/>
      </c>
      <c r="O510" s="23">
        <f>IF(OR($K510="",$L510=""),"",HYPERLINK("https://maps.google.com/?q="&amp;$K510&amp;","&amp;$L510,"عرض الموقع"))</f>
        <v/>
      </c>
      <c r="P510" s="23">
        <f>IF(OR($B510="",N($J510)=0),"",HYPERLINK(PhotoDir&amp;"/"&amp;YEAR($B510)&amp;"-"&amp;TEXT(MONTH($B510),"00")&amp;"-"&amp;TEXT(DAY($B510),"00")&amp;"_"&amp;$D510,"فتح الصور ("&amp;$J510&amp;")"))</f>
        <v/>
      </c>
      <c r="Q510" s="24">
        <f>IF($B510="","",MONTH($B510))</f>
        <v/>
      </c>
      <c r="R510" s="24">
        <f>IF($B510="","",YEAR($B510))</f>
        <v/>
      </c>
      <c r="S510" s="25">
        <f>IF($B510="","",$B510-WEEKDAY($B510,3))</f>
        <v/>
      </c>
      <c r="T510" s="24">
        <f>IF($B510="",0,IF(COUNTIFS($B$5:$B510,$B510,$D$5:$D510,$D510)=1,1,0))</f>
        <v/>
      </c>
      <c r="U510" s="24">
        <f>IF($B510="",0,IF(COUNTIFS($B$5:$B510,$B510,$C$5:$C510,$C510)=1,1,0))</f>
        <v/>
      </c>
      <c r="V510" s="24">
        <f>IF(OR($B510="",$G510="",$G510="لا توجد مشاهدات"),0,1)</f>
        <v/>
      </c>
      <c r="W510" s="24">
        <f>IF(AND($B510&lt;&gt;"",$I510="تم تحرير مخالفة"),1,0)</f>
        <v/>
      </c>
      <c r="X510" s="24">
        <f>IF($B510="","",IF($S510=WkStart,COUNTIF($S$5:$S510,WkStart),""))</f>
        <v/>
      </c>
    </row>
    <row r="511">
      <c r="A511" s="16">
        <f>IF($B511="","",ROW()-4)</f>
        <v/>
      </c>
      <c r="B511" s="17" t="n"/>
      <c r="C511" s="18" t="n"/>
      <c r="D511" s="18" t="n"/>
      <c r="E511" s="19" t="n"/>
      <c r="F511" s="19" t="n"/>
      <c r="G511" s="18" t="n"/>
      <c r="H511" s="18" t="n"/>
      <c r="I511" s="18" t="n"/>
      <c r="J511" s="20" t="n"/>
      <c r="K511" s="21" t="n"/>
      <c r="L511" s="21" t="n"/>
      <c r="M511" s="18" t="n"/>
      <c r="N511" s="22">
        <f>IF($B511="","",CHOOSE(WEEKDAY($B511),"الأحد","الاثنين","الثلاثاء","الأربعاء","الخميس","الجمعة","السبت"))</f>
        <v/>
      </c>
      <c r="O511" s="23">
        <f>IF(OR($K511="",$L511=""),"",HYPERLINK("https://maps.google.com/?q="&amp;$K511&amp;","&amp;$L511,"عرض الموقع"))</f>
        <v/>
      </c>
      <c r="P511" s="23">
        <f>IF(OR($B511="",N($J511)=0),"",HYPERLINK(PhotoDir&amp;"/"&amp;YEAR($B511)&amp;"-"&amp;TEXT(MONTH($B511),"00")&amp;"-"&amp;TEXT(DAY($B511),"00")&amp;"_"&amp;$D511,"فتح الصور ("&amp;$J511&amp;")"))</f>
        <v/>
      </c>
      <c r="Q511" s="24">
        <f>IF($B511="","",MONTH($B511))</f>
        <v/>
      </c>
      <c r="R511" s="24">
        <f>IF($B511="","",YEAR($B511))</f>
        <v/>
      </c>
      <c r="S511" s="25">
        <f>IF($B511="","",$B511-WEEKDAY($B511,3))</f>
        <v/>
      </c>
      <c r="T511" s="24">
        <f>IF($B511="",0,IF(COUNTIFS($B$5:$B511,$B511,$D$5:$D511,$D511)=1,1,0))</f>
        <v/>
      </c>
      <c r="U511" s="24">
        <f>IF($B511="",0,IF(COUNTIFS($B$5:$B511,$B511,$C$5:$C511,$C511)=1,1,0))</f>
        <v/>
      </c>
      <c r="V511" s="24">
        <f>IF(OR($B511="",$G511="",$G511="لا توجد مشاهدات"),0,1)</f>
        <v/>
      </c>
      <c r="W511" s="24">
        <f>IF(AND($B511&lt;&gt;"",$I511="تم تحرير مخالفة"),1,0)</f>
        <v/>
      </c>
      <c r="X511" s="24">
        <f>IF($B511="","",IF($S511=WkStart,COUNTIF($S$5:$S511,WkStart),""))</f>
        <v/>
      </c>
    </row>
    <row r="512">
      <c r="A512" s="16">
        <f>IF($B512="","",ROW()-4)</f>
        <v/>
      </c>
      <c r="B512" s="17" t="n"/>
      <c r="C512" s="18" t="n"/>
      <c r="D512" s="18" t="n"/>
      <c r="E512" s="19" t="n"/>
      <c r="F512" s="19" t="n"/>
      <c r="G512" s="18" t="n"/>
      <c r="H512" s="18" t="n"/>
      <c r="I512" s="18" t="n"/>
      <c r="J512" s="20" t="n"/>
      <c r="K512" s="21" t="n"/>
      <c r="L512" s="21" t="n"/>
      <c r="M512" s="18" t="n"/>
      <c r="N512" s="22">
        <f>IF($B512="","",CHOOSE(WEEKDAY($B512),"الأحد","الاثنين","الثلاثاء","الأربعاء","الخميس","الجمعة","السبت"))</f>
        <v/>
      </c>
      <c r="O512" s="23">
        <f>IF(OR($K512="",$L512=""),"",HYPERLINK("https://maps.google.com/?q="&amp;$K512&amp;","&amp;$L512,"عرض الموقع"))</f>
        <v/>
      </c>
      <c r="P512" s="23">
        <f>IF(OR($B512="",N($J512)=0),"",HYPERLINK(PhotoDir&amp;"/"&amp;YEAR($B512)&amp;"-"&amp;TEXT(MONTH($B512),"00")&amp;"-"&amp;TEXT(DAY($B512),"00")&amp;"_"&amp;$D512,"فتح الصور ("&amp;$J512&amp;")"))</f>
        <v/>
      </c>
      <c r="Q512" s="24">
        <f>IF($B512="","",MONTH($B512))</f>
        <v/>
      </c>
      <c r="R512" s="24">
        <f>IF($B512="","",YEAR($B512))</f>
        <v/>
      </c>
      <c r="S512" s="25">
        <f>IF($B512="","",$B512-WEEKDAY($B512,3))</f>
        <v/>
      </c>
      <c r="T512" s="24">
        <f>IF($B512="",0,IF(COUNTIFS($B$5:$B512,$B512,$D$5:$D512,$D512)=1,1,0))</f>
        <v/>
      </c>
      <c r="U512" s="24">
        <f>IF($B512="",0,IF(COUNTIFS($B$5:$B512,$B512,$C$5:$C512,$C512)=1,1,0))</f>
        <v/>
      </c>
      <c r="V512" s="24">
        <f>IF(OR($B512="",$G512="",$G512="لا توجد مشاهدات"),0,1)</f>
        <v/>
      </c>
      <c r="W512" s="24">
        <f>IF(AND($B512&lt;&gt;"",$I512="تم تحرير مخالفة"),1,0)</f>
        <v/>
      </c>
      <c r="X512" s="24">
        <f>IF($B512="","",IF($S512=WkStart,COUNTIF($S$5:$S512,WkStart),""))</f>
        <v/>
      </c>
    </row>
    <row r="513">
      <c r="A513" s="16">
        <f>IF($B513="","",ROW()-4)</f>
        <v/>
      </c>
      <c r="B513" s="17" t="n"/>
      <c r="C513" s="18" t="n"/>
      <c r="D513" s="18" t="n"/>
      <c r="E513" s="19" t="n"/>
      <c r="F513" s="19" t="n"/>
      <c r="G513" s="18" t="n"/>
      <c r="H513" s="18" t="n"/>
      <c r="I513" s="18" t="n"/>
      <c r="J513" s="20" t="n"/>
      <c r="K513" s="21" t="n"/>
      <c r="L513" s="21" t="n"/>
      <c r="M513" s="18" t="n"/>
      <c r="N513" s="22">
        <f>IF($B513="","",CHOOSE(WEEKDAY($B513),"الأحد","الاثنين","الثلاثاء","الأربعاء","الخميس","الجمعة","السبت"))</f>
        <v/>
      </c>
      <c r="O513" s="23">
        <f>IF(OR($K513="",$L513=""),"",HYPERLINK("https://maps.google.com/?q="&amp;$K513&amp;","&amp;$L513,"عرض الموقع"))</f>
        <v/>
      </c>
      <c r="P513" s="23">
        <f>IF(OR($B513="",N($J513)=0),"",HYPERLINK(PhotoDir&amp;"/"&amp;YEAR($B513)&amp;"-"&amp;TEXT(MONTH($B513),"00")&amp;"-"&amp;TEXT(DAY($B513),"00")&amp;"_"&amp;$D513,"فتح الصور ("&amp;$J513&amp;")"))</f>
        <v/>
      </c>
      <c r="Q513" s="24">
        <f>IF($B513="","",MONTH($B513))</f>
        <v/>
      </c>
      <c r="R513" s="24">
        <f>IF($B513="","",YEAR($B513))</f>
        <v/>
      </c>
      <c r="S513" s="25">
        <f>IF($B513="","",$B513-WEEKDAY($B513,3))</f>
        <v/>
      </c>
      <c r="T513" s="24">
        <f>IF($B513="",0,IF(COUNTIFS($B$5:$B513,$B513,$D$5:$D513,$D513)=1,1,0))</f>
        <v/>
      </c>
      <c r="U513" s="24">
        <f>IF($B513="",0,IF(COUNTIFS($B$5:$B513,$B513,$C$5:$C513,$C513)=1,1,0))</f>
        <v/>
      </c>
      <c r="V513" s="24">
        <f>IF(OR($B513="",$G513="",$G513="لا توجد مشاهدات"),0,1)</f>
        <v/>
      </c>
      <c r="W513" s="24">
        <f>IF(AND($B513&lt;&gt;"",$I513="تم تحرير مخالفة"),1,0)</f>
        <v/>
      </c>
      <c r="X513" s="24">
        <f>IF($B513="","",IF($S513=WkStart,COUNTIF($S$5:$S513,WkStart),""))</f>
        <v/>
      </c>
    </row>
    <row r="514">
      <c r="A514" s="16">
        <f>IF($B514="","",ROW()-4)</f>
        <v/>
      </c>
      <c r="B514" s="17" t="n"/>
      <c r="C514" s="18" t="n"/>
      <c r="D514" s="18" t="n"/>
      <c r="E514" s="19" t="n"/>
      <c r="F514" s="19" t="n"/>
      <c r="G514" s="18" t="n"/>
      <c r="H514" s="18" t="n"/>
      <c r="I514" s="18" t="n"/>
      <c r="J514" s="20" t="n"/>
      <c r="K514" s="21" t="n"/>
      <c r="L514" s="21" t="n"/>
      <c r="M514" s="18" t="n"/>
      <c r="N514" s="22">
        <f>IF($B514="","",CHOOSE(WEEKDAY($B514),"الأحد","الاثنين","الثلاثاء","الأربعاء","الخميس","الجمعة","السبت"))</f>
        <v/>
      </c>
      <c r="O514" s="23">
        <f>IF(OR($K514="",$L514=""),"",HYPERLINK("https://maps.google.com/?q="&amp;$K514&amp;","&amp;$L514,"عرض الموقع"))</f>
        <v/>
      </c>
      <c r="P514" s="23">
        <f>IF(OR($B514="",N($J514)=0),"",HYPERLINK(PhotoDir&amp;"/"&amp;YEAR($B514)&amp;"-"&amp;TEXT(MONTH($B514),"00")&amp;"-"&amp;TEXT(DAY($B514),"00")&amp;"_"&amp;$D514,"فتح الصور ("&amp;$J514&amp;")"))</f>
        <v/>
      </c>
      <c r="Q514" s="24">
        <f>IF($B514="","",MONTH($B514))</f>
        <v/>
      </c>
      <c r="R514" s="24">
        <f>IF($B514="","",YEAR($B514))</f>
        <v/>
      </c>
      <c r="S514" s="25">
        <f>IF($B514="","",$B514-WEEKDAY($B514,3))</f>
        <v/>
      </c>
      <c r="T514" s="24">
        <f>IF($B514="",0,IF(COUNTIFS($B$5:$B514,$B514,$D$5:$D514,$D514)=1,1,0))</f>
        <v/>
      </c>
      <c r="U514" s="24">
        <f>IF($B514="",0,IF(COUNTIFS($B$5:$B514,$B514,$C$5:$C514,$C514)=1,1,0))</f>
        <v/>
      </c>
      <c r="V514" s="24">
        <f>IF(OR($B514="",$G514="",$G514="لا توجد مشاهدات"),0,1)</f>
        <v/>
      </c>
      <c r="W514" s="24">
        <f>IF(AND($B514&lt;&gt;"",$I514="تم تحرير مخالفة"),1,0)</f>
        <v/>
      </c>
      <c r="X514" s="24">
        <f>IF($B514="","",IF($S514=WkStart,COUNTIF($S$5:$S514,WkStart),""))</f>
        <v/>
      </c>
    </row>
    <row r="515">
      <c r="A515" s="16">
        <f>IF($B515="","",ROW()-4)</f>
        <v/>
      </c>
      <c r="B515" s="17" t="n"/>
      <c r="C515" s="18" t="n"/>
      <c r="D515" s="18" t="n"/>
      <c r="E515" s="19" t="n"/>
      <c r="F515" s="19" t="n"/>
      <c r="G515" s="18" t="n"/>
      <c r="H515" s="18" t="n"/>
      <c r="I515" s="18" t="n"/>
      <c r="J515" s="20" t="n"/>
      <c r="K515" s="21" t="n"/>
      <c r="L515" s="21" t="n"/>
      <c r="M515" s="18" t="n"/>
      <c r="N515" s="22">
        <f>IF($B515="","",CHOOSE(WEEKDAY($B515),"الأحد","الاثنين","الثلاثاء","الأربعاء","الخميس","الجمعة","السبت"))</f>
        <v/>
      </c>
      <c r="O515" s="23">
        <f>IF(OR($K515="",$L515=""),"",HYPERLINK("https://maps.google.com/?q="&amp;$K515&amp;","&amp;$L515,"عرض الموقع"))</f>
        <v/>
      </c>
      <c r="P515" s="23">
        <f>IF(OR($B515="",N($J515)=0),"",HYPERLINK(PhotoDir&amp;"/"&amp;YEAR($B515)&amp;"-"&amp;TEXT(MONTH($B515),"00")&amp;"-"&amp;TEXT(DAY($B515),"00")&amp;"_"&amp;$D515,"فتح الصور ("&amp;$J515&amp;")"))</f>
        <v/>
      </c>
      <c r="Q515" s="24">
        <f>IF($B515="","",MONTH($B515))</f>
        <v/>
      </c>
      <c r="R515" s="24">
        <f>IF($B515="","",YEAR($B515))</f>
        <v/>
      </c>
      <c r="S515" s="25">
        <f>IF($B515="","",$B515-WEEKDAY($B515,3))</f>
        <v/>
      </c>
      <c r="T515" s="24">
        <f>IF($B515="",0,IF(COUNTIFS($B$5:$B515,$B515,$D$5:$D515,$D515)=1,1,0))</f>
        <v/>
      </c>
      <c r="U515" s="24">
        <f>IF($B515="",0,IF(COUNTIFS($B$5:$B515,$B515,$C$5:$C515,$C515)=1,1,0))</f>
        <v/>
      </c>
      <c r="V515" s="24">
        <f>IF(OR($B515="",$G515="",$G515="لا توجد مشاهدات"),0,1)</f>
        <v/>
      </c>
      <c r="W515" s="24">
        <f>IF(AND($B515&lt;&gt;"",$I515="تم تحرير مخالفة"),1,0)</f>
        <v/>
      </c>
      <c r="X515" s="24">
        <f>IF($B515="","",IF($S515=WkStart,COUNTIF($S$5:$S515,WkStart),""))</f>
        <v/>
      </c>
    </row>
    <row r="516">
      <c r="A516" s="16">
        <f>IF($B516="","",ROW()-4)</f>
        <v/>
      </c>
      <c r="B516" s="17" t="n"/>
      <c r="C516" s="18" t="n"/>
      <c r="D516" s="18" t="n"/>
      <c r="E516" s="19" t="n"/>
      <c r="F516" s="19" t="n"/>
      <c r="G516" s="18" t="n"/>
      <c r="H516" s="18" t="n"/>
      <c r="I516" s="18" t="n"/>
      <c r="J516" s="20" t="n"/>
      <c r="K516" s="21" t="n"/>
      <c r="L516" s="21" t="n"/>
      <c r="M516" s="18" t="n"/>
      <c r="N516" s="22">
        <f>IF($B516="","",CHOOSE(WEEKDAY($B516),"الأحد","الاثنين","الثلاثاء","الأربعاء","الخميس","الجمعة","السبت"))</f>
        <v/>
      </c>
      <c r="O516" s="23">
        <f>IF(OR($K516="",$L516=""),"",HYPERLINK("https://maps.google.com/?q="&amp;$K516&amp;","&amp;$L516,"عرض الموقع"))</f>
        <v/>
      </c>
      <c r="P516" s="23">
        <f>IF(OR($B516="",N($J516)=0),"",HYPERLINK(PhotoDir&amp;"/"&amp;YEAR($B516)&amp;"-"&amp;TEXT(MONTH($B516),"00")&amp;"-"&amp;TEXT(DAY($B516),"00")&amp;"_"&amp;$D516,"فتح الصور ("&amp;$J516&amp;")"))</f>
        <v/>
      </c>
      <c r="Q516" s="24">
        <f>IF($B516="","",MONTH($B516))</f>
        <v/>
      </c>
      <c r="R516" s="24">
        <f>IF($B516="","",YEAR($B516))</f>
        <v/>
      </c>
      <c r="S516" s="25">
        <f>IF($B516="","",$B516-WEEKDAY($B516,3))</f>
        <v/>
      </c>
      <c r="T516" s="24">
        <f>IF($B516="",0,IF(COUNTIFS($B$5:$B516,$B516,$D$5:$D516,$D516)=1,1,0))</f>
        <v/>
      </c>
      <c r="U516" s="24">
        <f>IF($B516="",0,IF(COUNTIFS($B$5:$B516,$B516,$C$5:$C516,$C516)=1,1,0))</f>
        <v/>
      </c>
      <c r="V516" s="24">
        <f>IF(OR($B516="",$G516="",$G516="لا توجد مشاهدات"),0,1)</f>
        <v/>
      </c>
      <c r="W516" s="24">
        <f>IF(AND($B516&lt;&gt;"",$I516="تم تحرير مخالفة"),1,0)</f>
        <v/>
      </c>
      <c r="X516" s="24">
        <f>IF($B516="","",IF($S516=WkStart,COUNTIF($S$5:$S516,WkStart),""))</f>
        <v/>
      </c>
    </row>
    <row r="517">
      <c r="A517" s="16">
        <f>IF($B517="","",ROW()-4)</f>
        <v/>
      </c>
      <c r="B517" s="17" t="n"/>
      <c r="C517" s="18" t="n"/>
      <c r="D517" s="18" t="n"/>
      <c r="E517" s="19" t="n"/>
      <c r="F517" s="19" t="n"/>
      <c r="G517" s="18" t="n"/>
      <c r="H517" s="18" t="n"/>
      <c r="I517" s="18" t="n"/>
      <c r="J517" s="20" t="n"/>
      <c r="K517" s="21" t="n"/>
      <c r="L517" s="21" t="n"/>
      <c r="M517" s="18" t="n"/>
      <c r="N517" s="22">
        <f>IF($B517="","",CHOOSE(WEEKDAY($B517),"الأحد","الاثنين","الثلاثاء","الأربعاء","الخميس","الجمعة","السبت"))</f>
        <v/>
      </c>
      <c r="O517" s="23">
        <f>IF(OR($K517="",$L517=""),"",HYPERLINK("https://maps.google.com/?q="&amp;$K517&amp;","&amp;$L517,"عرض الموقع"))</f>
        <v/>
      </c>
      <c r="P517" s="23">
        <f>IF(OR($B517="",N($J517)=0),"",HYPERLINK(PhotoDir&amp;"/"&amp;YEAR($B517)&amp;"-"&amp;TEXT(MONTH($B517),"00")&amp;"-"&amp;TEXT(DAY($B517),"00")&amp;"_"&amp;$D517,"فتح الصور ("&amp;$J517&amp;")"))</f>
        <v/>
      </c>
      <c r="Q517" s="24">
        <f>IF($B517="","",MONTH($B517))</f>
        <v/>
      </c>
      <c r="R517" s="24">
        <f>IF($B517="","",YEAR($B517))</f>
        <v/>
      </c>
      <c r="S517" s="25">
        <f>IF($B517="","",$B517-WEEKDAY($B517,3))</f>
        <v/>
      </c>
      <c r="T517" s="24">
        <f>IF($B517="",0,IF(COUNTIFS($B$5:$B517,$B517,$D$5:$D517,$D517)=1,1,0))</f>
        <v/>
      </c>
      <c r="U517" s="24">
        <f>IF($B517="",0,IF(COUNTIFS($B$5:$B517,$B517,$C$5:$C517,$C517)=1,1,0))</f>
        <v/>
      </c>
      <c r="V517" s="24">
        <f>IF(OR($B517="",$G517="",$G517="لا توجد مشاهدات"),0,1)</f>
        <v/>
      </c>
      <c r="W517" s="24">
        <f>IF(AND($B517&lt;&gt;"",$I517="تم تحرير مخالفة"),1,0)</f>
        <v/>
      </c>
      <c r="X517" s="24">
        <f>IF($B517="","",IF($S517=WkStart,COUNTIF($S$5:$S517,WkStart),""))</f>
        <v/>
      </c>
    </row>
    <row r="518">
      <c r="A518" s="16">
        <f>IF($B518="","",ROW()-4)</f>
        <v/>
      </c>
      <c r="B518" s="17" t="n"/>
      <c r="C518" s="18" t="n"/>
      <c r="D518" s="18" t="n"/>
      <c r="E518" s="19" t="n"/>
      <c r="F518" s="19" t="n"/>
      <c r="G518" s="18" t="n"/>
      <c r="H518" s="18" t="n"/>
      <c r="I518" s="18" t="n"/>
      <c r="J518" s="20" t="n"/>
      <c r="K518" s="21" t="n"/>
      <c r="L518" s="21" t="n"/>
      <c r="M518" s="18" t="n"/>
      <c r="N518" s="22">
        <f>IF($B518="","",CHOOSE(WEEKDAY($B518),"الأحد","الاثنين","الثلاثاء","الأربعاء","الخميس","الجمعة","السبت"))</f>
        <v/>
      </c>
      <c r="O518" s="23">
        <f>IF(OR($K518="",$L518=""),"",HYPERLINK("https://maps.google.com/?q="&amp;$K518&amp;","&amp;$L518,"عرض الموقع"))</f>
        <v/>
      </c>
      <c r="P518" s="23">
        <f>IF(OR($B518="",N($J518)=0),"",HYPERLINK(PhotoDir&amp;"/"&amp;YEAR($B518)&amp;"-"&amp;TEXT(MONTH($B518),"00")&amp;"-"&amp;TEXT(DAY($B518),"00")&amp;"_"&amp;$D518,"فتح الصور ("&amp;$J518&amp;")"))</f>
        <v/>
      </c>
      <c r="Q518" s="24">
        <f>IF($B518="","",MONTH($B518))</f>
        <v/>
      </c>
      <c r="R518" s="24">
        <f>IF($B518="","",YEAR($B518))</f>
        <v/>
      </c>
      <c r="S518" s="25">
        <f>IF($B518="","",$B518-WEEKDAY($B518,3))</f>
        <v/>
      </c>
      <c r="T518" s="24">
        <f>IF($B518="",0,IF(COUNTIFS($B$5:$B518,$B518,$D$5:$D518,$D518)=1,1,0))</f>
        <v/>
      </c>
      <c r="U518" s="24">
        <f>IF($B518="",0,IF(COUNTIFS($B$5:$B518,$B518,$C$5:$C518,$C518)=1,1,0))</f>
        <v/>
      </c>
      <c r="V518" s="24">
        <f>IF(OR($B518="",$G518="",$G518="لا توجد مشاهدات"),0,1)</f>
        <v/>
      </c>
      <c r="W518" s="24">
        <f>IF(AND($B518&lt;&gt;"",$I518="تم تحرير مخالفة"),1,0)</f>
        <v/>
      </c>
      <c r="X518" s="24">
        <f>IF($B518="","",IF($S518=WkStart,COUNTIF($S$5:$S518,WkStart),""))</f>
        <v/>
      </c>
    </row>
    <row r="519">
      <c r="A519" s="16">
        <f>IF($B519="","",ROW()-4)</f>
        <v/>
      </c>
      <c r="B519" s="17" t="n"/>
      <c r="C519" s="18" t="n"/>
      <c r="D519" s="18" t="n"/>
      <c r="E519" s="19" t="n"/>
      <c r="F519" s="19" t="n"/>
      <c r="G519" s="18" t="n"/>
      <c r="H519" s="18" t="n"/>
      <c r="I519" s="18" t="n"/>
      <c r="J519" s="20" t="n"/>
      <c r="K519" s="21" t="n"/>
      <c r="L519" s="21" t="n"/>
      <c r="M519" s="18" t="n"/>
      <c r="N519" s="22">
        <f>IF($B519="","",CHOOSE(WEEKDAY($B519),"الأحد","الاثنين","الثلاثاء","الأربعاء","الخميس","الجمعة","السبت"))</f>
        <v/>
      </c>
      <c r="O519" s="23">
        <f>IF(OR($K519="",$L519=""),"",HYPERLINK("https://maps.google.com/?q="&amp;$K519&amp;","&amp;$L519,"عرض الموقع"))</f>
        <v/>
      </c>
      <c r="P519" s="23">
        <f>IF(OR($B519="",N($J519)=0),"",HYPERLINK(PhotoDir&amp;"/"&amp;YEAR($B519)&amp;"-"&amp;TEXT(MONTH($B519),"00")&amp;"-"&amp;TEXT(DAY($B519),"00")&amp;"_"&amp;$D519,"فتح الصور ("&amp;$J519&amp;")"))</f>
        <v/>
      </c>
      <c r="Q519" s="24">
        <f>IF($B519="","",MONTH($B519))</f>
        <v/>
      </c>
      <c r="R519" s="24">
        <f>IF($B519="","",YEAR($B519))</f>
        <v/>
      </c>
      <c r="S519" s="25">
        <f>IF($B519="","",$B519-WEEKDAY($B519,3))</f>
        <v/>
      </c>
      <c r="T519" s="24">
        <f>IF($B519="",0,IF(COUNTIFS($B$5:$B519,$B519,$D$5:$D519,$D519)=1,1,0))</f>
        <v/>
      </c>
      <c r="U519" s="24">
        <f>IF($B519="",0,IF(COUNTIFS($B$5:$B519,$B519,$C$5:$C519,$C519)=1,1,0))</f>
        <v/>
      </c>
      <c r="V519" s="24">
        <f>IF(OR($B519="",$G519="",$G519="لا توجد مشاهدات"),0,1)</f>
        <v/>
      </c>
      <c r="W519" s="24">
        <f>IF(AND($B519&lt;&gt;"",$I519="تم تحرير مخالفة"),1,0)</f>
        <v/>
      </c>
      <c r="X519" s="24">
        <f>IF($B519="","",IF($S519=WkStart,COUNTIF($S$5:$S519,WkStart),""))</f>
        <v/>
      </c>
    </row>
    <row r="520">
      <c r="A520" s="16">
        <f>IF($B520="","",ROW()-4)</f>
        <v/>
      </c>
      <c r="B520" s="17" t="n"/>
      <c r="C520" s="18" t="n"/>
      <c r="D520" s="18" t="n"/>
      <c r="E520" s="19" t="n"/>
      <c r="F520" s="19" t="n"/>
      <c r="G520" s="18" t="n"/>
      <c r="H520" s="18" t="n"/>
      <c r="I520" s="18" t="n"/>
      <c r="J520" s="20" t="n"/>
      <c r="K520" s="21" t="n"/>
      <c r="L520" s="21" t="n"/>
      <c r="M520" s="18" t="n"/>
      <c r="N520" s="22">
        <f>IF($B520="","",CHOOSE(WEEKDAY($B520),"الأحد","الاثنين","الثلاثاء","الأربعاء","الخميس","الجمعة","السبت"))</f>
        <v/>
      </c>
      <c r="O520" s="23">
        <f>IF(OR($K520="",$L520=""),"",HYPERLINK("https://maps.google.com/?q="&amp;$K520&amp;","&amp;$L520,"عرض الموقع"))</f>
        <v/>
      </c>
      <c r="P520" s="23">
        <f>IF(OR($B520="",N($J520)=0),"",HYPERLINK(PhotoDir&amp;"/"&amp;YEAR($B520)&amp;"-"&amp;TEXT(MONTH($B520),"00")&amp;"-"&amp;TEXT(DAY($B520),"00")&amp;"_"&amp;$D520,"فتح الصور ("&amp;$J520&amp;")"))</f>
        <v/>
      </c>
      <c r="Q520" s="24">
        <f>IF($B520="","",MONTH($B520))</f>
        <v/>
      </c>
      <c r="R520" s="24">
        <f>IF($B520="","",YEAR($B520))</f>
        <v/>
      </c>
      <c r="S520" s="25">
        <f>IF($B520="","",$B520-WEEKDAY($B520,3))</f>
        <v/>
      </c>
      <c r="T520" s="24">
        <f>IF($B520="",0,IF(COUNTIFS($B$5:$B520,$B520,$D$5:$D520,$D520)=1,1,0))</f>
        <v/>
      </c>
      <c r="U520" s="24">
        <f>IF($B520="",0,IF(COUNTIFS($B$5:$B520,$B520,$C$5:$C520,$C520)=1,1,0))</f>
        <v/>
      </c>
      <c r="V520" s="24">
        <f>IF(OR($B520="",$G520="",$G520="لا توجد مشاهدات"),0,1)</f>
        <v/>
      </c>
      <c r="W520" s="24">
        <f>IF(AND($B520&lt;&gt;"",$I520="تم تحرير مخالفة"),1,0)</f>
        <v/>
      </c>
      <c r="X520" s="24">
        <f>IF($B520="","",IF($S520=WkStart,COUNTIF($S$5:$S520,WkStart),""))</f>
        <v/>
      </c>
    </row>
    <row r="521">
      <c r="A521" s="16">
        <f>IF($B521="","",ROW()-4)</f>
        <v/>
      </c>
      <c r="B521" s="17" t="n"/>
      <c r="C521" s="18" t="n"/>
      <c r="D521" s="18" t="n"/>
      <c r="E521" s="19" t="n"/>
      <c r="F521" s="19" t="n"/>
      <c r="G521" s="18" t="n"/>
      <c r="H521" s="18" t="n"/>
      <c r="I521" s="18" t="n"/>
      <c r="J521" s="20" t="n"/>
      <c r="K521" s="21" t="n"/>
      <c r="L521" s="21" t="n"/>
      <c r="M521" s="18" t="n"/>
      <c r="N521" s="22">
        <f>IF($B521="","",CHOOSE(WEEKDAY($B521),"الأحد","الاثنين","الثلاثاء","الأربعاء","الخميس","الجمعة","السبت"))</f>
        <v/>
      </c>
      <c r="O521" s="23">
        <f>IF(OR($K521="",$L521=""),"",HYPERLINK("https://maps.google.com/?q="&amp;$K521&amp;","&amp;$L521,"عرض الموقع"))</f>
        <v/>
      </c>
      <c r="P521" s="23">
        <f>IF(OR($B521="",N($J521)=0),"",HYPERLINK(PhotoDir&amp;"/"&amp;YEAR($B521)&amp;"-"&amp;TEXT(MONTH($B521),"00")&amp;"-"&amp;TEXT(DAY($B521),"00")&amp;"_"&amp;$D521,"فتح الصور ("&amp;$J521&amp;")"))</f>
        <v/>
      </c>
      <c r="Q521" s="24">
        <f>IF($B521="","",MONTH($B521))</f>
        <v/>
      </c>
      <c r="R521" s="24">
        <f>IF($B521="","",YEAR($B521))</f>
        <v/>
      </c>
      <c r="S521" s="25">
        <f>IF($B521="","",$B521-WEEKDAY($B521,3))</f>
        <v/>
      </c>
      <c r="T521" s="24">
        <f>IF($B521="",0,IF(COUNTIFS($B$5:$B521,$B521,$D$5:$D521,$D521)=1,1,0))</f>
        <v/>
      </c>
      <c r="U521" s="24">
        <f>IF($B521="",0,IF(COUNTIFS($B$5:$B521,$B521,$C$5:$C521,$C521)=1,1,0))</f>
        <v/>
      </c>
      <c r="V521" s="24">
        <f>IF(OR($B521="",$G521="",$G521="لا توجد مشاهدات"),0,1)</f>
        <v/>
      </c>
      <c r="W521" s="24">
        <f>IF(AND($B521&lt;&gt;"",$I521="تم تحرير مخالفة"),1,0)</f>
        <v/>
      </c>
      <c r="X521" s="24">
        <f>IF($B521="","",IF($S521=WkStart,COUNTIF($S$5:$S521,WkStart),""))</f>
        <v/>
      </c>
    </row>
    <row r="522">
      <c r="A522" s="16">
        <f>IF($B522="","",ROW()-4)</f>
        <v/>
      </c>
      <c r="B522" s="17" t="n"/>
      <c r="C522" s="18" t="n"/>
      <c r="D522" s="18" t="n"/>
      <c r="E522" s="19" t="n"/>
      <c r="F522" s="19" t="n"/>
      <c r="G522" s="18" t="n"/>
      <c r="H522" s="18" t="n"/>
      <c r="I522" s="18" t="n"/>
      <c r="J522" s="20" t="n"/>
      <c r="K522" s="21" t="n"/>
      <c r="L522" s="21" t="n"/>
      <c r="M522" s="18" t="n"/>
      <c r="N522" s="22">
        <f>IF($B522="","",CHOOSE(WEEKDAY($B522),"الأحد","الاثنين","الثلاثاء","الأربعاء","الخميس","الجمعة","السبت"))</f>
        <v/>
      </c>
      <c r="O522" s="23">
        <f>IF(OR($K522="",$L522=""),"",HYPERLINK("https://maps.google.com/?q="&amp;$K522&amp;","&amp;$L522,"عرض الموقع"))</f>
        <v/>
      </c>
      <c r="P522" s="23">
        <f>IF(OR($B522="",N($J522)=0),"",HYPERLINK(PhotoDir&amp;"/"&amp;YEAR($B522)&amp;"-"&amp;TEXT(MONTH($B522),"00")&amp;"-"&amp;TEXT(DAY($B522),"00")&amp;"_"&amp;$D522,"فتح الصور ("&amp;$J522&amp;")"))</f>
        <v/>
      </c>
      <c r="Q522" s="24">
        <f>IF($B522="","",MONTH($B522))</f>
        <v/>
      </c>
      <c r="R522" s="24">
        <f>IF($B522="","",YEAR($B522))</f>
        <v/>
      </c>
      <c r="S522" s="25">
        <f>IF($B522="","",$B522-WEEKDAY($B522,3))</f>
        <v/>
      </c>
      <c r="T522" s="24">
        <f>IF($B522="",0,IF(COUNTIFS($B$5:$B522,$B522,$D$5:$D522,$D522)=1,1,0))</f>
        <v/>
      </c>
      <c r="U522" s="24">
        <f>IF($B522="",0,IF(COUNTIFS($B$5:$B522,$B522,$C$5:$C522,$C522)=1,1,0))</f>
        <v/>
      </c>
      <c r="V522" s="24">
        <f>IF(OR($B522="",$G522="",$G522="لا توجد مشاهدات"),0,1)</f>
        <v/>
      </c>
      <c r="W522" s="24">
        <f>IF(AND($B522&lt;&gt;"",$I522="تم تحرير مخالفة"),1,0)</f>
        <v/>
      </c>
      <c r="X522" s="24">
        <f>IF($B522="","",IF($S522=WkStart,COUNTIF($S$5:$S522,WkStart),""))</f>
        <v/>
      </c>
    </row>
    <row r="523">
      <c r="A523" s="16">
        <f>IF($B523="","",ROW()-4)</f>
        <v/>
      </c>
      <c r="B523" s="17" t="n"/>
      <c r="C523" s="18" t="n"/>
      <c r="D523" s="18" t="n"/>
      <c r="E523" s="19" t="n"/>
      <c r="F523" s="19" t="n"/>
      <c r="G523" s="18" t="n"/>
      <c r="H523" s="18" t="n"/>
      <c r="I523" s="18" t="n"/>
      <c r="J523" s="20" t="n"/>
      <c r="K523" s="21" t="n"/>
      <c r="L523" s="21" t="n"/>
      <c r="M523" s="18" t="n"/>
      <c r="N523" s="22">
        <f>IF($B523="","",CHOOSE(WEEKDAY($B523),"الأحد","الاثنين","الثلاثاء","الأربعاء","الخميس","الجمعة","السبت"))</f>
        <v/>
      </c>
      <c r="O523" s="23">
        <f>IF(OR($K523="",$L523=""),"",HYPERLINK("https://maps.google.com/?q="&amp;$K523&amp;","&amp;$L523,"عرض الموقع"))</f>
        <v/>
      </c>
      <c r="P523" s="23">
        <f>IF(OR($B523="",N($J523)=0),"",HYPERLINK(PhotoDir&amp;"/"&amp;YEAR($B523)&amp;"-"&amp;TEXT(MONTH($B523),"00")&amp;"-"&amp;TEXT(DAY($B523),"00")&amp;"_"&amp;$D523,"فتح الصور ("&amp;$J523&amp;")"))</f>
        <v/>
      </c>
      <c r="Q523" s="24">
        <f>IF($B523="","",MONTH($B523))</f>
        <v/>
      </c>
      <c r="R523" s="24">
        <f>IF($B523="","",YEAR($B523))</f>
        <v/>
      </c>
      <c r="S523" s="25">
        <f>IF($B523="","",$B523-WEEKDAY($B523,3))</f>
        <v/>
      </c>
      <c r="T523" s="24">
        <f>IF($B523="",0,IF(COUNTIFS($B$5:$B523,$B523,$D$5:$D523,$D523)=1,1,0))</f>
        <v/>
      </c>
      <c r="U523" s="24">
        <f>IF($B523="",0,IF(COUNTIFS($B$5:$B523,$B523,$C$5:$C523,$C523)=1,1,0))</f>
        <v/>
      </c>
      <c r="V523" s="24">
        <f>IF(OR($B523="",$G523="",$G523="لا توجد مشاهدات"),0,1)</f>
        <v/>
      </c>
      <c r="W523" s="24">
        <f>IF(AND($B523&lt;&gt;"",$I523="تم تحرير مخالفة"),1,0)</f>
        <v/>
      </c>
      <c r="X523" s="24">
        <f>IF($B523="","",IF($S523=WkStart,COUNTIF($S$5:$S523,WkStart),""))</f>
        <v/>
      </c>
    </row>
    <row r="524">
      <c r="A524" s="16">
        <f>IF($B524="","",ROW()-4)</f>
        <v/>
      </c>
      <c r="B524" s="17" t="n"/>
      <c r="C524" s="18" t="n"/>
      <c r="D524" s="18" t="n"/>
      <c r="E524" s="19" t="n"/>
      <c r="F524" s="19" t="n"/>
      <c r="G524" s="18" t="n"/>
      <c r="H524" s="18" t="n"/>
      <c r="I524" s="18" t="n"/>
      <c r="J524" s="20" t="n"/>
      <c r="K524" s="21" t="n"/>
      <c r="L524" s="21" t="n"/>
      <c r="M524" s="18" t="n"/>
      <c r="N524" s="22">
        <f>IF($B524="","",CHOOSE(WEEKDAY($B524),"الأحد","الاثنين","الثلاثاء","الأربعاء","الخميس","الجمعة","السبت"))</f>
        <v/>
      </c>
      <c r="O524" s="23">
        <f>IF(OR($K524="",$L524=""),"",HYPERLINK("https://maps.google.com/?q="&amp;$K524&amp;","&amp;$L524,"عرض الموقع"))</f>
        <v/>
      </c>
      <c r="P524" s="23">
        <f>IF(OR($B524="",N($J524)=0),"",HYPERLINK(PhotoDir&amp;"/"&amp;YEAR($B524)&amp;"-"&amp;TEXT(MONTH($B524),"00")&amp;"-"&amp;TEXT(DAY($B524),"00")&amp;"_"&amp;$D524,"فتح الصور ("&amp;$J524&amp;")"))</f>
        <v/>
      </c>
      <c r="Q524" s="24">
        <f>IF($B524="","",MONTH($B524))</f>
        <v/>
      </c>
      <c r="R524" s="24">
        <f>IF($B524="","",YEAR($B524))</f>
        <v/>
      </c>
      <c r="S524" s="25">
        <f>IF($B524="","",$B524-WEEKDAY($B524,3))</f>
        <v/>
      </c>
      <c r="T524" s="24">
        <f>IF($B524="",0,IF(COUNTIFS($B$5:$B524,$B524,$D$5:$D524,$D524)=1,1,0))</f>
        <v/>
      </c>
      <c r="U524" s="24">
        <f>IF($B524="",0,IF(COUNTIFS($B$5:$B524,$B524,$C$5:$C524,$C524)=1,1,0))</f>
        <v/>
      </c>
      <c r="V524" s="24">
        <f>IF(OR($B524="",$G524="",$G524="لا توجد مشاهدات"),0,1)</f>
        <v/>
      </c>
      <c r="W524" s="24">
        <f>IF(AND($B524&lt;&gt;"",$I524="تم تحرير مخالفة"),1,0)</f>
        <v/>
      </c>
      <c r="X524" s="24">
        <f>IF($B524="","",IF($S524=WkStart,COUNTIF($S$5:$S524,WkStart),""))</f>
        <v/>
      </c>
    </row>
    <row r="525">
      <c r="A525" s="16">
        <f>IF($B525="","",ROW()-4)</f>
        <v/>
      </c>
      <c r="B525" s="17" t="n"/>
      <c r="C525" s="18" t="n"/>
      <c r="D525" s="18" t="n"/>
      <c r="E525" s="19" t="n"/>
      <c r="F525" s="19" t="n"/>
      <c r="G525" s="18" t="n"/>
      <c r="H525" s="18" t="n"/>
      <c r="I525" s="18" t="n"/>
      <c r="J525" s="20" t="n"/>
      <c r="K525" s="21" t="n"/>
      <c r="L525" s="21" t="n"/>
      <c r="M525" s="18" t="n"/>
      <c r="N525" s="22">
        <f>IF($B525="","",CHOOSE(WEEKDAY($B525),"الأحد","الاثنين","الثلاثاء","الأربعاء","الخميس","الجمعة","السبت"))</f>
        <v/>
      </c>
      <c r="O525" s="23">
        <f>IF(OR($K525="",$L525=""),"",HYPERLINK("https://maps.google.com/?q="&amp;$K525&amp;","&amp;$L525,"عرض الموقع"))</f>
        <v/>
      </c>
      <c r="P525" s="23">
        <f>IF(OR($B525="",N($J525)=0),"",HYPERLINK(PhotoDir&amp;"/"&amp;YEAR($B525)&amp;"-"&amp;TEXT(MONTH($B525),"00")&amp;"-"&amp;TEXT(DAY($B525),"00")&amp;"_"&amp;$D525,"فتح الصور ("&amp;$J525&amp;")"))</f>
        <v/>
      </c>
      <c r="Q525" s="24">
        <f>IF($B525="","",MONTH($B525))</f>
        <v/>
      </c>
      <c r="R525" s="24">
        <f>IF($B525="","",YEAR($B525))</f>
        <v/>
      </c>
      <c r="S525" s="25">
        <f>IF($B525="","",$B525-WEEKDAY($B525,3))</f>
        <v/>
      </c>
      <c r="T525" s="24">
        <f>IF($B525="",0,IF(COUNTIFS($B$5:$B525,$B525,$D$5:$D525,$D525)=1,1,0))</f>
        <v/>
      </c>
      <c r="U525" s="24">
        <f>IF($B525="",0,IF(COUNTIFS($B$5:$B525,$B525,$C$5:$C525,$C525)=1,1,0))</f>
        <v/>
      </c>
      <c r="V525" s="24">
        <f>IF(OR($B525="",$G525="",$G525="لا توجد مشاهدات"),0,1)</f>
        <v/>
      </c>
      <c r="W525" s="24">
        <f>IF(AND($B525&lt;&gt;"",$I525="تم تحرير مخالفة"),1,0)</f>
        <v/>
      </c>
      <c r="X525" s="24">
        <f>IF($B525="","",IF($S525=WkStart,COUNTIF($S$5:$S525,WkStart),""))</f>
        <v/>
      </c>
    </row>
    <row r="526">
      <c r="A526" s="16">
        <f>IF($B526="","",ROW()-4)</f>
        <v/>
      </c>
      <c r="B526" s="17" t="n"/>
      <c r="C526" s="18" t="n"/>
      <c r="D526" s="18" t="n"/>
      <c r="E526" s="19" t="n"/>
      <c r="F526" s="19" t="n"/>
      <c r="G526" s="18" t="n"/>
      <c r="H526" s="18" t="n"/>
      <c r="I526" s="18" t="n"/>
      <c r="J526" s="20" t="n"/>
      <c r="K526" s="21" t="n"/>
      <c r="L526" s="21" t="n"/>
      <c r="M526" s="18" t="n"/>
      <c r="N526" s="22">
        <f>IF($B526="","",CHOOSE(WEEKDAY($B526),"الأحد","الاثنين","الثلاثاء","الأربعاء","الخميس","الجمعة","السبت"))</f>
        <v/>
      </c>
      <c r="O526" s="23">
        <f>IF(OR($K526="",$L526=""),"",HYPERLINK("https://maps.google.com/?q="&amp;$K526&amp;","&amp;$L526,"عرض الموقع"))</f>
        <v/>
      </c>
      <c r="P526" s="23">
        <f>IF(OR($B526="",N($J526)=0),"",HYPERLINK(PhotoDir&amp;"/"&amp;YEAR($B526)&amp;"-"&amp;TEXT(MONTH($B526),"00")&amp;"-"&amp;TEXT(DAY($B526),"00")&amp;"_"&amp;$D526,"فتح الصور ("&amp;$J526&amp;")"))</f>
        <v/>
      </c>
      <c r="Q526" s="24">
        <f>IF($B526="","",MONTH($B526))</f>
        <v/>
      </c>
      <c r="R526" s="24">
        <f>IF($B526="","",YEAR($B526))</f>
        <v/>
      </c>
      <c r="S526" s="25">
        <f>IF($B526="","",$B526-WEEKDAY($B526,3))</f>
        <v/>
      </c>
      <c r="T526" s="24">
        <f>IF($B526="",0,IF(COUNTIFS($B$5:$B526,$B526,$D$5:$D526,$D526)=1,1,0))</f>
        <v/>
      </c>
      <c r="U526" s="24">
        <f>IF($B526="",0,IF(COUNTIFS($B$5:$B526,$B526,$C$5:$C526,$C526)=1,1,0))</f>
        <v/>
      </c>
      <c r="V526" s="24">
        <f>IF(OR($B526="",$G526="",$G526="لا توجد مشاهدات"),0,1)</f>
        <v/>
      </c>
      <c r="W526" s="24">
        <f>IF(AND($B526&lt;&gt;"",$I526="تم تحرير مخالفة"),1,0)</f>
        <v/>
      </c>
      <c r="X526" s="24">
        <f>IF($B526="","",IF($S526=WkStart,COUNTIF($S$5:$S526,WkStart),""))</f>
        <v/>
      </c>
    </row>
    <row r="527">
      <c r="A527" s="16">
        <f>IF($B527="","",ROW()-4)</f>
        <v/>
      </c>
      <c r="B527" s="17" t="n"/>
      <c r="C527" s="18" t="n"/>
      <c r="D527" s="18" t="n"/>
      <c r="E527" s="19" t="n"/>
      <c r="F527" s="19" t="n"/>
      <c r="G527" s="18" t="n"/>
      <c r="H527" s="18" t="n"/>
      <c r="I527" s="18" t="n"/>
      <c r="J527" s="20" t="n"/>
      <c r="K527" s="21" t="n"/>
      <c r="L527" s="21" t="n"/>
      <c r="M527" s="18" t="n"/>
      <c r="N527" s="22">
        <f>IF($B527="","",CHOOSE(WEEKDAY($B527),"الأحد","الاثنين","الثلاثاء","الأربعاء","الخميس","الجمعة","السبت"))</f>
        <v/>
      </c>
      <c r="O527" s="23">
        <f>IF(OR($K527="",$L527=""),"",HYPERLINK("https://maps.google.com/?q="&amp;$K527&amp;","&amp;$L527,"عرض الموقع"))</f>
        <v/>
      </c>
      <c r="P527" s="23">
        <f>IF(OR($B527="",N($J527)=0),"",HYPERLINK(PhotoDir&amp;"/"&amp;YEAR($B527)&amp;"-"&amp;TEXT(MONTH($B527),"00")&amp;"-"&amp;TEXT(DAY($B527),"00")&amp;"_"&amp;$D527,"فتح الصور ("&amp;$J527&amp;")"))</f>
        <v/>
      </c>
      <c r="Q527" s="24">
        <f>IF($B527="","",MONTH($B527))</f>
        <v/>
      </c>
      <c r="R527" s="24">
        <f>IF($B527="","",YEAR($B527))</f>
        <v/>
      </c>
      <c r="S527" s="25">
        <f>IF($B527="","",$B527-WEEKDAY($B527,3))</f>
        <v/>
      </c>
      <c r="T527" s="24">
        <f>IF($B527="",0,IF(COUNTIFS($B$5:$B527,$B527,$D$5:$D527,$D527)=1,1,0))</f>
        <v/>
      </c>
      <c r="U527" s="24">
        <f>IF($B527="",0,IF(COUNTIFS($B$5:$B527,$B527,$C$5:$C527,$C527)=1,1,0))</f>
        <v/>
      </c>
      <c r="V527" s="24">
        <f>IF(OR($B527="",$G527="",$G527="لا توجد مشاهدات"),0,1)</f>
        <v/>
      </c>
      <c r="W527" s="24">
        <f>IF(AND($B527&lt;&gt;"",$I527="تم تحرير مخالفة"),1,0)</f>
        <v/>
      </c>
      <c r="X527" s="24">
        <f>IF($B527="","",IF($S527=WkStart,COUNTIF($S$5:$S527,WkStart),""))</f>
        <v/>
      </c>
    </row>
    <row r="528">
      <c r="A528" s="16">
        <f>IF($B528="","",ROW()-4)</f>
        <v/>
      </c>
      <c r="B528" s="17" t="n"/>
      <c r="C528" s="18" t="n"/>
      <c r="D528" s="18" t="n"/>
      <c r="E528" s="19" t="n"/>
      <c r="F528" s="19" t="n"/>
      <c r="G528" s="18" t="n"/>
      <c r="H528" s="18" t="n"/>
      <c r="I528" s="18" t="n"/>
      <c r="J528" s="20" t="n"/>
      <c r="K528" s="21" t="n"/>
      <c r="L528" s="21" t="n"/>
      <c r="M528" s="18" t="n"/>
      <c r="N528" s="22">
        <f>IF($B528="","",CHOOSE(WEEKDAY($B528),"الأحد","الاثنين","الثلاثاء","الأربعاء","الخميس","الجمعة","السبت"))</f>
        <v/>
      </c>
      <c r="O528" s="23">
        <f>IF(OR($K528="",$L528=""),"",HYPERLINK("https://maps.google.com/?q="&amp;$K528&amp;","&amp;$L528,"عرض الموقع"))</f>
        <v/>
      </c>
      <c r="P528" s="23">
        <f>IF(OR($B528="",N($J528)=0),"",HYPERLINK(PhotoDir&amp;"/"&amp;YEAR($B528)&amp;"-"&amp;TEXT(MONTH($B528),"00")&amp;"-"&amp;TEXT(DAY($B528),"00")&amp;"_"&amp;$D528,"فتح الصور ("&amp;$J528&amp;")"))</f>
        <v/>
      </c>
      <c r="Q528" s="24">
        <f>IF($B528="","",MONTH($B528))</f>
        <v/>
      </c>
      <c r="R528" s="24">
        <f>IF($B528="","",YEAR($B528))</f>
        <v/>
      </c>
      <c r="S528" s="25">
        <f>IF($B528="","",$B528-WEEKDAY($B528,3))</f>
        <v/>
      </c>
      <c r="T528" s="24">
        <f>IF($B528="",0,IF(COUNTIFS($B$5:$B528,$B528,$D$5:$D528,$D528)=1,1,0))</f>
        <v/>
      </c>
      <c r="U528" s="24">
        <f>IF($B528="",0,IF(COUNTIFS($B$5:$B528,$B528,$C$5:$C528,$C528)=1,1,0))</f>
        <v/>
      </c>
      <c r="V528" s="24">
        <f>IF(OR($B528="",$G528="",$G528="لا توجد مشاهدات"),0,1)</f>
        <v/>
      </c>
      <c r="W528" s="24">
        <f>IF(AND($B528&lt;&gt;"",$I528="تم تحرير مخالفة"),1,0)</f>
        <v/>
      </c>
      <c r="X528" s="24">
        <f>IF($B528="","",IF($S528=WkStart,COUNTIF($S$5:$S528,WkStart),""))</f>
        <v/>
      </c>
    </row>
    <row r="529">
      <c r="A529" s="16">
        <f>IF($B529="","",ROW()-4)</f>
        <v/>
      </c>
      <c r="B529" s="17" t="n"/>
      <c r="C529" s="18" t="n"/>
      <c r="D529" s="18" t="n"/>
      <c r="E529" s="19" t="n"/>
      <c r="F529" s="19" t="n"/>
      <c r="G529" s="18" t="n"/>
      <c r="H529" s="18" t="n"/>
      <c r="I529" s="18" t="n"/>
      <c r="J529" s="20" t="n"/>
      <c r="K529" s="21" t="n"/>
      <c r="L529" s="21" t="n"/>
      <c r="M529" s="18" t="n"/>
      <c r="N529" s="22">
        <f>IF($B529="","",CHOOSE(WEEKDAY($B529),"الأحد","الاثنين","الثلاثاء","الأربعاء","الخميس","الجمعة","السبت"))</f>
        <v/>
      </c>
      <c r="O529" s="23">
        <f>IF(OR($K529="",$L529=""),"",HYPERLINK("https://maps.google.com/?q="&amp;$K529&amp;","&amp;$L529,"عرض الموقع"))</f>
        <v/>
      </c>
      <c r="P529" s="23">
        <f>IF(OR($B529="",N($J529)=0),"",HYPERLINK(PhotoDir&amp;"/"&amp;YEAR($B529)&amp;"-"&amp;TEXT(MONTH($B529),"00")&amp;"-"&amp;TEXT(DAY($B529),"00")&amp;"_"&amp;$D529,"فتح الصور ("&amp;$J529&amp;")"))</f>
        <v/>
      </c>
      <c r="Q529" s="24">
        <f>IF($B529="","",MONTH($B529))</f>
        <v/>
      </c>
      <c r="R529" s="24">
        <f>IF($B529="","",YEAR($B529))</f>
        <v/>
      </c>
      <c r="S529" s="25">
        <f>IF($B529="","",$B529-WEEKDAY($B529,3))</f>
        <v/>
      </c>
      <c r="T529" s="24">
        <f>IF($B529="",0,IF(COUNTIFS($B$5:$B529,$B529,$D$5:$D529,$D529)=1,1,0))</f>
        <v/>
      </c>
      <c r="U529" s="24">
        <f>IF($B529="",0,IF(COUNTIFS($B$5:$B529,$B529,$C$5:$C529,$C529)=1,1,0))</f>
        <v/>
      </c>
      <c r="V529" s="24">
        <f>IF(OR($B529="",$G529="",$G529="لا توجد مشاهدات"),0,1)</f>
        <v/>
      </c>
      <c r="W529" s="24">
        <f>IF(AND($B529&lt;&gt;"",$I529="تم تحرير مخالفة"),1,0)</f>
        <v/>
      </c>
      <c r="X529" s="24">
        <f>IF($B529="","",IF($S529=WkStart,COUNTIF($S$5:$S529,WkStart),""))</f>
        <v/>
      </c>
    </row>
    <row r="530">
      <c r="A530" s="16">
        <f>IF($B530="","",ROW()-4)</f>
        <v/>
      </c>
      <c r="B530" s="17" t="n"/>
      <c r="C530" s="18" t="n"/>
      <c r="D530" s="18" t="n"/>
      <c r="E530" s="19" t="n"/>
      <c r="F530" s="19" t="n"/>
      <c r="G530" s="18" t="n"/>
      <c r="H530" s="18" t="n"/>
      <c r="I530" s="18" t="n"/>
      <c r="J530" s="20" t="n"/>
      <c r="K530" s="21" t="n"/>
      <c r="L530" s="21" t="n"/>
      <c r="M530" s="18" t="n"/>
      <c r="N530" s="22">
        <f>IF($B530="","",CHOOSE(WEEKDAY($B530),"الأحد","الاثنين","الثلاثاء","الأربعاء","الخميس","الجمعة","السبت"))</f>
        <v/>
      </c>
      <c r="O530" s="23">
        <f>IF(OR($K530="",$L530=""),"",HYPERLINK("https://maps.google.com/?q="&amp;$K530&amp;","&amp;$L530,"عرض الموقع"))</f>
        <v/>
      </c>
      <c r="P530" s="23">
        <f>IF(OR($B530="",N($J530)=0),"",HYPERLINK(PhotoDir&amp;"/"&amp;YEAR($B530)&amp;"-"&amp;TEXT(MONTH($B530),"00")&amp;"-"&amp;TEXT(DAY($B530),"00")&amp;"_"&amp;$D530,"فتح الصور ("&amp;$J530&amp;")"))</f>
        <v/>
      </c>
      <c r="Q530" s="24">
        <f>IF($B530="","",MONTH($B530))</f>
        <v/>
      </c>
      <c r="R530" s="24">
        <f>IF($B530="","",YEAR($B530))</f>
        <v/>
      </c>
      <c r="S530" s="25">
        <f>IF($B530="","",$B530-WEEKDAY($B530,3))</f>
        <v/>
      </c>
      <c r="T530" s="24">
        <f>IF($B530="",0,IF(COUNTIFS($B$5:$B530,$B530,$D$5:$D530,$D530)=1,1,0))</f>
        <v/>
      </c>
      <c r="U530" s="24">
        <f>IF($B530="",0,IF(COUNTIFS($B$5:$B530,$B530,$C$5:$C530,$C530)=1,1,0))</f>
        <v/>
      </c>
      <c r="V530" s="24">
        <f>IF(OR($B530="",$G530="",$G530="لا توجد مشاهدات"),0,1)</f>
        <v/>
      </c>
      <c r="W530" s="24">
        <f>IF(AND($B530&lt;&gt;"",$I530="تم تحرير مخالفة"),1,0)</f>
        <v/>
      </c>
      <c r="X530" s="24">
        <f>IF($B530="","",IF($S530=WkStart,COUNTIF($S$5:$S530,WkStart),""))</f>
        <v/>
      </c>
    </row>
    <row r="531">
      <c r="A531" s="16">
        <f>IF($B531="","",ROW()-4)</f>
        <v/>
      </c>
      <c r="B531" s="17" t="n"/>
      <c r="C531" s="18" t="n"/>
      <c r="D531" s="18" t="n"/>
      <c r="E531" s="19" t="n"/>
      <c r="F531" s="19" t="n"/>
      <c r="G531" s="18" t="n"/>
      <c r="H531" s="18" t="n"/>
      <c r="I531" s="18" t="n"/>
      <c r="J531" s="20" t="n"/>
      <c r="K531" s="21" t="n"/>
      <c r="L531" s="21" t="n"/>
      <c r="M531" s="18" t="n"/>
      <c r="N531" s="22">
        <f>IF($B531="","",CHOOSE(WEEKDAY($B531),"الأحد","الاثنين","الثلاثاء","الأربعاء","الخميس","الجمعة","السبت"))</f>
        <v/>
      </c>
      <c r="O531" s="23">
        <f>IF(OR($K531="",$L531=""),"",HYPERLINK("https://maps.google.com/?q="&amp;$K531&amp;","&amp;$L531,"عرض الموقع"))</f>
        <v/>
      </c>
      <c r="P531" s="23">
        <f>IF(OR($B531="",N($J531)=0),"",HYPERLINK(PhotoDir&amp;"/"&amp;YEAR($B531)&amp;"-"&amp;TEXT(MONTH($B531),"00")&amp;"-"&amp;TEXT(DAY($B531),"00")&amp;"_"&amp;$D531,"فتح الصور ("&amp;$J531&amp;")"))</f>
        <v/>
      </c>
      <c r="Q531" s="24">
        <f>IF($B531="","",MONTH($B531))</f>
        <v/>
      </c>
      <c r="R531" s="24">
        <f>IF($B531="","",YEAR($B531))</f>
        <v/>
      </c>
      <c r="S531" s="25">
        <f>IF($B531="","",$B531-WEEKDAY($B531,3))</f>
        <v/>
      </c>
      <c r="T531" s="24">
        <f>IF($B531="",0,IF(COUNTIFS($B$5:$B531,$B531,$D$5:$D531,$D531)=1,1,0))</f>
        <v/>
      </c>
      <c r="U531" s="24">
        <f>IF($B531="",0,IF(COUNTIFS($B$5:$B531,$B531,$C$5:$C531,$C531)=1,1,0))</f>
        <v/>
      </c>
      <c r="V531" s="24">
        <f>IF(OR($B531="",$G531="",$G531="لا توجد مشاهدات"),0,1)</f>
        <v/>
      </c>
      <c r="W531" s="24">
        <f>IF(AND($B531&lt;&gt;"",$I531="تم تحرير مخالفة"),1,0)</f>
        <v/>
      </c>
      <c r="X531" s="24">
        <f>IF($B531="","",IF($S531=WkStart,COUNTIF($S$5:$S531,WkStart),""))</f>
        <v/>
      </c>
    </row>
    <row r="532">
      <c r="A532" s="16">
        <f>IF($B532="","",ROW()-4)</f>
        <v/>
      </c>
      <c r="B532" s="17" t="n"/>
      <c r="C532" s="18" t="n"/>
      <c r="D532" s="18" t="n"/>
      <c r="E532" s="19" t="n"/>
      <c r="F532" s="19" t="n"/>
      <c r="G532" s="18" t="n"/>
      <c r="H532" s="18" t="n"/>
      <c r="I532" s="18" t="n"/>
      <c r="J532" s="20" t="n"/>
      <c r="K532" s="21" t="n"/>
      <c r="L532" s="21" t="n"/>
      <c r="M532" s="18" t="n"/>
      <c r="N532" s="22">
        <f>IF($B532="","",CHOOSE(WEEKDAY($B532),"الأحد","الاثنين","الثلاثاء","الأربعاء","الخميس","الجمعة","السبت"))</f>
        <v/>
      </c>
      <c r="O532" s="23">
        <f>IF(OR($K532="",$L532=""),"",HYPERLINK("https://maps.google.com/?q="&amp;$K532&amp;","&amp;$L532,"عرض الموقع"))</f>
        <v/>
      </c>
      <c r="P532" s="23">
        <f>IF(OR($B532="",N($J532)=0),"",HYPERLINK(PhotoDir&amp;"/"&amp;YEAR($B532)&amp;"-"&amp;TEXT(MONTH($B532),"00")&amp;"-"&amp;TEXT(DAY($B532),"00")&amp;"_"&amp;$D532,"فتح الصور ("&amp;$J532&amp;")"))</f>
        <v/>
      </c>
      <c r="Q532" s="24">
        <f>IF($B532="","",MONTH($B532))</f>
        <v/>
      </c>
      <c r="R532" s="24">
        <f>IF($B532="","",YEAR($B532))</f>
        <v/>
      </c>
      <c r="S532" s="25">
        <f>IF($B532="","",$B532-WEEKDAY($B532,3))</f>
        <v/>
      </c>
      <c r="T532" s="24">
        <f>IF($B532="",0,IF(COUNTIFS($B$5:$B532,$B532,$D$5:$D532,$D532)=1,1,0))</f>
        <v/>
      </c>
      <c r="U532" s="24">
        <f>IF($B532="",0,IF(COUNTIFS($B$5:$B532,$B532,$C$5:$C532,$C532)=1,1,0))</f>
        <v/>
      </c>
      <c r="V532" s="24">
        <f>IF(OR($B532="",$G532="",$G532="لا توجد مشاهدات"),0,1)</f>
        <v/>
      </c>
      <c r="W532" s="24">
        <f>IF(AND($B532&lt;&gt;"",$I532="تم تحرير مخالفة"),1,0)</f>
        <v/>
      </c>
      <c r="X532" s="24">
        <f>IF($B532="","",IF($S532=WkStart,COUNTIF($S$5:$S532,WkStart),""))</f>
        <v/>
      </c>
    </row>
    <row r="533">
      <c r="A533" s="16">
        <f>IF($B533="","",ROW()-4)</f>
        <v/>
      </c>
      <c r="B533" s="17" t="n"/>
      <c r="C533" s="18" t="n"/>
      <c r="D533" s="18" t="n"/>
      <c r="E533" s="19" t="n"/>
      <c r="F533" s="19" t="n"/>
      <c r="G533" s="18" t="n"/>
      <c r="H533" s="18" t="n"/>
      <c r="I533" s="18" t="n"/>
      <c r="J533" s="20" t="n"/>
      <c r="K533" s="21" t="n"/>
      <c r="L533" s="21" t="n"/>
      <c r="M533" s="18" t="n"/>
      <c r="N533" s="22">
        <f>IF($B533="","",CHOOSE(WEEKDAY($B533),"الأحد","الاثنين","الثلاثاء","الأربعاء","الخميس","الجمعة","السبت"))</f>
        <v/>
      </c>
      <c r="O533" s="23">
        <f>IF(OR($K533="",$L533=""),"",HYPERLINK("https://maps.google.com/?q="&amp;$K533&amp;","&amp;$L533,"عرض الموقع"))</f>
        <v/>
      </c>
      <c r="P533" s="23">
        <f>IF(OR($B533="",N($J533)=0),"",HYPERLINK(PhotoDir&amp;"/"&amp;YEAR($B533)&amp;"-"&amp;TEXT(MONTH($B533),"00")&amp;"-"&amp;TEXT(DAY($B533),"00")&amp;"_"&amp;$D533,"فتح الصور ("&amp;$J533&amp;")"))</f>
        <v/>
      </c>
      <c r="Q533" s="24">
        <f>IF($B533="","",MONTH($B533))</f>
        <v/>
      </c>
      <c r="R533" s="24">
        <f>IF($B533="","",YEAR($B533))</f>
        <v/>
      </c>
      <c r="S533" s="25">
        <f>IF($B533="","",$B533-WEEKDAY($B533,3))</f>
        <v/>
      </c>
      <c r="T533" s="24">
        <f>IF($B533="",0,IF(COUNTIFS($B$5:$B533,$B533,$D$5:$D533,$D533)=1,1,0))</f>
        <v/>
      </c>
      <c r="U533" s="24">
        <f>IF($B533="",0,IF(COUNTIFS($B$5:$B533,$B533,$C$5:$C533,$C533)=1,1,0))</f>
        <v/>
      </c>
      <c r="V533" s="24">
        <f>IF(OR($B533="",$G533="",$G533="لا توجد مشاهدات"),0,1)</f>
        <v/>
      </c>
      <c r="W533" s="24">
        <f>IF(AND($B533&lt;&gt;"",$I533="تم تحرير مخالفة"),1,0)</f>
        <v/>
      </c>
      <c r="X533" s="24">
        <f>IF($B533="","",IF($S533=WkStart,COUNTIF($S$5:$S533,WkStart),""))</f>
        <v/>
      </c>
    </row>
    <row r="534">
      <c r="A534" s="16">
        <f>IF($B534="","",ROW()-4)</f>
        <v/>
      </c>
      <c r="B534" s="17" t="n"/>
      <c r="C534" s="18" t="n"/>
      <c r="D534" s="18" t="n"/>
      <c r="E534" s="19" t="n"/>
      <c r="F534" s="19" t="n"/>
      <c r="G534" s="18" t="n"/>
      <c r="H534" s="18" t="n"/>
      <c r="I534" s="18" t="n"/>
      <c r="J534" s="20" t="n"/>
      <c r="K534" s="21" t="n"/>
      <c r="L534" s="21" t="n"/>
      <c r="M534" s="18" t="n"/>
      <c r="N534" s="22">
        <f>IF($B534="","",CHOOSE(WEEKDAY($B534),"الأحد","الاثنين","الثلاثاء","الأربعاء","الخميس","الجمعة","السبت"))</f>
        <v/>
      </c>
      <c r="O534" s="23">
        <f>IF(OR($K534="",$L534=""),"",HYPERLINK("https://maps.google.com/?q="&amp;$K534&amp;","&amp;$L534,"عرض الموقع"))</f>
        <v/>
      </c>
      <c r="P534" s="23">
        <f>IF(OR($B534="",N($J534)=0),"",HYPERLINK(PhotoDir&amp;"/"&amp;YEAR($B534)&amp;"-"&amp;TEXT(MONTH($B534),"00")&amp;"-"&amp;TEXT(DAY($B534),"00")&amp;"_"&amp;$D534,"فتح الصور ("&amp;$J534&amp;")"))</f>
        <v/>
      </c>
      <c r="Q534" s="24">
        <f>IF($B534="","",MONTH($B534))</f>
        <v/>
      </c>
      <c r="R534" s="24">
        <f>IF($B534="","",YEAR($B534))</f>
        <v/>
      </c>
      <c r="S534" s="25">
        <f>IF($B534="","",$B534-WEEKDAY($B534,3))</f>
        <v/>
      </c>
      <c r="T534" s="24">
        <f>IF($B534="",0,IF(COUNTIFS($B$5:$B534,$B534,$D$5:$D534,$D534)=1,1,0))</f>
        <v/>
      </c>
      <c r="U534" s="24">
        <f>IF($B534="",0,IF(COUNTIFS($B$5:$B534,$B534,$C$5:$C534,$C534)=1,1,0))</f>
        <v/>
      </c>
      <c r="V534" s="24">
        <f>IF(OR($B534="",$G534="",$G534="لا توجد مشاهدات"),0,1)</f>
        <v/>
      </c>
      <c r="W534" s="24">
        <f>IF(AND($B534&lt;&gt;"",$I534="تم تحرير مخالفة"),1,0)</f>
        <v/>
      </c>
      <c r="X534" s="24">
        <f>IF($B534="","",IF($S534=WkStart,COUNTIF($S$5:$S534,WkStart),""))</f>
        <v/>
      </c>
    </row>
    <row r="535">
      <c r="A535" s="16">
        <f>IF($B535="","",ROW()-4)</f>
        <v/>
      </c>
      <c r="B535" s="17" t="n"/>
      <c r="C535" s="18" t="n"/>
      <c r="D535" s="18" t="n"/>
      <c r="E535" s="19" t="n"/>
      <c r="F535" s="19" t="n"/>
      <c r="G535" s="18" t="n"/>
      <c r="H535" s="18" t="n"/>
      <c r="I535" s="18" t="n"/>
      <c r="J535" s="20" t="n"/>
      <c r="K535" s="21" t="n"/>
      <c r="L535" s="21" t="n"/>
      <c r="M535" s="18" t="n"/>
      <c r="N535" s="22">
        <f>IF($B535="","",CHOOSE(WEEKDAY($B535),"الأحد","الاثنين","الثلاثاء","الأربعاء","الخميس","الجمعة","السبت"))</f>
        <v/>
      </c>
      <c r="O535" s="23">
        <f>IF(OR($K535="",$L535=""),"",HYPERLINK("https://maps.google.com/?q="&amp;$K535&amp;","&amp;$L535,"عرض الموقع"))</f>
        <v/>
      </c>
      <c r="P535" s="23">
        <f>IF(OR($B535="",N($J535)=0),"",HYPERLINK(PhotoDir&amp;"/"&amp;YEAR($B535)&amp;"-"&amp;TEXT(MONTH($B535),"00")&amp;"-"&amp;TEXT(DAY($B535),"00")&amp;"_"&amp;$D535,"فتح الصور ("&amp;$J535&amp;")"))</f>
        <v/>
      </c>
      <c r="Q535" s="24">
        <f>IF($B535="","",MONTH($B535))</f>
        <v/>
      </c>
      <c r="R535" s="24">
        <f>IF($B535="","",YEAR($B535))</f>
        <v/>
      </c>
      <c r="S535" s="25">
        <f>IF($B535="","",$B535-WEEKDAY($B535,3))</f>
        <v/>
      </c>
      <c r="T535" s="24">
        <f>IF($B535="",0,IF(COUNTIFS($B$5:$B535,$B535,$D$5:$D535,$D535)=1,1,0))</f>
        <v/>
      </c>
      <c r="U535" s="24">
        <f>IF($B535="",0,IF(COUNTIFS($B$5:$B535,$B535,$C$5:$C535,$C535)=1,1,0))</f>
        <v/>
      </c>
      <c r="V535" s="24">
        <f>IF(OR($B535="",$G535="",$G535="لا توجد مشاهدات"),0,1)</f>
        <v/>
      </c>
      <c r="W535" s="24">
        <f>IF(AND($B535&lt;&gt;"",$I535="تم تحرير مخالفة"),1,0)</f>
        <v/>
      </c>
      <c r="X535" s="24">
        <f>IF($B535="","",IF($S535=WkStart,COUNTIF($S$5:$S535,WkStart),""))</f>
        <v/>
      </c>
    </row>
    <row r="536">
      <c r="A536" s="16">
        <f>IF($B536="","",ROW()-4)</f>
        <v/>
      </c>
      <c r="B536" s="17" t="n"/>
      <c r="C536" s="18" t="n"/>
      <c r="D536" s="18" t="n"/>
      <c r="E536" s="19" t="n"/>
      <c r="F536" s="19" t="n"/>
      <c r="G536" s="18" t="n"/>
      <c r="H536" s="18" t="n"/>
      <c r="I536" s="18" t="n"/>
      <c r="J536" s="20" t="n"/>
      <c r="K536" s="21" t="n"/>
      <c r="L536" s="21" t="n"/>
      <c r="M536" s="18" t="n"/>
      <c r="N536" s="22">
        <f>IF($B536="","",CHOOSE(WEEKDAY($B536),"الأحد","الاثنين","الثلاثاء","الأربعاء","الخميس","الجمعة","السبت"))</f>
        <v/>
      </c>
      <c r="O536" s="23">
        <f>IF(OR($K536="",$L536=""),"",HYPERLINK("https://maps.google.com/?q="&amp;$K536&amp;","&amp;$L536,"عرض الموقع"))</f>
        <v/>
      </c>
      <c r="P536" s="23">
        <f>IF(OR($B536="",N($J536)=0),"",HYPERLINK(PhotoDir&amp;"/"&amp;YEAR($B536)&amp;"-"&amp;TEXT(MONTH($B536),"00")&amp;"-"&amp;TEXT(DAY($B536),"00")&amp;"_"&amp;$D536,"فتح الصور ("&amp;$J536&amp;")"))</f>
        <v/>
      </c>
      <c r="Q536" s="24">
        <f>IF($B536="","",MONTH($B536))</f>
        <v/>
      </c>
      <c r="R536" s="24">
        <f>IF($B536="","",YEAR($B536))</f>
        <v/>
      </c>
      <c r="S536" s="25">
        <f>IF($B536="","",$B536-WEEKDAY($B536,3))</f>
        <v/>
      </c>
      <c r="T536" s="24">
        <f>IF($B536="",0,IF(COUNTIFS($B$5:$B536,$B536,$D$5:$D536,$D536)=1,1,0))</f>
        <v/>
      </c>
      <c r="U536" s="24">
        <f>IF($B536="",0,IF(COUNTIFS($B$5:$B536,$B536,$C$5:$C536,$C536)=1,1,0))</f>
        <v/>
      </c>
      <c r="V536" s="24">
        <f>IF(OR($B536="",$G536="",$G536="لا توجد مشاهدات"),0,1)</f>
        <v/>
      </c>
      <c r="W536" s="24">
        <f>IF(AND($B536&lt;&gt;"",$I536="تم تحرير مخالفة"),1,0)</f>
        <v/>
      </c>
      <c r="X536" s="24">
        <f>IF($B536="","",IF($S536=WkStart,COUNTIF($S$5:$S536,WkStart),""))</f>
        <v/>
      </c>
    </row>
    <row r="537">
      <c r="A537" s="16">
        <f>IF($B537="","",ROW()-4)</f>
        <v/>
      </c>
      <c r="B537" s="17" t="n"/>
      <c r="C537" s="18" t="n"/>
      <c r="D537" s="18" t="n"/>
      <c r="E537" s="19" t="n"/>
      <c r="F537" s="19" t="n"/>
      <c r="G537" s="18" t="n"/>
      <c r="H537" s="18" t="n"/>
      <c r="I537" s="18" t="n"/>
      <c r="J537" s="20" t="n"/>
      <c r="K537" s="21" t="n"/>
      <c r="L537" s="21" t="n"/>
      <c r="M537" s="18" t="n"/>
      <c r="N537" s="22">
        <f>IF($B537="","",CHOOSE(WEEKDAY($B537),"الأحد","الاثنين","الثلاثاء","الأربعاء","الخميس","الجمعة","السبت"))</f>
        <v/>
      </c>
      <c r="O537" s="23">
        <f>IF(OR($K537="",$L537=""),"",HYPERLINK("https://maps.google.com/?q="&amp;$K537&amp;","&amp;$L537,"عرض الموقع"))</f>
        <v/>
      </c>
      <c r="P537" s="23">
        <f>IF(OR($B537="",N($J537)=0),"",HYPERLINK(PhotoDir&amp;"/"&amp;YEAR($B537)&amp;"-"&amp;TEXT(MONTH($B537),"00")&amp;"-"&amp;TEXT(DAY($B537),"00")&amp;"_"&amp;$D537,"فتح الصور ("&amp;$J537&amp;")"))</f>
        <v/>
      </c>
      <c r="Q537" s="24">
        <f>IF($B537="","",MONTH($B537))</f>
        <v/>
      </c>
      <c r="R537" s="24">
        <f>IF($B537="","",YEAR($B537))</f>
        <v/>
      </c>
      <c r="S537" s="25">
        <f>IF($B537="","",$B537-WEEKDAY($B537,3))</f>
        <v/>
      </c>
      <c r="T537" s="24">
        <f>IF($B537="",0,IF(COUNTIFS($B$5:$B537,$B537,$D$5:$D537,$D537)=1,1,0))</f>
        <v/>
      </c>
      <c r="U537" s="24">
        <f>IF($B537="",0,IF(COUNTIFS($B$5:$B537,$B537,$C$5:$C537,$C537)=1,1,0))</f>
        <v/>
      </c>
      <c r="V537" s="24">
        <f>IF(OR($B537="",$G537="",$G537="لا توجد مشاهدات"),0,1)</f>
        <v/>
      </c>
      <c r="W537" s="24">
        <f>IF(AND($B537&lt;&gt;"",$I537="تم تحرير مخالفة"),1,0)</f>
        <v/>
      </c>
      <c r="X537" s="24">
        <f>IF($B537="","",IF($S537=WkStart,COUNTIF($S$5:$S537,WkStart),""))</f>
        <v/>
      </c>
    </row>
    <row r="538">
      <c r="A538" s="16">
        <f>IF($B538="","",ROW()-4)</f>
        <v/>
      </c>
      <c r="B538" s="17" t="n"/>
      <c r="C538" s="18" t="n"/>
      <c r="D538" s="18" t="n"/>
      <c r="E538" s="19" t="n"/>
      <c r="F538" s="19" t="n"/>
      <c r="G538" s="18" t="n"/>
      <c r="H538" s="18" t="n"/>
      <c r="I538" s="18" t="n"/>
      <c r="J538" s="20" t="n"/>
      <c r="K538" s="21" t="n"/>
      <c r="L538" s="21" t="n"/>
      <c r="M538" s="18" t="n"/>
      <c r="N538" s="22">
        <f>IF($B538="","",CHOOSE(WEEKDAY($B538),"الأحد","الاثنين","الثلاثاء","الأربعاء","الخميس","الجمعة","السبت"))</f>
        <v/>
      </c>
      <c r="O538" s="23">
        <f>IF(OR($K538="",$L538=""),"",HYPERLINK("https://maps.google.com/?q="&amp;$K538&amp;","&amp;$L538,"عرض الموقع"))</f>
        <v/>
      </c>
      <c r="P538" s="23">
        <f>IF(OR($B538="",N($J538)=0),"",HYPERLINK(PhotoDir&amp;"/"&amp;YEAR($B538)&amp;"-"&amp;TEXT(MONTH($B538),"00")&amp;"-"&amp;TEXT(DAY($B538),"00")&amp;"_"&amp;$D538,"فتح الصور ("&amp;$J538&amp;")"))</f>
        <v/>
      </c>
      <c r="Q538" s="24">
        <f>IF($B538="","",MONTH($B538))</f>
        <v/>
      </c>
      <c r="R538" s="24">
        <f>IF($B538="","",YEAR($B538))</f>
        <v/>
      </c>
      <c r="S538" s="25">
        <f>IF($B538="","",$B538-WEEKDAY($B538,3))</f>
        <v/>
      </c>
      <c r="T538" s="24">
        <f>IF($B538="",0,IF(COUNTIFS($B$5:$B538,$B538,$D$5:$D538,$D538)=1,1,0))</f>
        <v/>
      </c>
      <c r="U538" s="24">
        <f>IF($B538="",0,IF(COUNTIFS($B$5:$B538,$B538,$C$5:$C538,$C538)=1,1,0))</f>
        <v/>
      </c>
      <c r="V538" s="24">
        <f>IF(OR($B538="",$G538="",$G538="لا توجد مشاهدات"),0,1)</f>
        <v/>
      </c>
      <c r="W538" s="24">
        <f>IF(AND($B538&lt;&gt;"",$I538="تم تحرير مخالفة"),1,0)</f>
        <v/>
      </c>
      <c r="X538" s="24">
        <f>IF($B538="","",IF($S538=WkStart,COUNTIF($S$5:$S538,WkStart),""))</f>
        <v/>
      </c>
    </row>
    <row r="539">
      <c r="A539" s="16">
        <f>IF($B539="","",ROW()-4)</f>
        <v/>
      </c>
      <c r="B539" s="17" t="n"/>
      <c r="C539" s="18" t="n"/>
      <c r="D539" s="18" t="n"/>
      <c r="E539" s="19" t="n"/>
      <c r="F539" s="19" t="n"/>
      <c r="G539" s="18" t="n"/>
      <c r="H539" s="18" t="n"/>
      <c r="I539" s="18" t="n"/>
      <c r="J539" s="20" t="n"/>
      <c r="K539" s="21" t="n"/>
      <c r="L539" s="21" t="n"/>
      <c r="M539" s="18" t="n"/>
      <c r="N539" s="22">
        <f>IF($B539="","",CHOOSE(WEEKDAY($B539),"الأحد","الاثنين","الثلاثاء","الأربعاء","الخميس","الجمعة","السبت"))</f>
        <v/>
      </c>
      <c r="O539" s="23">
        <f>IF(OR($K539="",$L539=""),"",HYPERLINK("https://maps.google.com/?q="&amp;$K539&amp;","&amp;$L539,"عرض الموقع"))</f>
        <v/>
      </c>
      <c r="P539" s="23">
        <f>IF(OR($B539="",N($J539)=0),"",HYPERLINK(PhotoDir&amp;"/"&amp;YEAR($B539)&amp;"-"&amp;TEXT(MONTH($B539),"00")&amp;"-"&amp;TEXT(DAY($B539),"00")&amp;"_"&amp;$D539,"فتح الصور ("&amp;$J539&amp;")"))</f>
        <v/>
      </c>
      <c r="Q539" s="24">
        <f>IF($B539="","",MONTH($B539))</f>
        <v/>
      </c>
      <c r="R539" s="24">
        <f>IF($B539="","",YEAR($B539))</f>
        <v/>
      </c>
      <c r="S539" s="25">
        <f>IF($B539="","",$B539-WEEKDAY($B539,3))</f>
        <v/>
      </c>
      <c r="T539" s="24">
        <f>IF($B539="",0,IF(COUNTIFS($B$5:$B539,$B539,$D$5:$D539,$D539)=1,1,0))</f>
        <v/>
      </c>
      <c r="U539" s="24">
        <f>IF($B539="",0,IF(COUNTIFS($B$5:$B539,$B539,$C$5:$C539,$C539)=1,1,0))</f>
        <v/>
      </c>
      <c r="V539" s="24">
        <f>IF(OR($B539="",$G539="",$G539="لا توجد مشاهدات"),0,1)</f>
        <v/>
      </c>
      <c r="W539" s="24">
        <f>IF(AND($B539&lt;&gt;"",$I539="تم تحرير مخالفة"),1,0)</f>
        <v/>
      </c>
      <c r="X539" s="24">
        <f>IF($B539="","",IF($S539=WkStart,COUNTIF($S$5:$S539,WkStart),""))</f>
        <v/>
      </c>
    </row>
    <row r="540">
      <c r="A540" s="16">
        <f>IF($B540="","",ROW()-4)</f>
        <v/>
      </c>
      <c r="B540" s="17" t="n"/>
      <c r="C540" s="18" t="n"/>
      <c r="D540" s="18" t="n"/>
      <c r="E540" s="19" t="n"/>
      <c r="F540" s="19" t="n"/>
      <c r="G540" s="18" t="n"/>
      <c r="H540" s="18" t="n"/>
      <c r="I540" s="18" t="n"/>
      <c r="J540" s="20" t="n"/>
      <c r="K540" s="21" t="n"/>
      <c r="L540" s="21" t="n"/>
      <c r="M540" s="18" t="n"/>
      <c r="N540" s="22">
        <f>IF($B540="","",CHOOSE(WEEKDAY($B540),"الأحد","الاثنين","الثلاثاء","الأربعاء","الخميس","الجمعة","السبت"))</f>
        <v/>
      </c>
      <c r="O540" s="23">
        <f>IF(OR($K540="",$L540=""),"",HYPERLINK("https://maps.google.com/?q="&amp;$K540&amp;","&amp;$L540,"عرض الموقع"))</f>
        <v/>
      </c>
      <c r="P540" s="23">
        <f>IF(OR($B540="",N($J540)=0),"",HYPERLINK(PhotoDir&amp;"/"&amp;YEAR($B540)&amp;"-"&amp;TEXT(MONTH($B540),"00")&amp;"-"&amp;TEXT(DAY($B540),"00")&amp;"_"&amp;$D540,"فتح الصور ("&amp;$J540&amp;")"))</f>
        <v/>
      </c>
      <c r="Q540" s="24">
        <f>IF($B540="","",MONTH($B540))</f>
        <v/>
      </c>
      <c r="R540" s="24">
        <f>IF($B540="","",YEAR($B540))</f>
        <v/>
      </c>
      <c r="S540" s="25">
        <f>IF($B540="","",$B540-WEEKDAY($B540,3))</f>
        <v/>
      </c>
      <c r="T540" s="24">
        <f>IF($B540="",0,IF(COUNTIFS($B$5:$B540,$B540,$D$5:$D540,$D540)=1,1,0))</f>
        <v/>
      </c>
      <c r="U540" s="24">
        <f>IF($B540="",0,IF(COUNTIFS($B$5:$B540,$B540,$C$5:$C540,$C540)=1,1,0))</f>
        <v/>
      </c>
      <c r="V540" s="24">
        <f>IF(OR($B540="",$G540="",$G540="لا توجد مشاهدات"),0,1)</f>
        <v/>
      </c>
      <c r="W540" s="24">
        <f>IF(AND($B540&lt;&gt;"",$I540="تم تحرير مخالفة"),1,0)</f>
        <v/>
      </c>
      <c r="X540" s="24">
        <f>IF($B540="","",IF($S540=WkStart,COUNTIF($S$5:$S540,WkStart),""))</f>
        <v/>
      </c>
    </row>
    <row r="541">
      <c r="A541" s="16">
        <f>IF($B541="","",ROW()-4)</f>
        <v/>
      </c>
      <c r="B541" s="17" t="n"/>
      <c r="C541" s="18" t="n"/>
      <c r="D541" s="18" t="n"/>
      <c r="E541" s="19" t="n"/>
      <c r="F541" s="19" t="n"/>
      <c r="G541" s="18" t="n"/>
      <c r="H541" s="18" t="n"/>
      <c r="I541" s="18" t="n"/>
      <c r="J541" s="20" t="n"/>
      <c r="K541" s="21" t="n"/>
      <c r="L541" s="21" t="n"/>
      <c r="M541" s="18" t="n"/>
      <c r="N541" s="22">
        <f>IF($B541="","",CHOOSE(WEEKDAY($B541),"الأحد","الاثنين","الثلاثاء","الأربعاء","الخميس","الجمعة","السبت"))</f>
        <v/>
      </c>
      <c r="O541" s="23">
        <f>IF(OR($K541="",$L541=""),"",HYPERLINK("https://maps.google.com/?q="&amp;$K541&amp;","&amp;$L541,"عرض الموقع"))</f>
        <v/>
      </c>
      <c r="P541" s="23">
        <f>IF(OR($B541="",N($J541)=0),"",HYPERLINK(PhotoDir&amp;"/"&amp;YEAR($B541)&amp;"-"&amp;TEXT(MONTH($B541),"00")&amp;"-"&amp;TEXT(DAY($B541),"00")&amp;"_"&amp;$D541,"فتح الصور ("&amp;$J541&amp;")"))</f>
        <v/>
      </c>
      <c r="Q541" s="24">
        <f>IF($B541="","",MONTH($B541))</f>
        <v/>
      </c>
      <c r="R541" s="24">
        <f>IF($B541="","",YEAR($B541))</f>
        <v/>
      </c>
      <c r="S541" s="25">
        <f>IF($B541="","",$B541-WEEKDAY($B541,3))</f>
        <v/>
      </c>
      <c r="T541" s="24">
        <f>IF($B541="",0,IF(COUNTIFS($B$5:$B541,$B541,$D$5:$D541,$D541)=1,1,0))</f>
        <v/>
      </c>
      <c r="U541" s="24">
        <f>IF($B541="",0,IF(COUNTIFS($B$5:$B541,$B541,$C$5:$C541,$C541)=1,1,0))</f>
        <v/>
      </c>
      <c r="V541" s="24">
        <f>IF(OR($B541="",$G541="",$G541="لا توجد مشاهدات"),0,1)</f>
        <v/>
      </c>
      <c r="W541" s="24">
        <f>IF(AND($B541&lt;&gt;"",$I541="تم تحرير مخالفة"),1,0)</f>
        <v/>
      </c>
      <c r="X541" s="24">
        <f>IF($B541="","",IF($S541=WkStart,COUNTIF($S$5:$S541,WkStart),""))</f>
        <v/>
      </c>
    </row>
    <row r="542">
      <c r="A542" s="16">
        <f>IF($B542="","",ROW()-4)</f>
        <v/>
      </c>
      <c r="B542" s="17" t="n"/>
      <c r="C542" s="18" t="n"/>
      <c r="D542" s="18" t="n"/>
      <c r="E542" s="19" t="n"/>
      <c r="F542" s="19" t="n"/>
      <c r="G542" s="18" t="n"/>
      <c r="H542" s="18" t="n"/>
      <c r="I542" s="18" t="n"/>
      <c r="J542" s="20" t="n"/>
      <c r="K542" s="21" t="n"/>
      <c r="L542" s="21" t="n"/>
      <c r="M542" s="18" t="n"/>
      <c r="N542" s="22">
        <f>IF($B542="","",CHOOSE(WEEKDAY($B542),"الأحد","الاثنين","الثلاثاء","الأربعاء","الخميس","الجمعة","السبت"))</f>
        <v/>
      </c>
      <c r="O542" s="23">
        <f>IF(OR($K542="",$L542=""),"",HYPERLINK("https://maps.google.com/?q="&amp;$K542&amp;","&amp;$L542,"عرض الموقع"))</f>
        <v/>
      </c>
      <c r="P542" s="23">
        <f>IF(OR($B542="",N($J542)=0),"",HYPERLINK(PhotoDir&amp;"/"&amp;YEAR($B542)&amp;"-"&amp;TEXT(MONTH($B542),"00")&amp;"-"&amp;TEXT(DAY($B542),"00")&amp;"_"&amp;$D542,"فتح الصور ("&amp;$J542&amp;")"))</f>
        <v/>
      </c>
      <c r="Q542" s="24">
        <f>IF($B542="","",MONTH($B542))</f>
        <v/>
      </c>
      <c r="R542" s="24">
        <f>IF($B542="","",YEAR($B542))</f>
        <v/>
      </c>
      <c r="S542" s="25">
        <f>IF($B542="","",$B542-WEEKDAY($B542,3))</f>
        <v/>
      </c>
      <c r="T542" s="24">
        <f>IF($B542="",0,IF(COUNTIFS($B$5:$B542,$B542,$D$5:$D542,$D542)=1,1,0))</f>
        <v/>
      </c>
      <c r="U542" s="24">
        <f>IF($B542="",0,IF(COUNTIFS($B$5:$B542,$B542,$C$5:$C542,$C542)=1,1,0))</f>
        <v/>
      </c>
      <c r="V542" s="24">
        <f>IF(OR($B542="",$G542="",$G542="لا توجد مشاهدات"),0,1)</f>
        <v/>
      </c>
      <c r="W542" s="24">
        <f>IF(AND($B542&lt;&gt;"",$I542="تم تحرير مخالفة"),1,0)</f>
        <v/>
      </c>
      <c r="X542" s="24">
        <f>IF($B542="","",IF($S542=WkStart,COUNTIF($S$5:$S542,WkStart),""))</f>
        <v/>
      </c>
    </row>
    <row r="543">
      <c r="A543" s="16">
        <f>IF($B543="","",ROW()-4)</f>
        <v/>
      </c>
      <c r="B543" s="17" t="n"/>
      <c r="C543" s="18" t="n"/>
      <c r="D543" s="18" t="n"/>
      <c r="E543" s="19" t="n"/>
      <c r="F543" s="19" t="n"/>
      <c r="G543" s="18" t="n"/>
      <c r="H543" s="18" t="n"/>
      <c r="I543" s="18" t="n"/>
      <c r="J543" s="20" t="n"/>
      <c r="K543" s="21" t="n"/>
      <c r="L543" s="21" t="n"/>
      <c r="M543" s="18" t="n"/>
      <c r="N543" s="22">
        <f>IF($B543="","",CHOOSE(WEEKDAY($B543),"الأحد","الاثنين","الثلاثاء","الأربعاء","الخميس","الجمعة","السبت"))</f>
        <v/>
      </c>
      <c r="O543" s="23">
        <f>IF(OR($K543="",$L543=""),"",HYPERLINK("https://maps.google.com/?q="&amp;$K543&amp;","&amp;$L543,"عرض الموقع"))</f>
        <v/>
      </c>
      <c r="P543" s="23">
        <f>IF(OR($B543="",N($J543)=0),"",HYPERLINK(PhotoDir&amp;"/"&amp;YEAR($B543)&amp;"-"&amp;TEXT(MONTH($B543),"00")&amp;"-"&amp;TEXT(DAY($B543),"00")&amp;"_"&amp;$D543,"فتح الصور ("&amp;$J543&amp;")"))</f>
        <v/>
      </c>
      <c r="Q543" s="24">
        <f>IF($B543="","",MONTH($B543))</f>
        <v/>
      </c>
      <c r="R543" s="24">
        <f>IF($B543="","",YEAR($B543))</f>
        <v/>
      </c>
      <c r="S543" s="25">
        <f>IF($B543="","",$B543-WEEKDAY($B543,3))</f>
        <v/>
      </c>
      <c r="T543" s="24">
        <f>IF($B543="",0,IF(COUNTIFS($B$5:$B543,$B543,$D$5:$D543,$D543)=1,1,0))</f>
        <v/>
      </c>
      <c r="U543" s="24">
        <f>IF($B543="",0,IF(COUNTIFS($B$5:$B543,$B543,$C$5:$C543,$C543)=1,1,0))</f>
        <v/>
      </c>
      <c r="V543" s="24">
        <f>IF(OR($B543="",$G543="",$G543="لا توجد مشاهدات"),0,1)</f>
        <v/>
      </c>
      <c r="W543" s="24">
        <f>IF(AND($B543&lt;&gt;"",$I543="تم تحرير مخالفة"),1,0)</f>
        <v/>
      </c>
      <c r="X543" s="24">
        <f>IF($B543="","",IF($S543=WkStart,COUNTIF($S$5:$S543,WkStart),""))</f>
        <v/>
      </c>
    </row>
    <row r="544">
      <c r="A544" s="16">
        <f>IF($B544="","",ROW()-4)</f>
        <v/>
      </c>
      <c r="B544" s="17" t="n"/>
      <c r="C544" s="18" t="n"/>
      <c r="D544" s="18" t="n"/>
      <c r="E544" s="19" t="n"/>
      <c r="F544" s="19" t="n"/>
      <c r="G544" s="18" t="n"/>
      <c r="H544" s="18" t="n"/>
      <c r="I544" s="18" t="n"/>
      <c r="J544" s="20" t="n"/>
      <c r="K544" s="21" t="n"/>
      <c r="L544" s="21" t="n"/>
      <c r="M544" s="18" t="n"/>
      <c r="N544" s="22">
        <f>IF($B544="","",CHOOSE(WEEKDAY($B544),"الأحد","الاثنين","الثلاثاء","الأربعاء","الخميس","الجمعة","السبت"))</f>
        <v/>
      </c>
      <c r="O544" s="23">
        <f>IF(OR($K544="",$L544=""),"",HYPERLINK("https://maps.google.com/?q="&amp;$K544&amp;","&amp;$L544,"عرض الموقع"))</f>
        <v/>
      </c>
      <c r="P544" s="23">
        <f>IF(OR($B544="",N($J544)=0),"",HYPERLINK(PhotoDir&amp;"/"&amp;YEAR($B544)&amp;"-"&amp;TEXT(MONTH($B544),"00")&amp;"-"&amp;TEXT(DAY($B544),"00")&amp;"_"&amp;$D544,"فتح الصور ("&amp;$J544&amp;")"))</f>
        <v/>
      </c>
      <c r="Q544" s="24">
        <f>IF($B544="","",MONTH($B544))</f>
        <v/>
      </c>
      <c r="R544" s="24">
        <f>IF($B544="","",YEAR($B544))</f>
        <v/>
      </c>
      <c r="S544" s="25">
        <f>IF($B544="","",$B544-WEEKDAY($B544,3))</f>
        <v/>
      </c>
      <c r="T544" s="24">
        <f>IF($B544="",0,IF(COUNTIFS($B$5:$B544,$B544,$D$5:$D544,$D544)=1,1,0))</f>
        <v/>
      </c>
      <c r="U544" s="24">
        <f>IF($B544="",0,IF(COUNTIFS($B$5:$B544,$B544,$C$5:$C544,$C544)=1,1,0))</f>
        <v/>
      </c>
      <c r="V544" s="24">
        <f>IF(OR($B544="",$G544="",$G544="لا توجد مشاهدات"),0,1)</f>
        <v/>
      </c>
      <c r="W544" s="24">
        <f>IF(AND($B544&lt;&gt;"",$I544="تم تحرير مخالفة"),1,0)</f>
        <v/>
      </c>
      <c r="X544" s="24">
        <f>IF($B544="","",IF($S544=WkStart,COUNTIF($S$5:$S544,WkStart),""))</f>
        <v/>
      </c>
    </row>
    <row r="545">
      <c r="A545" s="16">
        <f>IF($B545="","",ROW()-4)</f>
        <v/>
      </c>
      <c r="B545" s="17" t="n"/>
      <c r="C545" s="18" t="n"/>
      <c r="D545" s="18" t="n"/>
      <c r="E545" s="19" t="n"/>
      <c r="F545" s="19" t="n"/>
      <c r="G545" s="18" t="n"/>
      <c r="H545" s="18" t="n"/>
      <c r="I545" s="18" t="n"/>
      <c r="J545" s="20" t="n"/>
      <c r="K545" s="21" t="n"/>
      <c r="L545" s="21" t="n"/>
      <c r="M545" s="18" t="n"/>
      <c r="N545" s="22">
        <f>IF($B545="","",CHOOSE(WEEKDAY($B545),"الأحد","الاثنين","الثلاثاء","الأربعاء","الخميس","الجمعة","السبت"))</f>
        <v/>
      </c>
      <c r="O545" s="23">
        <f>IF(OR($K545="",$L545=""),"",HYPERLINK("https://maps.google.com/?q="&amp;$K545&amp;","&amp;$L545,"عرض الموقع"))</f>
        <v/>
      </c>
      <c r="P545" s="23">
        <f>IF(OR($B545="",N($J545)=0),"",HYPERLINK(PhotoDir&amp;"/"&amp;YEAR($B545)&amp;"-"&amp;TEXT(MONTH($B545),"00")&amp;"-"&amp;TEXT(DAY($B545),"00")&amp;"_"&amp;$D545,"فتح الصور ("&amp;$J545&amp;")"))</f>
        <v/>
      </c>
      <c r="Q545" s="24">
        <f>IF($B545="","",MONTH($B545))</f>
        <v/>
      </c>
      <c r="R545" s="24">
        <f>IF($B545="","",YEAR($B545))</f>
        <v/>
      </c>
      <c r="S545" s="25">
        <f>IF($B545="","",$B545-WEEKDAY($B545,3))</f>
        <v/>
      </c>
      <c r="T545" s="24">
        <f>IF($B545="",0,IF(COUNTIFS($B$5:$B545,$B545,$D$5:$D545,$D545)=1,1,0))</f>
        <v/>
      </c>
      <c r="U545" s="24">
        <f>IF($B545="",0,IF(COUNTIFS($B$5:$B545,$B545,$C$5:$C545,$C545)=1,1,0))</f>
        <v/>
      </c>
      <c r="V545" s="24">
        <f>IF(OR($B545="",$G545="",$G545="لا توجد مشاهدات"),0,1)</f>
        <v/>
      </c>
      <c r="W545" s="24">
        <f>IF(AND($B545&lt;&gt;"",$I545="تم تحرير مخالفة"),1,0)</f>
        <v/>
      </c>
      <c r="X545" s="24">
        <f>IF($B545="","",IF($S545=WkStart,COUNTIF($S$5:$S545,WkStart),""))</f>
        <v/>
      </c>
    </row>
    <row r="546">
      <c r="A546" s="16">
        <f>IF($B546="","",ROW()-4)</f>
        <v/>
      </c>
      <c r="B546" s="17" t="n"/>
      <c r="C546" s="18" t="n"/>
      <c r="D546" s="18" t="n"/>
      <c r="E546" s="19" t="n"/>
      <c r="F546" s="19" t="n"/>
      <c r="G546" s="18" t="n"/>
      <c r="H546" s="18" t="n"/>
      <c r="I546" s="18" t="n"/>
      <c r="J546" s="20" t="n"/>
      <c r="K546" s="21" t="n"/>
      <c r="L546" s="21" t="n"/>
      <c r="M546" s="18" t="n"/>
      <c r="N546" s="22">
        <f>IF($B546="","",CHOOSE(WEEKDAY($B546),"الأحد","الاثنين","الثلاثاء","الأربعاء","الخميس","الجمعة","السبت"))</f>
        <v/>
      </c>
      <c r="O546" s="23">
        <f>IF(OR($K546="",$L546=""),"",HYPERLINK("https://maps.google.com/?q="&amp;$K546&amp;","&amp;$L546,"عرض الموقع"))</f>
        <v/>
      </c>
      <c r="P546" s="23">
        <f>IF(OR($B546="",N($J546)=0),"",HYPERLINK(PhotoDir&amp;"/"&amp;YEAR($B546)&amp;"-"&amp;TEXT(MONTH($B546),"00")&amp;"-"&amp;TEXT(DAY($B546),"00")&amp;"_"&amp;$D546,"فتح الصور ("&amp;$J546&amp;")"))</f>
        <v/>
      </c>
      <c r="Q546" s="24">
        <f>IF($B546="","",MONTH($B546))</f>
        <v/>
      </c>
      <c r="R546" s="24">
        <f>IF($B546="","",YEAR($B546))</f>
        <v/>
      </c>
      <c r="S546" s="25">
        <f>IF($B546="","",$B546-WEEKDAY($B546,3))</f>
        <v/>
      </c>
      <c r="T546" s="24">
        <f>IF($B546="",0,IF(COUNTIFS($B$5:$B546,$B546,$D$5:$D546,$D546)=1,1,0))</f>
        <v/>
      </c>
      <c r="U546" s="24">
        <f>IF($B546="",0,IF(COUNTIFS($B$5:$B546,$B546,$C$5:$C546,$C546)=1,1,0))</f>
        <v/>
      </c>
      <c r="V546" s="24">
        <f>IF(OR($B546="",$G546="",$G546="لا توجد مشاهدات"),0,1)</f>
        <v/>
      </c>
      <c r="W546" s="24">
        <f>IF(AND($B546&lt;&gt;"",$I546="تم تحرير مخالفة"),1,0)</f>
        <v/>
      </c>
      <c r="X546" s="24">
        <f>IF($B546="","",IF($S546=WkStart,COUNTIF($S$5:$S546,WkStart),""))</f>
        <v/>
      </c>
    </row>
    <row r="547">
      <c r="A547" s="16">
        <f>IF($B547="","",ROW()-4)</f>
        <v/>
      </c>
      <c r="B547" s="17" t="n"/>
      <c r="C547" s="18" t="n"/>
      <c r="D547" s="18" t="n"/>
      <c r="E547" s="19" t="n"/>
      <c r="F547" s="19" t="n"/>
      <c r="G547" s="18" t="n"/>
      <c r="H547" s="18" t="n"/>
      <c r="I547" s="18" t="n"/>
      <c r="J547" s="20" t="n"/>
      <c r="K547" s="21" t="n"/>
      <c r="L547" s="21" t="n"/>
      <c r="M547" s="18" t="n"/>
      <c r="N547" s="22">
        <f>IF($B547="","",CHOOSE(WEEKDAY($B547),"الأحد","الاثنين","الثلاثاء","الأربعاء","الخميس","الجمعة","السبت"))</f>
        <v/>
      </c>
      <c r="O547" s="23">
        <f>IF(OR($K547="",$L547=""),"",HYPERLINK("https://maps.google.com/?q="&amp;$K547&amp;","&amp;$L547,"عرض الموقع"))</f>
        <v/>
      </c>
      <c r="P547" s="23">
        <f>IF(OR($B547="",N($J547)=0),"",HYPERLINK(PhotoDir&amp;"/"&amp;YEAR($B547)&amp;"-"&amp;TEXT(MONTH($B547),"00")&amp;"-"&amp;TEXT(DAY($B547),"00")&amp;"_"&amp;$D547,"فتح الصور ("&amp;$J547&amp;")"))</f>
        <v/>
      </c>
      <c r="Q547" s="24">
        <f>IF($B547="","",MONTH($B547))</f>
        <v/>
      </c>
      <c r="R547" s="24">
        <f>IF($B547="","",YEAR($B547))</f>
        <v/>
      </c>
      <c r="S547" s="25">
        <f>IF($B547="","",$B547-WEEKDAY($B547,3))</f>
        <v/>
      </c>
      <c r="T547" s="24">
        <f>IF($B547="",0,IF(COUNTIFS($B$5:$B547,$B547,$D$5:$D547,$D547)=1,1,0))</f>
        <v/>
      </c>
      <c r="U547" s="24">
        <f>IF($B547="",0,IF(COUNTIFS($B$5:$B547,$B547,$C$5:$C547,$C547)=1,1,0))</f>
        <v/>
      </c>
      <c r="V547" s="24">
        <f>IF(OR($B547="",$G547="",$G547="لا توجد مشاهدات"),0,1)</f>
        <v/>
      </c>
      <c r="W547" s="24">
        <f>IF(AND($B547&lt;&gt;"",$I547="تم تحرير مخالفة"),1,0)</f>
        <v/>
      </c>
      <c r="X547" s="24">
        <f>IF($B547="","",IF($S547=WkStart,COUNTIF($S$5:$S547,WkStart),""))</f>
        <v/>
      </c>
    </row>
    <row r="548">
      <c r="A548" s="16">
        <f>IF($B548="","",ROW()-4)</f>
        <v/>
      </c>
      <c r="B548" s="17" t="n"/>
      <c r="C548" s="18" t="n"/>
      <c r="D548" s="18" t="n"/>
      <c r="E548" s="19" t="n"/>
      <c r="F548" s="19" t="n"/>
      <c r="G548" s="18" t="n"/>
      <c r="H548" s="18" t="n"/>
      <c r="I548" s="18" t="n"/>
      <c r="J548" s="20" t="n"/>
      <c r="K548" s="21" t="n"/>
      <c r="L548" s="21" t="n"/>
      <c r="M548" s="18" t="n"/>
      <c r="N548" s="22">
        <f>IF($B548="","",CHOOSE(WEEKDAY($B548),"الأحد","الاثنين","الثلاثاء","الأربعاء","الخميس","الجمعة","السبت"))</f>
        <v/>
      </c>
      <c r="O548" s="23">
        <f>IF(OR($K548="",$L548=""),"",HYPERLINK("https://maps.google.com/?q="&amp;$K548&amp;","&amp;$L548,"عرض الموقع"))</f>
        <v/>
      </c>
      <c r="P548" s="23">
        <f>IF(OR($B548="",N($J548)=0),"",HYPERLINK(PhotoDir&amp;"/"&amp;YEAR($B548)&amp;"-"&amp;TEXT(MONTH($B548),"00")&amp;"-"&amp;TEXT(DAY($B548),"00")&amp;"_"&amp;$D548,"فتح الصور ("&amp;$J548&amp;")"))</f>
        <v/>
      </c>
      <c r="Q548" s="24">
        <f>IF($B548="","",MONTH($B548))</f>
        <v/>
      </c>
      <c r="R548" s="24">
        <f>IF($B548="","",YEAR($B548))</f>
        <v/>
      </c>
      <c r="S548" s="25">
        <f>IF($B548="","",$B548-WEEKDAY($B548,3))</f>
        <v/>
      </c>
      <c r="T548" s="24">
        <f>IF($B548="",0,IF(COUNTIFS($B$5:$B548,$B548,$D$5:$D548,$D548)=1,1,0))</f>
        <v/>
      </c>
      <c r="U548" s="24">
        <f>IF($B548="",0,IF(COUNTIFS($B$5:$B548,$B548,$C$5:$C548,$C548)=1,1,0))</f>
        <v/>
      </c>
      <c r="V548" s="24">
        <f>IF(OR($B548="",$G548="",$G548="لا توجد مشاهدات"),0,1)</f>
        <v/>
      </c>
      <c r="W548" s="24">
        <f>IF(AND($B548&lt;&gt;"",$I548="تم تحرير مخالفة"),1,0)</f>
        <v/>
      </c>
      <c r="X548" s="24">
        <f>IF($B548="","",IF($S548=WkStart,COUNTIF($S$5:$S548,WkStart),""))</f>
        <v/>
      </c>
    </row>
    <row r="549">
      <c r="A549" s="16">
        <f>IF($B549="","",ROW()-4)</f>
        <v/>
      </c>
      <c r="B549" s="17" t="n"/>
      <c r="C549" s="18" t="n"/>
      <c r="D549" s="18" t="n"/>
      <c r="E549" s="19" t="n"/>
      <c r="F549" s="19" t="n"/>
      <c r="G549" s="18" t="n"/>
      <c r="H549" s="18" t="n"/>
      <c r="I549" s="18" t="n"/>
      <c r="J549" s="20" t="n"/>
      <c r="K549" s="21" t="n"/>
      <c r="L549" s="21" t="n"/>
      <c r="M549" s="18" t="n"/>
      <c r="N549" s="22">
        <f>IF($B549="","",CHOOSE(WEEKDAY($B549),"الأحد","الاثنين","الثلاثاء","الأربعاء","الخميس","الجمعة","السبت"))</f>
        <v/>
      </c>
      <c r="O549" s="23">
        <f>IF(OR($K549="",$L549=""),"",HYPERLINK("https://maps.google.com/?q="&amp;$K549&amp;","&amp;$L549,"عرض الموقع"))</f>
        <v/>
      </c>
      <c r="P549" s="23">
        <f>IF(OR($B549="",N($J549)=0),"",HYPERLINK(PhotoDir&amp;"/"&amp;YEAR($B549)&amp;"-"&amp;TEXT(MONTH($B549),"00")&amp;"-"&amp;TEXT(DAY($B549),"00")&amp;"_"&amp;$D549,"فتح الصور ("&amp;$J549&amp;")"))</f>
        <v/>
      </c>
      <c r="Q549" s="24">
        <f>IF($B549="","",MONTH($B549))</f>
        <v/>
      </c>
      <c r="R549" s="24">
        <f>IF($B549="","",YEAR($B549))</f>
        <v/>
      </c>
      <c r="S549" s="25">
        <f>IF($B549="","",$B549-WEEKDAY($B549,3))</f>
        <v/>
      </c>
      <c r="T549" s="24">
        <f>IF($B549="",0,IF(COUNTIFS($B$5:$B549,$B549,$D$5:$D549,$D549)=1,1,0))</f>
        <v/>
      </c>
      <c r="U549" s="24">
        <f>IF($B549="",0,IF(COUNTIFS($B$5:$B549,$B549,$C$5:$C549,$C549)=1,1,0))</f>
        <v/>
      </c>
      <c r="V549" s="24">
        <f>IF(OR($B549="",$G549="",$G549="لا توجد مشاهدات"),0,1)</f>
        <v/>
      </c>
      <c r="W549" s="24">
        <f>IF(AND($B549&lt;&gt;"",$I549="تم تحرير مخالفة"),1,0)</f>
        <v/>
      </c>
      <c r="X549" s="24">
        <f>IF($B549="","",IF($S549=WkStart,COUNTIF($S$5:$S549,WkStart),""))</f>
        <v/>
      </c>
    </row>
    <row r="550">
      <c r="A550" s="16">
        <f>IF($B550="","",ROW()-4)</f>
        <v/>
      </c>
      <c r="B550" s="17" t="n"/>
      <c r="C550" s="18" t="n"/>
      <c r="D550" s="18" t="n"/>
      <c r="E550" s="19" t="n"/>
      <c r="F550" s="19" t="n"/>
      <c r="G550" s="18" t="n"/>
      <c r="H550" s="18" t="n"/>
      <c r="I550" s="18" t="n"/>
      <c r="J550" s="20" t="n"/>
      <c r="K550" s="21" t="n"/>
      <c r="L550" s="21" t="n"/>
      <c r="M550" s="18" t="n"/>
      <c r="N550" s="22">
        <f>IF($B550="","",CHOOSE(WEEKDAY($B550),"الأحد","الاثنين","الثلاثاء","الأربعاء","الخميس","الجمعة","السبت"))</f>
        <v/>
      </c>
      <c r="O550" s="23">
        <f>IF(OR($K550="",$L550=""),"",HYPERLINK("https://maps.google.com/?q="&amp;$K550&amp;","&amp;$L550,"عرض الموقع"))</f>
        <v/>
      </c>
      <c r="P550" s="23">
        <f>IF(OR($B550="",N($J550)=0),"",HYPERLINK(PhotoDir&amp;"/"&amp;YEAR($B550)&amp;"-"&amp;TEXT(MONTH($B550),"00")&amp;"-"&amp;TEXT(DAY($B550),"00")&amp;"_"&amp;$D550,"فتح الصور ("&amp;$J550&amp;")"))</f>
        <v/>
      </c>
      <c r="Q550" s="24">
        <f>IF($B550="","",MONTH($B550))</f>
        <v/>
      </c>
      <c r="R550" s="24">
        <f>IF($B550="","",YEAR($B550))</f>
        <v/>
      </c>
      <c r="S550" s="25">
        <f>IF($B550="","",$B550-WEEKDAY($B550,3))</f>
        <v/>
      </c>
      <c r="T550" s="24">
        <f>IF($B550="",0,IF(COUNTIFS($B$5:$B550,$B550,$D$5:$D550,$D550)=1,1,0))</f>
        <v/>
      </c>
      <c r="U550" s="24">
        <f>IF($B550="",0,IF(COUNTIFS($B$5:$B550,$B550,$C$5:$C550,$C550)=1,1,0))</f>
        <v/>
      </c>
      <c r="V550" s="24">
        <f>IF(OR($B550="",$G550="",$G550="لا توجد مشاهدات"),0,1)</f>
        <v/>
      </c>
      <c r="W550" s="24">
        <f>IF(AND($B550&lt;&gt;"",$I550="تم تحرير مخالفة"),1,0)</f>
        <v/>
      </c>
      <c r="X550" s="24">
        <f>IF($B550="","",IF($S550=WkStart,COUNTIF($S$5:$S550,WkStart),""))</f>
        <v/>
      </c>
    </row>
    <row r="551">
      <c r="A551" s="16">
        <f>IF($B551="","",ROW()-4)</f>
        <v/>
      </c>
      <c r="B551" s="17" t="n"/>
      <c r="C551" s="18" t="n"/>
      <c r="D551" s="18" t="n"/>
      <c r="E551" s="19" t="n"/>
      <c r="F551" s="19" t="n"/>
      <c r="G551" s="18" t="n"/>
      <c r="H551" s="18" t="n"/>
      <c r="I551" s="18" t="n"/>
      <c r="J551" s="20" t="n"/>
      <c r="K551" s="21" t="n"/>
      <c r="L551" s="21" t="n"/>
      <c r="M551" s="18" t="n"/>
      <c r="N551" s="22">
        <f>IF($B551="","",CHOOSE(WEEKDAY($B551),"الأحد","الاثنين","الثلاثاء","الأربعاء","الخميس","الجمعة","السبت"))</f>
        <v/>
      </c>
      <c r="O551" s="23">
        <f>IF(OR($K551="",$L551=""),"",HYPERLINK("https://maps.google.com/?q="&amp;$K551&amp;","&amp;$L551,"عرض الموقع"))</f>
        <v/>
      </c>
      <c r="P551" s="23">
        <f>IF(OR($B551="",N($J551)=0),"",HYPERLINK(PhotoDir&amp;"/"&amp;YEAR($B551)&amp;"-"&amp;TEXT(MONTH($B551),"00")&amp;"-"&amp;TEXT(DAY($B551),"00")&amp;"_"&amp;$D551,"فتح الصور ("&amp;$J551&amp;")"))</f>
        <v/>
      </c>
      <c r="Q551" s="24">
        <f>IF($B551="","",MONTH($B551))</f>
        <v/>
      </c>
      <c r="R551" s="24">
        <f>IF($B551="","",YEAR($B551))</f>
        <v/>
      </c>
      <c r="S551" s="25">
        <f>IF($B551="","",$B551-WEEKDAY($B551,3))</f>
        <v/>
      </c>
      <c r="T551" s="24">
        <f>IF($B551="",0,IF(COUNTIFS($B$5:$B551,$B551,$D$5:$D551,$D551)=1,1,0))</f>
        <v/>
      </c>
      <c r="U551" s="24">
        <f>IF($B551="",0,IF(COUNTIFS($B$5:$B551,$B551,$C$5:$C551,$C551)=1,1,0))</f>
        <v/>
      </c>
      <c r="V551" s="24">
        <f>IF(OR($B551="",$G551="",$G551="لا توجد مشاهدات"),0,1)</f>
        <v/>
      </c>
      <c r="W551" s="24">
        <f>IF(AND($B551&lt;&gt;"",$I551="تم تحرير مخالفة"),1,0)</f>
        <v/>
      </c>
      <c r="X551" s="24">
        <f>IF($B551="","",IF($S551=WkStart,COUNTIF($S$5:$S551,WkStart),""))</f>
        <v/>
      </c>
    </row>
    <row r="552">
      <c r="A552" s="16">
        <f>IF($B552="","",ROW()-4)</f>
        <v/>
      </c>
      <c r="B552" s="17" t="n"/>
      <c r="C552" s="18" t="n"/>
      <c r="D552" s="18" t="n"/>
      <c r="E552" s="19" t="n"/>
      <c r="F552" s="19" t="n"/>
      <c r="G552" s="18" t="n"/>
      <c r="H552" s="18" t="n"/>
      <c r="I552" s="18" t="n"/>
      <c r="J552" s="20" t="n"/>
      <c r="K552" s="21" t="n"/>
      <c r="L552" s="21" t="n"/>
      <c r="M552" s="18" t="n"/>
      <c r="N552" s="22">
        <f>IF($B552="","",CHOOSE(WEEKDAY($B552),"الأحد","الاثنين","الثلاثاء","الأربعاء","الخميس","الجمعة","السبت"))</f>
        <v/>
      </c>
      <c r="O552" s="23">
        <f>IF(OR($K552="",$L552=""),"",HYPERLINK("https://maps.google.com/?q="&amp;$K552&amp;","&amp;$L552,"عرض الموقع"))</f>
        <v/>
      </c>
      <c r="P552" s="23">
        <f>IF(OR($B552="",N($J552)=0),"",HYPERLINK(PhotoDir&amp;"/"&amp;YEAR($B552)&amp;"-"&amp;TEXT(MONTH($B552),"00")&amp;"-"&amp;TEXT(DAY($B552),"00")&amp;"_"&amp;$D552,"فتح الصور ("&amp;$J552&amp;")"))</f>
        <v/>
      </c>
      <c r="Q552" s="24">
        <f>IF($B552="","",MONTH($B552))</f>
        <v/>
      </c>
      <c r="R552" s="24">
        <f>IF($B552="","",YEAR($B552))</f>
        <v/>
      </c>
      <c r="S552" s="25">
        <f>IF($B552="","",$B552-WEEKDAY($B552,3))</f>
        <v/>
      </c>
      <c r="T552" s="24">
        <f>IF($B552="",0,IF(COUNTIFS($B$5:$B552,$B552,$D$5:$D552,$D552)=1,1,0))</f>
        <v/>
      </c>
      <c r="U552" s="24">
        <f>IF($B552="",0,IF(COUNTIFS($B$5:$B552,$B552,$C$5:$C552,$C552)=1,1,0))</f>
        <v/>
      </c>
      <c r="V552" s="24">
        <f>IF(OR($B552="",$G552="",$G552="لا توجد مشاهدات"),0,1)</f>
        <v/>
      </c>
      <c r="W552" s="24">
        <f>IF(AND($B552&lt;&gt;"",$I552="تم تحرير مخالفة"),1,0)</f>
        <v/>
      </c>
      <c r="X552" s="24">
        <f>IF($B552="","",IF($S552=WkStart,COUNTIF($S$5:$S552,WkStart),""))</f>
        <v/>
      </c>
    </row>
    <row r="553">
      <c r="A553" s="16">
        <f>IF($B553="","",ROW()-4)</f>
        <v/>
      </c>
      <c r="B553" s="17" t="n"/>
      <c r="C553" s="18" t="n"/>
      <c r="D553" s="18" t="n"/>
      <c r="E553" s="19" t="n"/>
      <c r="F553" s="19" t="n"/>
      <c r="G553" s="18" t="n"/>
      <c r="H553" s="18" t="n"/>
      <c r="I553" s="18" t="n"/>
      <c r="J553" s="20" t="n"/>
      <c r="K553" s="21" t="n"/>
      <c r="L553" s="21" t="n"/>
      <c r="M553" s="18" t="n"/>
      <c r="N553" s="22">
        <f>IF($B553="","",CHOOSE(WEEKDAY($B553),"الأحد","الاثنين","الثلاثاء","الأربعاء","الخميس","الجمعة","السبت"))</f>
        <v/>
      </c>
      <c r="O553" s="23">
        <f>IF(OR($K553="",$L553=""),"",HYPERLINK("https://maps.google.com/?q="&amp;$K553&amp;","&amp;$L553,"عرض الموقع"))</f>
        <v/>
      </c>
      <c r="P553" s="23">
        <f>IF(OR($B553="",N($J553)=0),"",HYPERLINK(PhotoDir&amp;"/"&amp;YEAR($B553)&amp;"-"&amp;TEXT(MONTH($B553),"00")&amp;"-"&amp;TEXT(DAY($B553),"00")&amp;"_"&amp;$D553,"فتح الصور ("&amp;$J553&amp;")"))</f>
        <v/>
      </c>
      <c r="Q553" s="24">
        <f>IF($B553="","",MONTH($B553))</f>
        <v/>
      </c>
      <c r="R553" s="24">
        <f>IF($B553="","",YEAR($B553))</f>
        <v/>
      </c>
      <c r="S553" s="25">
        <f>IF($B553="","",$B553-WEEKDAY($B553,3))</f>
        <v/>
      </c>
      <c r="T553" s="24">
        <f>IF($B553="",0,IF(COUNTIFS($B$5:$B553,$B553,$D$5:$D553,$D553)=1,1,0))</f>
        <v/>
      </c>
      <c r="U553" s="24">
        <f>IF($B553="",0,IF(COUNTIFS($B$5:$B553,$B553,$C$5:$C553,$C553)=1,1,0))</f>
        <v/>
      </c>
      <c r="V553" s="24">
        <f>IF(OR($B553="",$G553="",$G553="لا توجد مشاهدات"),0,1)</f>
        <v/>
      </c>
      <c r="W553" s="24">
        <f>IF(AND($B553&lt;&gt;"",$I553="تم تحرير مخالفة"),1,0)</f>
        <v/>
      </c>
      <c r="X553" s="24">
        <f>IF($B553="","",IF($S553=WkStart,COUNTIF($S$5:$S553,WkStart),""))</f>
        <v/>
      </c>
    </row>
    <row r="554">
      <c r="A554" s="16">
        <f>IF($B554="","",ROW()-4)</f>
        <v/>
      </c>
      <c r="B554" s="17" t="n"/>
      <c r="C554" s="18" t="n"/>
      <c r="D554" s="18" t="n"/>
      <c r="E554" s="19" t="n"/>
      <c r="F554" s="19" t="n"/>
      <c r="G554" s="18" t="n"/>
      <c r="H554" s="18" t="n"/>
      <c r="I554" s="18" t="n"/>
      <c r="J554" s="20" t="n"/>
      <c r="K554" s="21" t="n"/>
      <c r="L554" s="21" t="n"/>
      <c r="M554" s="18" t="n"/>
      <c r="N554" s="22">
        <f>IF($B554="","",CHOOSE(WEEKDAY($B554),"الأحد","الاثنين","الثلاثاء","الأربعاء","الخميس","الجمعة","السبت"))</f>
        <v/>
      </c>
      <c r="O554" s="23">
        <f>IF(OR($K554="",$L554=""),"",HYPERLINK("https://maps.google.com/?q="&amp;$K554&amp;","&amp;$L554,"عرض الموقع"))</f>
        <v/>
      </c>
      <c r="P554" s="23">
        <f>IF(OR($B554="",N($J554)=0),"",HYPERLINK(PhotoDir&amp;"/"&amp;YEAR($B554)&amp;"-"&amp;TEXT(MONTH($B554),"00")&amp;"-"&amp;TEXT(DAY($B554),"00")&amp;"_"&amp;$D554,"فتح الصور ("&amp;$J554&amp;")"))</f>
        <v/>
      </c>
      <c r="Q554" s="24">
        <f>IF($B554="","",MONTH($B554))</f>
        <v/>
      </c>
      <c r="R554" s="24">
        <f>IF($B554="","",YEAR($B554))</f>
        <v/>
      </c>
      <c r="S554" s="25">
        <f>IF($B554="","",$B554-WEEKDAY($B554,3))</f>
        <v/>
      </c>
      <c r="T554" s="24">
        <f>IF($B554="",0,IF(COUNTIFS($B$5:$B554,$B554,$D$5:$D554,$D554)=1,1,0))</f>
        <v/>
      </c>
      <c r="U554" s="24">
        <f>IF($B554="",0,IF(COUNTIFS($B$5:$B554,$B554,$C$5:$C554,$C554)=1,1,0))</f>
        <v/>
      </c>
      <c r="V554" s="24">
        <f>IF(OR($B554="",$G554="",$G554="لا توجد مشاهدات"),0,1)</f>
        <v/>
      </c>
      <c r="W554" s="24">
        <f>IF(AND($B554&lt;&gt;"",$I554="تم تحرير مخالفة"),1,0)</f>
        <v/>
      </c>
      <c r="X554" s="24">
        <f>IF($B554="","",IF($S554=WkStart,COUNTIF($S$5:$S554,WkStart),""))</f>
        <v/>
      </c>
    </row>
    <row r="555">
      <c r="A555" s="16">
        <f>IF($B555="","",ROW()-4)</f>
        <v/>
      </c>
      <c r="B555" s="17" t="n"/>
      <c r="C555" s="18" t="n"/>
      <c r="D555" s="18" t="n"/>
      <c r="E555" s="19" t="n"/>
      <c r="F555" s="19" t="n"/>
      <c r="G555" s="18" t="n"/>
      <c r="H555" s="18" t="n"/>
      <c r="I555" s="18" t="n"/>
      <c r="J555" s="20" t="n"/>
      <c r="K555" s="21" t="n"/>
      <c r="L555" s="21" t="n"/>
      <c r="M555" s="18" t="n"/>
      <c r="N555" s="22">
        <f>IF($B555="","",CHOOSE(WEEKDAY($B555),"الأحد","الاثنين","الثلاثاء","الأربعاء","الخميس","الجمعة","السبت"))</f>
        <v/>
      </c>
      <c r="O555" s="23">
        <f>IF(OR($K555="",$L555=""),"",HYPERLINK("https://maps.google.com/?q="&amp;$K555&amp;","&amp;$L555,"عرض الموقع"))</f>
        <v/>
      </c>
      <c r="P555" s="23">
        <f>IF(OR($B555="",N($J555)=0),"",HYPERLINK(PhotoDir&amp;"/"&amp;YEAR($B555)&amp;"-"&amp;TEXT(MONTH($B555),"00")&amp;"-"&amp;TEXT(DAY($B555),"00")&amp;"_"&amp;$D555,"فتح الصور ("&amp;$J555&amp;")"))</f>
        <v/>
      </c>
      <c r="Q555" s="24">
        <f>IF($B555="","",MONTH($B555))</f>
        <v/>
      </c>
      <c r="R555" s="24">
        <f>IF($B555="","",YEAR($B555))</f>
        <v/>
      </c>
      <c r="S555" s="25">
        <f>IF($B555="","",$B555-WEEKDAY($B555,3))</f>
        <v/>
      </c>
      <c r="T555" s="24">
        <f>IF($B555="",0,IF(COUNTIFS($B$5:$B555,$B555,$D$5:$D555,$D555)=1,1,0))</f>
        <v/>
      </c>
      <c r="U555" s="24">
        <f>IF($B555="",0,IF(COUNTIFS($B$5:$B555,$B555,$C$5:$C555,$C555)=1,1,0))</f>
        <v/>
      </c>
      <c r="V555" s="24">
        <f>IF(OR($B555="",$G555="",$G555="لا توجد مشاهدات"),0,1)</f>
        <v/>
      </c>
      <c r="W555" s="24">
        <f>IF(AND($B555&lt;&gt;"",$I555="تم تحرير مخالفة"),1,0)</f>
        <v/>
      </c>
      <c r="X555" s="24">
        <f>IF($B555="","",IF($S555=WkStart,COUNTIF($S$5:$S555,WkStart),""))</f>
        <v/>
      </c>
    </row>
    <row r="556">
      <c r="A556" s="16">
        <f>IF($B556="","",ROW()-4)</f>
        <v/>
      </c>
      <c r="B556" s="17" t="n"/>
      <c r="C556" s="18" t="n"/>
      <c r="D556" s="18" t="n"/>
      <c r="E556" s="19" t="n"/>
      <c r="F556" s="19" t="n"/>
      <c r="G556" s="18" t="n"/>
      <c r="H556" s="18" t="n"/>
      <c r="I556" s="18" t="n"/>
      <c r="J556" s="20" t="n"/>
      <c r="K556" s="21" t="n"/>
      <c r="L556" s="21" t="n"/>
      <c r="M556" s="18" t="n"/>
      <c r="N556" s="22">
        <f>IF($B556="","",CHOOSE(WEEKDAY($B556),"الأحد","الاثنين","الثلاثاء","الأربعاء","الخميس","الجمعة","السبت"))</f>
        <v/>
      </c>
      <c r="O556" s="23">
        <f>IF(OR($K556="",$L556=""),"",HYPERLINK("https://maps.google.com/?q="&amp;$K556&amp;","&amp;$L556,"عرض الموقع"))</f>
        <v/>
      </c>
      <c r="P556" s="23">
        <f>IF(OR($B556="",N($J556)=0),"",HYPERLINK(PhotoDir&amp;"/"&amp;YEAR($B556)&amp;"-"&amp;TEXT(MONTH($B556),"00")&amp;"-"&amp;TEXT(DAY($B556),"00")&amp;"_"&amp;$D556,"فتح الصور ("&amp;$J556&amp;")"))</f>
        <v/>
      </c>
      <c r="Q556" s="24">
        <f>IF($B556="","",MONTH($B556))</f>
        <v/>
      </c>
      <c r="R556" s="24">
        <f>IF($B556="","",YEAR($B556))</f>
        <v/>
      </c>
      <c r="S556" s="25">
        <f>IF($B556="","",$B556-WEEKDAY($B556,3))</f>
        <v/>
      </c>
      <c r="T556" s="24">
        <f>IF($B556="",0,IF(COUNTIFS($B$5:$B556,$B556,$D$5:$D556,$D556)=1,1,0))</f>
        <v/>
      </c>
      <c r="U556" s="24">
        <f>IF($B556="",0,IF(COUNTIFS($B$5:$B556,$B556,$C$5:$C556,$C556)=1,1,0))</f>
        <v/>
      </c>
      <c r="V556" s="24">
        <f>IF(OR($B556="",$G556="",$G556="لا توجد مشاهدات"),0,1)</f>
        <v/>
      </c>
      <c r="W556" s="24">
        <f>IF(AND($B556&lt;&gt;"",$I556="تم تحرير مخالفة"),1,0)</f>
        <v/>
      </c>
      <c r="X556" s="24">
        <f>IF($B556="","",IF($S556=WkStart,COUNTIF($S$5:$S556,WkStart),""))</f>
        <v/>
      </c>
    </row>
    <row r="557">
      <c r="A557" s="16">
        <f>IF($B557="","",ROW()-4)</f>
        <v/>
      </c>
      <c r="B557" s="17" t="n"/>
      <c r="C557" s="18" t="n"/>
      <c r="D557" s="18" t="n"/>
      <c r="E557" s="19" t="n"/>
      <c r="F557" s="19" t="n"/>
      <c r="G557" s="18" t="n"/>
      <c r="H557" s="18" t="n"/>
      <c r="I557" s="18" t="n"/>
      <c r="J557" s="20" t="n"/>
      <c r="K557" s="21" t="n"/>
      <c r="L557" s="21" t="n"/>
      <c r="M557" s="18" t="n"/>
      <c r="N557" s="22">
        <f>IF($B557="","",CHOOSE(WEEKDAY($B557),"الأحد","الاثنين","الثلاثاء","الأربعاء","الخميس","الجمعة","السبت"))</f>
        <v/>
      </c>
      <c r="O557" s="23">
        <f>IF(OR($K557="",$L557=""),"",HYPERLINK("https://maps.google.com/?q="&amp;$K557&amp;","&amp;$L557,"عرض الموقع"))</f>
        <v/>
      </c>
      <c r="P557" s="23">
        <f>IF(OR($B557="",N($J557)=0),"",HYPERLINK(PhotoDir&amp;"/"&amp;YEAR($B557)&amp;"-"&amp;TEXT(MONTH($B557),"00")&amp;"-"&amp;TEXT(DAY($B557),"00")&amp;"_"&amp;$D557,"فتح الصور ("&amp;$J557&amp;")"))</f>
        <v/>
      </c>
      <c r="Q557" s="24">
        <f>IF($B557="","",MONTH($B557))</f>
        <v/>
      </c>
      <c r="R557" s="24">
        <f>IF($B557="","",YEAR($B557))</f>
        <v/>
      </c>
      <c r="S557" s="25">
        <f>IF($B557="","",$B557-WEEKDAY($B557,3))</f>
        <v/>
      </c>
      <c r="T557" s="24">
        <f>IF($B557="",0,IF(COUNTIFS($B$5:$B557,$B557,$D$5:$D557,$D557)=1,1,0))</f>
        <v/>
      </c>
      <c r="U557" s="24">
        <f>IF($B557="",0,IF(COUNTIFS($B$5:$B557,$B557,$C$5:$C557,$C557)=1,1,0))</f>
        <v/>
      </c>
      <c r="V557" s="24">
        <f>IF(OR($B557="",$G557="",$G557="لا توجد مشاهدات"),0,1)</f>
        <v/>
      </c>
      <c r="W557" s="24">
        <f>IF(AND($B557&lt;&gt;"",$I557="تم تحرير مخالفة"),1,0)</f>
        <v/>
      </c>
      <c r="X557" s="24">
        <f>IF($B557="","",IF($S557=WkStart,COUNTIF($S$5:$S557,WkStart),""))</f>
        <v/>
      </c>
    </row>
    <row r="558">
      <c r="A558" s="16">
        <f>IF($B558="","",ROW()-4)</f>
        <v/>
      </c>
      <c r="B558" s="17" t="n"/>
      <c r="C558" s="18" t="n"/>
      <c r="D558" s="18" t="n"/>
      <c r="E558" s="19" t="n"/>
      <c r="F558" s="19" t="n"/>
      <c r="G558" s="18" t="n"/>
      <c r="H558" s="18" t="n"/>
      <c r="I558" s="18" t="n"/>
      <c r="J558" s="20" t="n"/>
      <c r="K558" s="21" t="n"/>
      <c r="L558" s="21" t="n"/>
      <c r="M558" s="18" t="n"/>
      <c r="N558" s="22">
        <f>IF($B558="","",CHOOSE(WEEKDAY($B558),"الأحد","الاثنين","الثلاثاء","الأربعاء","الخميس","الجمعة","السبت"))</f>
        <v/>
      </c>
      <c r="O558" s="23">
        <f>IF(OR($K558="",$L558=""),"",HYPERLINK("https://maps.google.com/?q="&amp;$K558&amp;","&amp;$L558,"عرض الموقع"))</f>
        <v/>
      </c>
      <c r="P558" s="23">
        <f>IF(OR($B558="",N($J558)=0),"",HYPERLINK(PhotoDir&amp;"/"&amp;YEAR($B558)&amp;"-"&amp;TEXT(MONTH($B558),"00")&amp;"-"&amp;TEXT(DAY($B558),"00")&amp;"_"&amp;$D558,"فتح الصور ("&amp;$J558&amp;")"))</f>
        <v/>
      </c>
      <c r="Q558" s="24">
        <f>IF($B558="","",MONTH($B558))</f>
        <v/>
      </c>
      <c r="R558" s="24">
        <f>IF($B558="","",YEAR($B558))</f>
        <v/>
      </c>
      <c r="S558" s="25">
        <f>IF($B558="","",$B558-WEEKDAY($B558,3))</f>
        <v/>
      </c>
      <c r="T558" s="24">
        <f>IF($B558="",0,IF(COUNTIFS($B$5:$B558,$B558,$D$5:$D558,$D558)=1,1,0))</f>
        <v/>
      </c>
      <c r="U558" s="24">
        <f>IF($B558="",0,IF(COUNTIFS($B$5:$B558,$B558,$C$5:$C558,$C558)=1,1,0))</f>
        <v/>
      </c>
      <c r="V558" s="24">
        <f>IF(OR($B558="",$G558="",$G558="لا توجد مشاهدات"),0,1)</f>
        <v/>
      </c>
      <c r="W558" s="24">
        <f>IF(AND($B558&lt;&gt;"",$I558="تم تحرير مخالفة"),1,0)</f>
        <v/>
      </c>
      <c r="X558" s="24">
        <f>IF($B558="","",IF($S558=WkStart,COUNTIF($S$5:$S558,WkStart),""))</f>
        <v/>
      </c>
    </row>
    <row r="559">
      <c r="A559" s="16">
        <f>IF($B559="","",ROW()-4)</f>
        <v/>
      </c>
      <c r="B559" s="17" t="n"/>
      <c r="C559" s="18" t="n"/>
      <c r="D559" s="18" t="n"/>
      <c r="E559" s="19" t="n"/>
      <c r="F559" s="19" t="n"/>
      <c r="G559" s="18" t="n"/>
      <c r="H559" s="18" t="n"/>
      <c r="I559" s="18" t="n"/>
      <c r="J559" s="20" t="n"/>
      <c r="K559" s="21" t="n"/>
      <c r="L559" s="21" t="n"/>
      <c r="M559" s="18" t="n"/>
      <c r="N559" s="22">
        <f>IF($B559="","",CHOOSE(WEEKDAY($B559),"الأحد","الاثنين","الثلاثاء","الأربعاء","الخميس","الجمعة","السبت"))</f>
        <v/>
      </c>
      <c r="O559" s="23">
        <f>IF(OR($K559="",$L559=""),"",HYPERLINK("https://maps.google.com/?q="&amp;$K559&amp;","&amp;$L559,"عرض الموقع"))</f>
        <v/>
      </c>
      <c r="P559" s="23">
        <f>IF(OR($B559="",N($J559)=0),"",HYPERLINK(PhotoDir&amp;"/"&amp;YEAR($B559)&amp;"-"&amp;TEXT(MONTH($B559),"00")&amp;"-"&amp;TEXT(DAY($B559),"00")&amp;"_"&amp;$D559,"فتح الصور ("&amp;$J559&amp;")"))</f>
        <v/>
      </c>
      <c r="Q559" s="24">
        <f>IF($B559="","",MONTH($B559))</f>
        <v/>
      </c>
      <c r="R559" s="24">
        <f>IF($B559="","",YEAR($B559))</f>
        <v/>
      </c>
      <c r="S559" s="25">
        <f>IF($B559="","",$B559-WEEKDAY($B559,3))</f>
        <v/>
      </c>
      <c r="T559" s="24">
        <f>IF($B559="",0,IF(COUNTIFS($B$5:$B559,$B559,$D$5:$D559,$D559)=1,1,0))</f>
        <v/>
      </c>
      <c r="U559" s="24">
        <f>IF($B559="",0,IF(COUNTIFS($B$5:$B559,$B559,$C$5:$C559,$C559)=1,1,0))</f>
        <v/>
      </c>
      <c r="V559" s="24">
        <f>IF(OR($B559="",$G559="",$G559="لا توجد مشاهدات"),0,1)</f>
        <v/>
      </c>
      <c r="W559" s="24">
        <f>IF(AND($B559&lt;&gt;"",$I559="تم تحرير مخالفة"),1,0)</f>
        <v/>
      </c>
      <c r="X559" s="24">
        <f>IF($B559="","",IF($S559=WkStart,COUNTIF($S$5:$S559,WkStart),""))</f>
        <v/>
      </c>
    </row>
    <row r="560">
      <c r="A560" s="16">
        <f>IF($B560="","",ROW()-4)</f>
        <v/>
      </c>
      <c r="B560" s="17" t="n"/>
      <c r="C560" s="18" t="n"/>
      <c r="D560" s="18" t="n"/>
      <c r="E560" s="19" t="n"/>
      <c r="F560" s="19" t="n"/>
      <c r="G560" s="18" t="n"/>
      <c r="H560" s="18" t="n"/>
      <c r="I560" s="18" t="n"/>
      <c r="J560" s="20" t="n"/>
      <c r="K560" s="21" t="n"/>
      <c r="L560" s="21" t="n"/>
      <c r="M560" s="18" t="n"/>
      <c r="N560" s="22">
        <f>IF($B560="","",CHOOSE(WEEKDAY($B560),"الأحد","الاثنين","الثلاثاء","الأربعاء","الخميس","الجمعة","السبت"))</f>
        <v/>
      </c>
      <c r="O560" s="23">
        <f>IF(OR($K560="",$L560=""),"",HYPERLINK("https://maps.google.com/?q="&amp;$K560&amp;","&amp;$L560,"عرض الموقع"))</f>
        <v/>
      </c>
      <c r="P560" s="23">
        <f>IF(OR($B560="",N($J560)=0),"",HYPERLINK(PhotoDir&amp;"/"&amp;YEAR($B560)&amp;"-"&amp;TEXT(MONTH($B560),"00")&amp;"-"&amp;TEXT(DAY($B560),"00")&amp;"_"&amp;$D560,"فتح الصور ("&amp;$J560&amp;")"))</f>
        <v/>
      </c>
      <c r="Q560" s="24">
        <f>IF($B560="","",MONTH($B560))</f>
        <v/>
      </c>
      <c r="R560" s="24">
        <f>IF($B560="","",YEAR($B560))</f>
        <v/>
      </c>
      <c r="S560" s="25">
        <f>IF($B560="","",$B560-WEEKDAY($B560,3))</f>
        <v/>
      </c>
      <c r="T560" s="24">
        <f>IF($B560="",0,IF(COUNTIFS($B$5:$B560,$B560,$D$5:$D560,$D560)=1,1,0))</f>
        <v/>
      </c>
      <c r="U560" s="24">
        <f>IF($B560="",0,IF(COUNTIFS($B$5:$B560,$B560,$C$5:$C560,$C560)=1,1,0))</f>
        <v/>
      </c>
      <c r="V560" s="24">
        <f>IF(OR($B560="",$G560="",$G560="لا توجد مشاهدات"),0,1)</f>
        <v/>
      </c>
      <c r="W560" s="24">
        <f>IF(AND($B560&lt;&gt;"",$I560="تم تحرير مخالفة"),1,0)</f>
        <v/>
      </c>
      <c r="X560" s="24">
        <f>IF($B560="","",IF($S560=WkStart,COUNTIF($S$5:$S560,WkStart),""))</f>
        <v/>
      </c>
    </row>
    <row r="561">
      <c r="A561" s="16">
        <f>IF($B561="","",ROW()-4)</f>
        <v/>
      </c>
      <c r="B561" s="17" t="n"/>
      <c r="C561" s="18" t="n"/>
      <c r="D561" s="18" t="n"/>
      <c r="E561" s="19" t="n"/>
      <c r="F561" s="19" t="n"/>
      <c r="G561" s="18" t="n"/>
      <c r="H561" s="18" t="n"/>
      <c r="I561" s="18" t="n"/>
      <c r="J561" s="20" t="n"/>
      <c r="K561" s="21" t="n"/>
      <c r="L561" s="21" t="n"/>
      <c r="M561" s="18" t="n"/>
      <c r="N561" s="22">
        <f>IF($B561="","",CHOOSE(WEEKDAY($B561),"الأحد","الاثنين","الثلاثاء","الأربعاء","الخميس","الجمعة","السبت"))</f>
        <v/>
      </c>
      <c r="O561" s="23">
        <f>IF(OR($K561="",$L561=""),"",HYPERLINK("https://maps.google.com/?q="&amp;$K561&amp;","&amp;$L561,"عرض الموقع"))</f>
        <v/>
      </c>
      <c r="P561" s="23">
        <f>IF(OR($B561="",N($J561)=0),"",HYPERLINK(PhotoDir&amp;"/"&amp;YEAR($B561)&amp;"-"&amp;TEXT(MONTH($B561),"00")&amp;"-"&amp;TEXT(DAY($B561),"00")&amp;"_"&amp;$D561,"فتح الصور ("&amp;$J561&amp;")"))</f>
        <v/>
      </c>
      <c r="Q561" s="24">
        <f>IF($B561="","",MONTH($B561))</f>
        <v/>
      </c>
      <c r="R561" s="24">
        <f>IF($B561="","",YEAR($B561))</f>
        <v/>
      </c>
      <c r="S561" s="25">
        <f>IF($B561="","",$B561-WEEKDAY($B561,3))</f>
        <v/>
      </c>
      <c r="T561" s="24">
        <f>IF($B561="",0,IF(COUNTIFS($B$5:$B561,$B561,$D$5:$D561,$D561)=1,1,0))</f>
        <v/>
      </c>
      <c r="U561" s="24">
        <f>IF($B561="",0,IF(COUNTIFS($B$5:$B561,$B561,$C$5:$C561,$C561)=1,1,0))</f>
        <v/>
      </c>
      <c r="V561" s="24">
        <f>IF(OR($B561="",$G561="",$G561="لا توجد مشاهدات"),0,1)</f>
        <v/>
      </c>
      <c r="W561" s="24">
        <f>IF(AND($B561&lt;&gt;"",$I561="تم تحرير مخالفة"),1,0)</f>
        <v/>
      </c>
      <c r="X561" s="24">
        <f>IF($B561="","",IF($S561=WkStart,COUNTIF($S$5:$S561,WkStart),""))</f>
        <v/>
      </c>
    </row>
    <row r="562">
      <c r="A562" s="16">
        <f>IF($B562="","",ROW()-4)</f>
        <v/>
      </c>
      <c r="B562" s="17" t="n"/>
      <c r="C562" s="18" t="n"/>
      <c r="D562" s="18" t="n"/>
      <c r="E562" s="19" t="n"/>
      <c r="F562" s="19" t="n"/>
      <c r="G562" s="18" t="n"/>
      <c r="H562" s="18" t="n"/>
      <c r="I562" s="18" t="n"/>
      <c r="J562" s="20" t="n"/>
      <c r="K562" s="21" t="n"/>
      <c r="L562" s="21" t="n"/>
      <c r="M562" s="18" t="n"/>
      <c r="N562" s="22">
        <f>IF($B562="","",CHOOSE(WEEKDAY($B562),"الأحد","الاثنين","الثلاثاء","الأربعاء","الخميس","الجمعة","السبت"))</f>
        <v/>
      </c>
      <c r="O562" s="23">
        <f>IF(OR($K562="",$L562=""),"",HYPERLINK("https://maps.google.com/?q="&amp;$K562&amp;","&amp;$L562,"عرض الموقع"))</f>
        <v/>
      </c>
      <c r="P562" s="23">
        <f>IF(OR($B562="",N($J562)=0),"",HYPERLINK(PhotoDir&amp;"/"&amp;YEAR($B562)&amp;"-"&amp;TEXT(MONTH($B562),"00")&amp;"-"&amp;TEXT(DAY($B562),"00")&amp;"_"&amp;$D562,"فتح الصور ("&amp;$J562&amp;")"))</f>
        <v/>
      </c>
      <c r="Q562" s="24">
        <f>IF($B562="","",MONTH($B562))</f>
        <v/>
      </c>
      <c r="R562" s="24">
        <f>IF($B562="","",YEAR($B562))</f>
        <v/>
      </c>
      <c r="S562" s="25">
        <f>IF($B562="","",$B562-WEEKDAY($B562,3))</f>
        <v/>
      </c>
      <c r="T562" s="24">
        <f>IF($B562="",0,IF(COUNTIFS($B$5:$B562,$B562,$D$5:$D562,$D562)=1,1,0))</f>
        <v/>
      </c>
      <c r="U562" s="24">
        <f>IF($B562="",0,IF(COUNTIFS($B$5:$B562,$B562,$C$5:$C562,$C562)=1,1,0))</f>
        <v/>
      </c>
      <c r="V562" s="24">
        <f>IF(OR($B562="",$G562="",$G562="لا توجد مشاهدات"),0,1)</f>
        <v/>
      </c>
      <c r="W562" s="24">
        <f>IF(AND($B562&lt;&gt;"",$I562="تم تحرير مخالفة"),1,0)</f>
        <v/>
      </c>
      <c r="X562" s="24">
        <f>IF($B562="","",IF($S562=WkStart,COUNTIF($S$5:$S562,WkStart),""))</f>
        <v/>
      </c>
    </row>
    <row r="563">
      <c r="A563" s="16">
        <f>IF($B563="","",ROW()-4)</f>
        <v/>
      </c>
      <c r="B563" s="17" t="n"/>
      <c r="C563" s="18" t="n"/>
      <c r="D563" s="18" t="n"/>
      <c r="E563" s="19" t="n"/>
      <c r="F563" s="19" t="n"/>
      <c r="G563" s="18" t="n"/>
      <c r="H563" s="18" t="n"/>
      <c r="I563" s="18" t="n"/>
      <c r="J563" s="20" t="n"/>
      <c r="K563" s="21" t="n"/>
      <c r="L563" s="21" t="n"/>
      <c r="M563" s="18" t="n"/>
      <c r="N563" s="22">
        <f>IF($B563="","",CHOOSE(WEEKDAY($B563),"الأحد","الاثنين","الثلاثاء","الأربعاء","الخميس","الجمعة","السبت"))</f>
        <v/>
      </c>
      <c r="O563" s="23">
        <f>IF(OR($K563="",$L563=""),"",HYPERLINK("https://maps.google.com/?q="&amp;$K563&amp;","&amp;$L563,"عرض الموقع"))</f>
        <v/>
      </c>
      <c r="P563" s="23">
        <f>IF(OR($B563="",N($J563)=0),"",HYPERLINK(PhotoDir&amp;"/"&amp;YEAR($B563)&amp;"-"&amp;TEXT(MONTH($B563),"00")&amp;"-"&amp;TEXT(DAY($B563),"00")&amp;"_"&amp;$D563,"فتح الصور ("&amp;$J563&amp;")"))</f>
        <v/>
      </c>
      <c r="Q563" s="24">
        <f>IF($B563="","",MONTH($B563))</f>
        <v/>
      </c>
      <c r="R563" s="24">
        <f>IF($B563="","",YEAR($B563))</f>
        <v/>
      </c>
      <c r="S563" s="25">
        <f>IF($B563="","",$B563-WEEKDAY($B563,3))</f>
        <v/>
      </c>
      <c r="T563" s="24">
        <f>IF($B563="",0,IF(COUNTIFS($B$5:$B563,$B563,$D$5:$D563,$D563)=1,1,0))</f>
        <v/>
      </c>
      <c r="U563" s="24">
        <f>IF($B563="",0,IF(COUNTIFS($B$5:$B563,$B563,$C$5:$C563,$C563)=1,1,0))</f>
        <v/>
      </c>
      <c r="V563" s="24">
        <f>IF(OR($B563="",$G563="",$G563="لا توجد مشاهدات"),0,1)</f>
        <v/>
      </c>
      <c r="W563" s="24">
        <f>IF(AND($B563&lt;&gt;"",$I563="تم تحرير مخالفة"),1,0)</f>
        <v/>
      </c>
      <c r="X563" s="24">
        <f>IF($B563="","",IF($S563=WkStart,COUNTIF($S$5:$S563,WkStart),""))</f>
        <v/>
      </c>
    </row>
    <row r="564">
      <c r="A564" s="16">
        <f>IF($B564="","",ROW()-4)</f>
        <v/>
      </c>
      <c r="B564" s="17" t="n"/>
      <c r="C564" s="18" t="n"/>
      <c r="D564" s="18" t="n"/>
      <c r="E564" s="19" t="n"/>
      <c r="F564" s="19" t="n"/>
      <c r="G564" s="18" t="n"/>
      <c r="H564" s="18" t="n"/>
      <c r="I564" s="18" t="n"/>
      <c r="J564" s="20" t="n"/>
      <c r="K564" s="21" t="n"/>
      <c r="L564" s="21" t="n"/>
      <c r="M564" s="18" t="n"/>
      <c r="N564" s="22">
        <f>IF($B564="","",CHOOSE(WEEKDAY($B564),"الأحد","الاثنين","الثلاثاء","الأربعاء","الخميس","الجمعة","السبت"))</f>
        <v/>
      </c>
      <c r="O564" s="23">
        <f>IF(OR($K564="",$L564=""),"",HYPERLINK("https://maps.google.com/?q="&amp;$K564&amp;","&amp;$L564,"عرض الموقع"))</f>
        <v/>
      </c>
      <c r="P564" s="23">
        <f>IF(OR($B564="",N($J564)=0),"",HYPERLINK(PhotoDir&amp;"/"&amp;YEAR($B564)&amp;"-"&amp;TEXT(MONTH($B564),"00")&amp;"-"&amp;TEXT(DAY($B564),"00")&amp;"_"&amp;$D564,"فتح الصور ("&amp;$J564&amp;")"))</f>
        <v/>
      </c>
      <c r="Q564" s="24">
        <f>IF($B564="","",MONTH($B564))</f>
        <v/>
      </c>
      <c r="R564" s="24">
        <f>IF($B564="","",YEAR($B564))</f>
        <v/>
      </c>
      <c r="S564" s="25">
        <f>IF($B564="","",$B564-WEEKDAY($B564,3))</f>
        <v/>
      </c>
      <c r="T564" s="24">
        <f>IF($B564="",0,IF(COUNTIFS($B$5:$B564,$B564,$D$5:$D564,$D564)=1,1,0))</f>
        <v/>
      </c>
      <c r="U564" s="24">
        <f>IF($B564="",0,IF(COUNTIFS($B$5:$B564,$B564,$C$5:$C564,$C564)=1,1,0))</f>
        <v/>
      </c>
      <c r="V564" s="24">
        <f>IF(OR($B564="",$G564="",$G564="لا توجد مشاهدات"),0,1)</f>
        <v/>
      </c>
      <c r="W564" s="24">
        <f>IF(AND($B564&lt;&gt;"",$I564="تم تحرير مخالفة"),1,0)</f>
        <v/>
      </c>
      <c r="X564" s="24">
        <f>IF($B564="","",IF($S564=WkStart,COUNTIF($S$5:$S564,WkStart),""))</f>
        <v/>
      </c>
    </row>
    <row r="565">
      <c r="A565" s="16">
        <f>IF($B565="","",ROW()-4)</f>
        <v/>
      </c>
      <c r="B565" s="17" t="n"/>
      <c r="C565" s="18" t="n"/>
      <c r="D565" s="18" t="n"/>
      <c r="E565" s="19" t="n"/>
      <c r="F565" s="19" t="n"/>
      <c r="G565" s="18" t="n"/>
      <c r="H565" s="18" t="n"/>
      <c r="I565" s="18" t="n"/>
      <c r="J565" s="20" t="n"/>
      <c r="K565" s="21" t="n"/>
      <c r="L565" s="21" t="n"/>
      <c r="M565" s="18" t="n"/>
      <c r="N565" s="22">
        <f>IF($B565="","",CHOOSE(WEEKDAY($B565),"الأحد","الاثنين","الثلاثاء","الأربعاء","الخميس","الجمعة","السبت"))</f>
        <v/>
      </c>
      <c r="O565" s="23">
        <f>IF(OR($K565="",$L565=""),"",HYPERLINK("https://maps.google.com/?q="&amp;$K565&amp;","&amp;$L565,"عرض الموقع"))</f>
        <v/>
      </c>
      <c r="P565" s="23">
        <f>IF(OR($B565="",N($J565)=0),"",HYPERLINK(PhotoDir&amp;"/"&amp;YEAR($B565)&amp;"-"&amp;TEXT(MONTH($B565),"00")&amp;"-"&amp;TEXT(DAY($B565),"00")&amp;"_"&amp;$D565,"فتح الصور ("&amp;$J565&amp;")"))</f>
        <v/>
      </c>
      <c r="Q565" s="24">
        <f>IF($B565="","",MONTH($B565))</f>
        <v/>
      </c>
      <c r="R565" s="24">
        <f>IF($B565="","",YEAR($B565))</f>
        <v/>
      </c>
      <c r="S565" s="25">
        <f>IF($B565="","",$B565-WEEKDAY($B565,3))</f>
        <v/>
      </c>
      <c r="T565" s="24">
        <f>IF($B565="",0,IF(COUNTIFS($B$5:$B565,$B565,$D$5:$D565,$D565)=1,1,0))</f>
        <v/>
      </c>
      <c r="U565" s="24">
        <f>IF($B565="",0,IF(COUNTIFS($B$5:$B565,$B565,$C$5:$C565,$C565)=1,1,0))</f>
        <v/>
      </c>
      <c r="V565" s="24">
        <f>IF(OR($B565="",$G565="",$G565="لا توجد مشاهدات"),0,1)</f>
        <v/>
      </c>
      <c r="W565" s="24">
        <f>IF(AND($B565&lt;&gt;"",$I565="تم تحرير مخالفة"),1,0)</f>
        <v/>
      </c>
      <c r="X565" s="24">
        <f>IF($B565="","",IF($S565=WkStart,COUNTIF($S$5:$S565,WkStart),""))</f>
        <v/>
      </c>
    </row>
    <row r="566">
      <c r="A566" s="16">
        <f>IF($B566="","",ROW()-4)</f>
        <v/>
      </c>
      <c r="B566" s="17" t="n"/>
      <c r="C566" s="18" t="n"/>
      <c r="D566" s="18" t="n"/>
      <c r="E566" s="19" t="n"/>
      <c r="F566" s="19" t="n"/>
      <c r="G566" s="18" t="n"/>
      <c r="H566" s="18" t="n"/>
      <c r="I566" s="18" t="n"/>
      <c r="J566" s="20" t="n"/>
      <c r="K566" s="21" t="n"/>
      <c r="L566" s="21" t="n"/>
      <c r="M566" s="18" t="n"/>
      <c r="N566" s="22">
        <f>IF($B566="","",CHOOSE(WEEKDAY($B566),"الأحد","الاثنين","الثلاثاء","الأربعاء","الخميس","الجمعة","السبت"))</f>
        <v/>
      </c>
      <c r="O566" s="23">
        <f>IF(OR($K566="",$L566=""),"",HYPERLINK("https://maps.google.com/?q="&amp;$K566&amp;","&amp;$L566,"عرض الموقع"))</f>
        <v/>
      </c>
      <c r="P566" s="23">
        <f>IF(OR($B566="",N($J566)=0),"",HYPERLINK(PhotoDir&amp;"/"&amp;YEAR($B566)&amp;"-"&amp;TEXT(MONTH($B566),"00")&amp;"-"&amp;TEXT(DAY($B566),"00")&amp;"_"&amp;$D566,"فتح الصور ("&amp;$J566&amp;")"))</f>
        <v/>
      </c>
      <c r="Q566" s="24">
        <f>IF($B566="","",MONTH($B566))</f>
        <v/>
      </c>
      <c r="R566" s="24">
        <f>IF($B566="","",YEAR($B566))</f>
        <v/>
      </c>
      <c r="S566" s="25">
        <f>IF($B566="","",$B566-WEEKDAY($B566,3))</f>
        <v/>
      </c>
      <c r="T566" s="24">
        <f>IF($B566="",0,IF(COUNTIFS($B$5:$B566,$B566,$D$5:$D566,$D566)=1,1,0))</f>
        <v/>
      </c>
      <c r="U566" s="24">
        <f>IF($B566="",0,IF(COUNTIFS($B$5:$B566,$B566,$C$5:$C566,$C566)=1,1,0))</f>
        <v/>
      </c>
      <c r="V566" s="24">
        <f>IF(OR($B566="",$G566="",$G566="لا توجد مشاهدات"),0,1)</f>
        <v/>
      </c>
      <c r="W566" s="24">
        <f>IF(AND($B566&lt;&gt;"",$I566="تم تحرير مخالفة"),1,0)</f>
        <v/>
      </c>
      <c r="X566" s="24">
        <f>IF($B566="","",IF($S566=WkStart,COUNTIF($S$5:$S566,WkStart),""))</f>
        <v/>
      </c>
    </row>
    <row r="567">
      <c r="A567" s="16">
        <f>IF($B567="","",ROW()-4)</f>
        <v/>
      </c>
      <c r="B567" s="17" t="n"/>
      <c r="C567" s="18" t="n"/>
      <c r="D567" s="18" t="n"/>
      <c r="E567" s="19" t="n"/>
      <c r="F567" s="19" t="n"/>
      <c r="G567" s="18" t="n"/>
      <c r="H567" s="18" t="n"/>
      <c r="I567" s="18" t="n"/>
      <c r="J567" s="20" t="n"/>
      <c r="K567" s="21" t="n"/>
      <c r="L567" s="21" t="n"/>
      <c r="M567" s="18" t="n"/>
      <c r="N567" s="22">
        <f>IF($B567="","",CHOOSE(WEEKDAY($B567),"الأحد","الاثنين","الثلاثاء","الأربعاء","الخميس","الجمعة","السبت"))</f>
        <v/>
      </c>
      <c r="O567" s="23">
        <f>IF(OR($K567="",$L567=""),"",HYPERLINK("https://maps.google.com/?q="&amp;$K567&amp;","&amp;$L567,"عرض الموقع"))</f>
        <v/>
      </c>
      <c r="P567" s="23">
        <f>IF(OR($B567="",N($J567)=0),"",HYPERLINK(PhotoDir&amp;"/"&amp;YEAR($B567)&amp;"-"&amp;TEXT(MONTH($B567),"00")&amp;"-"&amp;TEXT(DAY($B567),"00")&amp;"_"&amp;$D567,"فتح الصور ("&amp;$J567&amp;")"))</f>
        <v/>
      </c>
      <c r="Q567" s="24">
        <f>IF($B567="","",MONTH($B567))</f>
        <v/>
      </c>
      <c r="R567" s="24">
        <f>IF($B567="","",YEAR($B567))</f>
        <v/>
      </c>
      <c r="S567" s="25">
        <f>IF($B567="","",$B567-WEEKDAY($B567,3))</f>
        <v/>
      </c>
      <c r="T567" s="24">
        <f>IF($B567="",0,IF(COUNTIFS($B$5:$B567,$B567,$D$5:$D567,$D567)=1,1,0))</f>
        <v/>
      </c>
      <c r="U567" s="24">
        <f>IF($B567="",0,IF(COUNTIFS($B$5:$B567,$B567,$C$5:$C567,$C567)=1,1,0))</f>
        <v/>
      </c>
      <c r="V567" s="24">
        <f>IF(OR($B567="",$G567="",$G567="لا توجد مشاهدات"),0,1)</f>
        <v/>
      </c>
      <c r="W567" s="24">
        <f>IF(AND($B567&lt;&gt;"",$I567="تم تحرير مخالفة"),1,0)</f>
        <v/>
      </c>
      <c r="X567" s="24">
        <f>IF($B567="","",IF($S567=WkStart,COUNTIF($S$5:$S567,WkStart),""))</f>
        <v/>
      </c>
    </row>
    <row r="568">
      <c r="A568" s="16">
        <f>IF($B568="","",ROW()-4)</f>
        <v/>
      </c>
      <c r="B568" s="17" t="n"/>
      <c r="C568" s="18" t="n"/>
      <c r="D568" s="18" t="n"/>
      <c r="E568" s="19" t="n"/>
      <c r="F568" s="19" t="n"/>
      <c r="G568" s="18" t="n"/>
      <c r="H568" s="18" t="n"/>
      <c r="I568" s="18" t="n"/>
      <c r="J568" s="20" t="n"/>
      <c r="K568" s="21" t="n"/>
      <c r="L568" s="21" t="n"/>
      <c r="M568" s="18" t="n"/>
      <c r="N568" s="22">
        <f>IF($B568="","",CHOOSE(WEEKDAY($B568),"الأحد","الاثنين","الثلاثاء","الأربعاء","الخميس","الجمعة","السبت"))</f>
        <v/>
      </c>
      <c r="O568" s="23">
        <f>IF(OR($K568="",$L568=""),"",HYPERLINK("https://maps.google.com/?q="&amp;$K568&amp;","&amp;$L568,"عرض الموقع"))</f>
        <v/>
      </c>
      <c r="P568" s="23">
        <f>IF(OR($B568="",N($J568)=0),"",HYPERLINK(PhotoDir&amp;"/"&amp;YEAR($B568)&amp;"-"&amp;TEXT(MONTH($B568),"00")&amp;"-"&amp;TEXT(DAY($B568),"00")&amp;"_"&amp;$D568,"فتح الصور ("&amp;$J568&amp;")"))</f>
        <v/>
      </c>
      <c r="Q568" s="24">
        <f>IF($B568="","",MONTH($B568))</f>
        <v/>
      </c>
      <c r="R568" s="24">
        <f>IF($B568="","",YEAR($B568))</f>
        <v/>
      </c>
      <c r="S568" s="25">
        <f>IF($B568="","",$B568-WEEKDAY($B568,3))</f>
        <v/>
      </c>
      <c r="T568" s="24">
        <f>IF($B568="",0,IF(COUNTIFS($B$5:$B568,$B568,$D$5:$D568,$D568)=1,1,0))</f>
        <v/>
      </c>
      <c r="U568" s="24">
        <f>IF($B568="",0,IF(COUNTIFS($B$5:$B568,$B568,$C$5:$C568,$C568)=1,1,0))</f>
        <v/>
      </c>
      <c r="V568" s="24">
        <f>IF(OR($B568="",$G568="",$G568="لا توجد مشاهدات"),0,1)</f>
        <v/>
      </c>
      <c r="W568" s="24">
        <f>IF(AND($B568&lt;&gt;"",$I568="تم تحرير مخالفة"),1,0)</f>
        <v/>
      </c>
      <c r="X568" s="24">
        <f>IF($B568="","",IF($S568=WkStart,COUNTIF($S$5:$S568,WkStart),""))</f>
        <v/>
      </c>
    </row>
    <row r="569">
      <c r="A569" s="16">
        <f>IF($B569="","",ROW()-4)</f>
        <v/>
      </c>
      <c r="B569" s="17" t="n"/>
      <c r="C569" s="18" t="n"/>
      <c r="D569" s="18" t="n"/>
      <c r="E569" s="19" t="n"/>
      <c r="F569" s="19" t="n"/>
      <c r="G569" s="18" t="n"/>
      <c r="H569" s="18" t="n"/>
      <c r="I569" s="18" t="n"/>
      <c r="J569" s="20" t="n"/>
      <c r="K569" s="21" t="n"/>
      <c r="L569" s="21" t="n"/>
      <c r="M569" s="18" t="n"/>
      <c r="N569" s="22">
        <f>IF($B569="","",CHOOSE(WEEKDAY($B569),"الأحد","الاثنين","الثلاثاء","الأربعاء","الخميس","الجمعة","السبت"))</f>
        <v/>
      </c>
      <c r="O569" s="23">
        <f>IF(OR($K569="",$L569=""),"",HYPERLINK("https://maps.google.com/?q="&amp;$K569&amp;","&amp;$L569,"عرض الموقع"))</f>
        <v/>
      </c>
      <c r="P569" s="23">
        <f>IF(OR($B569="",N($J569)=0),"",HYPERLINK(PhotoDir&amp;"/"&amp;YEAR($B569)&amp;"-"&amp;TEXT(MONTH($B569),"00")&amp;"-"&amp;TEXT(DAY($B569),"00")&amp;"_"&amp;$D569,"فتح الصور ("&amp;$J569&amp;")"))</f>
        <v/>
      </c>
      <c r="Q569" s="24">
        <f>IF($B569="","",MONTH($B569))</f>
        <v/>
      </c>
      <c r="R569" s="24">
        <f>IF($B569="","",YEAR($B569))</f>
        <v/>
      </c>
      <c r="S569" s="25">
        <f>IF($B569="","",$B569-WEEKDAY($B569,3))</f>
        <v/>
      </c>
      <c r="T569" s="24">
        <f>IF($B569="",0,IF(COUNTIFS($B$5:$B569,$B569,$D$5:$D569,$D569)=1,1,0))</f>
        <v/>
      </c>
      <c r="U569" s="24">
        <f>IF($B569="",0,IF(COUNTIFS($B$5:$B569,$B569,$C$5:$C569,$C569)=1,1,0))</f>
        <v/>
      </c>
      <c r="V569" s="24">
        <f>IF(OR($B569="",$G569="",$G569="لا توجد مشاهدات"),0,1)</f>
        <v/>
      </c>
      <c r="W569" s="24">
        <f>IF(AND($B569&lt;&gt;"",$I569="تم تحرير مخالفة"),1,0)</f>
        <v/>
      </c>
      <c r="X569" s="24">
        <f>IF($B569="","",IF($S569=WkStart,COUNTIF($S$5:$S569,WkStart),""))</f>
        <v/>
      </c>
    </row>
    <row r="570">
      <c r="A570" s="16">
        <f>IF($B570="","",ROW()-4)</f>
        <v/>
      </c>
      <c r="B570" s="17" t="n"/>
      <c r="C570" s="18" t="n"/>
      <c r="D570" s="18" t="n"/>
      <c r="E570" s="19" t="n"/>
      <c r="F570" s="19" t="n"/>
      <c r="G570" s="18" t="n"/>
      <c r="H570" s="18" t="n"/>
      <c r="I570" s="18" t="n"/>
      <c r="J570" s="20" t="n"/>
      <c r="K570" s="21" t="n"/>
      <c r="L570" s="21" t="n"/>
      <c r="M570" s="18" t="n"/>
      <c r="N570" s="22">
        <f>IF($B570="","",CHOOSE(WEEKDAY($B570),"الأحد","الاثنين","الثلاثاء","الأربعاء","الخميس","الجمعة","السبت"))</f>
        <v/>
      </c>
      <c r="O570" s="23">
        <f>IF(OR($K570="",$L570=""),"",HYPERLINK("https://maps.google.com/?q="&amp;$K570&amp;","&amp;$L570,"عرض الموقع"))</f>
        <v/>
      </c>
      <c r="P570" s="23">
        <f>IF(OR($B570="",N($J570)=0),"",HYPERLINK(PhotoDir&amp;"/"&amp;YEAR($B570)&amp;"-"&amp;TEXT(MONTH($B570),"00")&amp;"-"&amp;TEXT(DAY($B570),"00")&amp;"_"&amp;$D570,"فتح الصور ("&amp;$J570&amp;")"))</f>
        <v/>
      </c>
      <c r="Q570" s="24">
        <f>IF($B570="","",MONTH($B570))</f>
        <v/>
      </c>
      <c r="R570" s="24">
        <f>IF($B570="","",YEAR($B570))</f>
        <v/>
      </c>
      <c r="S570" s="25">
        <f>IF($B570="","",$B570-WEEKDAY($B570,3))</f>
        <v/>
      </c>
      <c r="T570" s="24">
        <f>IF($B570="",0,IF(COUNTIFS($B$5:$B570,$B570,$D$5:$D570,$D570)=1,1,0))</f>
        <v/>
      </c>
      <c r="U570" s="24">
        <f>IF($B570="",0,IF(COUNTIFS($B$5:$B570,$B570,$C$5:$C570,$C570)=1,1,0))</f>
        <v/>
      </c>
      <c r="V570" s="24">
        <f>IF(OR($B570="",$G570="",$G570="لا توجد مشاهدات"),0,1)</f>
        <v/>
      </c>
      <c r="W570" s="24">
        <f>IF(AND($B570&lt;&gt;"",$I570="تم تحرير مخالفة"),1,0)</f>
        <v/>
      </c>
      <c r="X570" s="24">
        <f>IF($B570="","",IF($S570=WkStart,COUNTIF($S$5:$S570,WkStart),""))</f>
        <v/>
      </c>
    </row>
    <row r="571">
      <c r="A571" s="16">
        <f>IF($B571="","",ROW()-4)</f>
        <v/>
      </c>
      <c r="B571" s="17" t="n"/>
      <c r="C571" s="18" t="n"/>
      <c r="D571" s="18" t="n"/>
      <c r="E571" s="19" t="n"/>
      <c r="F571" s="19" t="n"/>
      <c r="G571" s="18" t="n"/>
      <c r="H571" s="18" t="n"/>
      <c r="I571" s="18" t="n"/>
      <c r="J571" s="20" t="n"/>
      <c r="K571" s="21" t="n"/>
      <c r="L571" s="21" t="n"/>
      <c r="M571" s="18" t="n"/>
      <c r="N571" s="22">
        <f>IF($B571="","",CHOOSE(WEEKDAY($B571),"الأحد","الاثنين","الثلاثاء","الأربعاء","الخميس","الجمعة","السبت"))</f>
        <v/>
      </c>
      <c r="O571" s="23">
        <f>IF(OR($K571="",$L571=""),"",HYPERLINK("https://maps.google.com/?q="&amp;$K571&amp;","&amp;$L571,"عرض الموقع"))</f>
        <v/>
      </c>
      <c r="P571" s="23">
        <f>IF(OR($B571="",N($J571)=0),"",HYPERLINK(PhotoDir&amp;"/"&amp;YEAR($B571)&amp;"-"&amp;TEXT(MONTH($B571),"00")&amp;"-"&amp;TEXT(DAY($B571),"00")&amp;"_"&amp;$D571,"فتح الصور ("&amp;$J571&amp;")"))</f>
        <v/>
      </c>
      <c r="Q571" s="24">
        <f>IF($B571="","",MONTH($B571))</f>
        <v/>
      </c>
      <c r="R571" s="24">
        <f>IF($B571="","",YEAR($B571))</f>
        <v/>
      </c>
      <c r="S571" s="25">
        <f>IF($B571="","",$B571-WEEKDAY($B571,3))</f>
        <v/>
      </c>
      <c r="T571" s="24">
        <f>IF($B571="",0,IF(COUNTIFS($B$5:$B571,$B571,$D$5:$D571,$D571)=1,1,0))</f>
        <v/>
      </c>
      <c r="U571" s="24">
        <f>IF($B571="",0,IF(COUNTIFS($B$5:$B571,$B571,$C$5:$C571,$C571)=1,1,0))</f>
        <v/>
      </c>
      <c r="V571" s="24">
        <f>IF(OR($B571="",$G571="",$G571="لا توجد مشاهدات"),0,1)</f>
        <v/>
      </c>
      <c r="W571" s="24">
        <f>IF(AND($B571&lt;&gt;"",$I571="تم تحرير مخالفة"),1,0)</f>
        <v/>
      </c>
      <c r="X571" s="24">
        <f>IF($B571="","",IF($S571=WkStart,COUNTIF($S$5:$S571,WkStart),""))</f>
        <v/>
      </c>
    </row>
    <row r="572">
      <c r="A572" s="16">
        <f>IF($B572="","",ROW()-4)</f>
        <v/>
      </c>
      <c r="B572" s="17" t="n"/>
      <c r="C572" s="18" t="n"/>
      <c r="D572" s="18" t="n"/>
      <c r="E572" s="19" t="n"/>
      <c r="F572" s="19" t="n"/>
      <c r="G572" s="18" t="n"/>
      <c r="H572" s="18" t="n"/>
      <c r="I572" s="18" t="n"/>
      <c r="J572" s="20" t="n"/>
      <c r="K572" s="21" t="n"/>
      <c r="L572" s="21" t="n"/>
      <c r="M572" s="18" t="n"/>
      <c r="N572" s="22">
        <f>IF($B572="","",CHOOSE(WEEKDAY($B572),"الأحد","الاثنين","الثلاثاء","الأربعاء","الخميس","الجمعة","السبت"))</f>
        <v/>
      </c>
      <c r="O572" s="23">
        <f>IF(OR($K572="",$L572=""),"",HYPERLINK("https://maps.google.com/?q="&amp;$K572&amp;","&amp;$L572,"عرض الموقع"))</f>
        <v/>
      </c>
      <c r="P572" s="23">
        <f>IF(OR($B572="",N($J572)=0),"",HYPERLINK(PhotoDir&amp;"/"&amp;YEAR($B572)&amp;"-"&amp;TEXT(MONTH($B572),"00")&amp;"-"&amp;TEXT(DAY($B572),"00")&amp;"_"&amp;$D572,"فتح الصور ("&amp;$J572&amp;")"))</f>
        <v/>
      </c>
      <c r="Q572" s="24">
        <f>IF($B572="","",MONTH($B572))</f>
        <v/>
      </c>
      <c r="R572" s="24">
        <f>IF($B572="","",YEAR($B572))</f>
        <v/>
      </c>
      <c r="S572" s="25">
        <f>IF($B572="","",$B572-WEEKDAY($B572,3))</f>
        <v/>
      </c>
      <c r="T572" s="24">
        <f>IF($B572="",0,IF(COUNTIFS($B$5:$B572,$B572,$D$5:$D572,$D572)=1,1,0))</f>
        <v/>
      </c>
      <c r="U572" s="24">
        <f>IF($B572="",0,IF(COUNTIFS($B$5:$B572,$B572,$C$5:$C572,$C572)=1,1,0))</f>
        <v/>
      </c>
      <c r="V572" s="24">
        <f>IF(OR($B572="",$G572="",$G572="لا توجد مشاهدات"),0,1)</f>
        <v/>
      </c>
      <c r="W572" s="24">
        <f>IF(AND($B572&lt;&gt;"",$I572="تم تحرير مخالفة"),1,0)</f>
        <v/>
      </c>
      <c r="X572" s="24">
        <f>IF($B572="","",IF($S572=WkStart,COUNTIF($S$5:$S572,WkStart),""))</f>
        <v/>
      </c>
    </row>
    <row r="573">
      <c r="A573" s="16">
        <f>IF($B573="","",ROW()-4)</f>
        <v/>
      </c>
      <c r="B573" s="17" t="n"/>
      <c r="C573" s="18" t="n"/>
      <c r="D573" s="18" t="n"/>
      <c r="E573" s="19" t="n"/>
      <c r="F573" s="19" t="n"/>
      <c r="G573" s="18" t="n"/>
      <c r="H573" s="18" t="n"/>
      <c r="I573" s="18" t="n"/>
      <c r="J573" s="20" t="n"/>
      <c r="K573" s="21" t="n"/>
      <c r="L573" s="21" t="n"/>
      <c r="M573" s="18" t="n"/>
      <c r="N573" s="22">
        <f>IF($B573="","",CHOOSE(WEEKDAY($B573),"الأحد","الاثنين","الثلاثاء","الأربعاء","الخميس","الجمعة","السبت"))</f>
        <v/>
      </c>
      <c r="O573" s="23">
        <f>IF(OR($K573="",$L573=""),"",HYPERLINK("https://maps.google.com/?q="&amp;$K573&amp;","&amp;$L573,"عرض الموقع"))</f>
        <v/>
      </c>
      <c r="P573" s="23">
        <f>IF(OR($B573="",N($J573)=0),"",HYPERLINK(PhotoDir&amp;"/"&amp;YEAR($B573)&amp;"-"&amp;TEXT(MONTH($B573),"00")&amp;"-"&amp;TEXT(DAY($B573),"00")&amp;"_"&amp;$D573,"فتح الصور ("&amp;$J573&amp;")"))</f>
        <v/>
      </c>
      <c r="Q573" s="24">
        <f>IF($B573="","",MONTH($B573))</f>
        <v/>
      </c>
      <c r="R573" s="24">
        <f>IF($B573="","",YEAR($B573))</f>
        <v/>
      </c>
      <c r="S573" s="25">
        <f>IF($B573="","",$B573-WEEKDAY($B573,3))</f>
        <v/>
      </c>
      <c r="T573" s="24">
        <f>IF($B573="",0,IF(COUNTIFS($B$5:$B573,$B573,$D$5:$D573,$D573)=1,1,0))</f>
        <v/>
      </c>
      <c r="U573" s="24">
        <f>IF($B573="",0,IF(COUNTIFS($B$5:$B573,$B573,$C$5:$C573,$C573)=1,1,0))</f>
        <v/>
      </c>
      <c r="V573" s="24">
        <f>IF(OR($B573="",$G573="",$G573="لا توجد مشاهدات"),0,1)</f>
        <v/>
      </c>
      <c r="W573" s="24">
        <f>IF(AND($B573&lt;&gt;"",$I573="تم تحرير مخالفة"),1,0)</f>
        <v/>
      </c>
      <c r="X573" s="24">
        <f>IF($B573="","",IF($S573=WkStart,COUNTIF($S$5:$S573,WkStart),""))</f>
        <v/>
      </c>
    </row>
    <row r="574">
      <c r="A574" s="16">
        <f>IF($B574="","",ROW()-4)</f>
        <v/>
      </c>
      <c r="B574" s="17" t="n"/>
      <c r="C574" s="18" t="n"/>
      <c r="D574" s="18" t="n"/>
      <c r="E574" s="19" t="n"/>
      <c r="F574" s="19" t="n"/>
      <c r="G574" s="18" t="n"/>
      <c r="H574" s="18" t="n"/>
      <c r="I574" s="18" t="n"/>
      <c r="J574" s="20" t="n"/>
      <c r="K574" s="21" t="n"/>
      <c r="L574" s="21" t="n"/>
      <c r="M574" s="18" t="n"/>
      <c r="N574" s="22">
        <f>IF($B574="","",CHOOSE(WEEKDAY($B574),"الأحد","الاثنين","الثلاثاء","الأربعاء","الخميس","الجمعة","السبت"))</f>
        <v/>
      </c>
      <c r="O574" s="23">
        <f>IF(OR($K574="",$L574=""),"",HYPERLINK("https://maps.google.com/?q="&amp;$K574&amp;","&amp;$L574,"عرض الموقع"))</f>
        <v/>
      </c>
      <c r="P574" s="23">
        <f>IF(OR($B574="",N($J574)=0),"",HYPERLINK(PhotoDir&amp;"/"&amp;YEAR($B574)&amp;"-"&amp;TEXT(MONTH($B574),"00")&amp;"-"&amp;TEXT(DAY($B574),"00")&amp;"_"&amp;$D574,"فتح الصور ("&amp;$J574&amp;")"))</f>
        <v/>
      </c>
      <c r="Q574" s="24">
        <f>IF($B574="","",MONTH($B574))</f>
        <v/>
      </c>
      <c r="R574" s="24">
        <f>IF($B574="","",YEAR($B574))</f>
        <v/>
      </c>
      <c r="S574" s="25">
        <f>IF($B574="","",$B574-WEEKDAY($B574,3))</f>
        <v/>
      </c>
      <c r="T574" s="24">
        <f>IF($B574="",0,IF(COUNTIFS($B$5:$B574,$B574,$D$5:$D574,$D574)=1,1,0))</f>
        <v/>
      </c>
      <c r="U574" s="24">
        <f>IF($B574="",0,IF(COUNTIFS($B$5:$B574,$B574,$C$5:$C574,$C574)=1,1,0))</f>
        <v/>
      </c>
      <c r="V574" s="24">
        <f>IF(OR($B574="",$G574="",$G574="لا توجد مشاهدات"),0,1)</f>
        <v/>
      </c>
      <c r="W574" s="24">
        <f>IF(AND($B574&lt;&gt;"",$I574="تم تحرير مخالفة"),1,0)</f>
        <v/>
      </c>
      <c r="X574" s="24">
        <f>IF($B574="","",IF($S574=WkStart,COUNTIF($S$5:$S574,WkStart),""))</f>
        <v/>
      </c>
    </row>
    <row r="575">
      <c r="A575" s="16">
        <f>IF($B575="","",ROW()-4)</f>
        <v/>
      </c>
      <c r="B575" s="17" t="n"/>
      <c r="C575" s="18" t="n"/>
      <c r="D575" s="18" t="n"/>
      <c r="E575" s="19" t="n"/>
      <c r="F575" s="19" t="n"/>
      <c r="G575" s="18" t="n"/>
      <c r="H575" s="18" t="n"/>
      <c r="I575" s="18" t="n"/>
      <c r="J575" s="20" t="n"/>
      <c r="K575" s="21" t="n"/>
      <c r="L575" s="21" t="n"/>
      <c r="M575" s="18" t="n"/>
      <c r="N575" s="22">
        <f>IF($B575="","",CHOOSE(WEEKDAY($B575),"الأحد","الاثنين","الثلاثاء","الأربعاء","الخميس","الجمعة","السبت"))</f>
        <v/>
      </c>
      <c r="O575" s="23">
        <f>IF(OR($K575="",$L575=""),"",HYPERLINK("https://maps.google.com/?q="&amp;$K575&amp;","&amp;$L575,"عرض الموقع"))</f>
        <v/>
      </c>
      <c r="P575" s="23">
        <f>IF(OR($B575="",N($J575)=0),"",HYPERLINK(PhotoDir&amp;"/"&amp;YEAR($B575)&amp;"-"&amp;TEXT(MONTH($B575),"00")&amp;"-"&amp;TEXT(DAY($B575),"00")&amp;"_"&amp;$D575,"فتح الصور ("&amp;$J575&amp;")"))</f>
        <v/>
      </c>
      <c r="Q575" s="24">
        <f>IF($B575="","",MONTH($B575))</f>
        <v/>
      </c>
      <c r="R575" s="24">
        <f>IF($B575="","",YEAR($B575))</f>
        <v/>
      </c>
      <c r="S575" s="25">
        <f>IF($B575="","",$B575-WEEKDAY($B575,3))</f>
        <v/>
      </c>
      <c r="T575" s="24">
        <f>IF($B575="",0,IF(COUNTIFS($B$5:$B575,$B575,$D$5:$D575,$D575)=1,1,0))</f>
        <v/>
      </c>
      <c r="U575" s="24">
        <f>IF($B575="",0,IF(COUNTIFS($B$5:$B575,$B575,$C$5:$C575,$C575)=1,1,0))</f>
        <v/>
      </c>
      <c r="V575" s="24">
        <f>IF(OR($B575="",$G575="",$G575="لا توجد مشاهدات"),0,1)</f>
        <v/>
      </c>
      <c r="W575" s="24">
        <f>IF(AND($B575&lt;&gt;"",$I575="تم تحرير مخالفة"),1,0)</f>
        <v/>
      </c>
      <c r="X575" s="24">
        <f>IF($B575="","",IF($S575=WkStart,COUNTIF($S$5:$S575,WkStart),""))</f>
        <v/>
      </c>
    </row>
    <row r="576">
      <c r="A576" s="16">
        <f>IF($B576="","",ROW()-4)</f>
        <v/>
      </c>
      <c r="B576" s="17" t="n"/>
      <c r="C576" s="18" t="n"/>
      <c r="D576" s="18" t="n"/>
      <c r="E576" s="19" t="n"/>
      <c r="F576" s="19" t="n"/>
      <c r="G576" s="18" t="n"/>
      <c r="H576" s="18" t="n"/>
      <c r="I576" s="18" t="n"/>
      <c r="J576" s="20" t="n"/>
      <c r="K576" s="21" t="n"/>
      <c r="L576" s="21" t="n"/>
      <c r="M576" s="18" t="n"/>
      <c r="N576" s="22">
        <f>IF($B576="","",CHOOSE(WEEKDAY($B576),"الأحد","الاثنين","الثلاثاء","الأربعاء","الخميس","الجمعة","السبت"))</f>
        <v/>
      </c>
      <c r="O576" s="23">
        <f>IF(OR($K576="",$L576=""),"",HYPERLINK("https://maps.google.com/?q="&amp;$K576&amp;","&amp;$L576,"عرض الموقع"))</f>
        <v/>
      </c>
      <c r="P576" s="23">
        <f>IF(OR($B576="",N($J576)=0),"",HYPERLINK(PhotoDir&amp;"/"&amp;YEAR($B576)&amp;"-"&amp;TEXT(MONTH($B576),"00")&amp;"-"&amp;TEXT(DAY($B576),"00")&amp;"_"&amp;$D576,"فتح الصور ("&amp;$J576&amp;")"))</f>
        <v/>
      </c>
      <c r="Q576" s="24">
        <f>IF($B576="","",MONTH($B576))</f>
        <v/>
      </c>
      <c r="R576" s="24">
        <f>IF($B576="","",YEAR($B576))</f>
        <v/>
      </c>
      <c r="S576" s="25">
        <f>IF($B576="","",$B576-WEEKDAY($B576,3))</f>
        <v/>
      </c>
      <c r="T576" s="24">
        <f>IF($B576="",0,IF(COUNTIFS($B$5:$B576,$B576,$D$5:$D576,$D576)=1,1,0))</f>
        <v/>
      </c>
      <c r="U576" s="24">
        <f>IF($B576="",0,IF(COUNTIFS($B$5:$B576,$B576,$C$5:$C576,$C576)=1,1,0))</f>
        <v/>
      </c>
      <c r="V576" s="24">
        <f>IF(OR($B576="",$G576="",$G576="لا توجد مشاهدات"),0,1)</f>
        <v/>
      </c>
      <c r="W576" s="24">
        <f>IF(AND($B576&lt;&gt;"",$I576="تم تحرير مخالفة"),1,0)</f>
        <v/>
      </c>
      <c r="X576" s="24">
        <f>IF($B576="","",IF($S576=WkStart,COUNTIF($S$5:$S576,WkStart),""))</f>
        <v/>
      </c>
    </row>
    <row r="577">
      <c r="A577" s="16">
        <f>IF($B577="","",ROW()-4)</f>
        <v/>
      </c>
      <c r="B577" s="17" t="n"/>
      <c r="C577" s="18" t="n"/>
      <c r="D577" s="18" t="n"/>
      <c r="E577" s="19" t="n"/>
      <c r="F577" s="19" t="n"/>
      <c r="G577" s="18" t="n"/>
      <c r="H577" s="18" t="n"/>
      <c r="I577" s="18" t="n"/>
      <c r="J577" s="20" t="n"/>
      <c r="K577" s="21" t="n"/>
      <c r="L577" s="21" t="n"/>
      <c r="M577" s="18" t="n"/>
      <c r="N577" s="22">
        <f>IF($B577="","",CHOOSE(WEEKDAY($B577),"الأحد","الاثنين","الثلاثاء","الأربعاء","الخميس","الجمعة","السبت"))</f>
        <v/>
      </c>
      <c r="O577" s="23">
        <f>IF(OR($K577="",$L577=""),"",HYPERLINK("https://maps.google.com/?q="&amp;$K577&amp;","&amp;$L577,"عرض الموقع"))</f>
        <v/>
      </c>
      <c r="P577" s="23">
        <f>IF(OR($B577="",N($J577)=0),"",HYPERLINK(PhotoDir&amp;"/"&amp;YEAR($B577)&amp;"-"&amp;TEXT(MONTH($B577),"00")&amp;"-"&amp;TEXT(DAY($B577),"00")&amp;"_"&amp;$D577,"فتح الصور ("&amp;$J577&amp;")"))</f>
        <v/>
      </c>
      <c r="Q577" s="24">
        <f>IF($B577="","",MONTH($B577))</f>
        <v/>
      </c>
      <c r="R577" s="24">
        <f>IF($B577="","",YEAR($B577))</f>
        <v/>
      </c>
      <c r="S577" s="25">
        <f>IF($B577="","",$B577-WEEKDAY($B577,3))</f>
        <v/>
      </c>
      <c r="T577" s="24">
        <f>IF($B577="",0,IF(COUNTIFS($B$5:$B577,$B577,$D$5:$D577,$D577)=1,1,0))</f>
        <v/>
      </c>
      <c r="U577" s="24">
        <f>IF($B577="",0,IF(COUNTIFS($B$5:$B577,$B577,$C$5:$C577,$C577)=1,1,0))</f>
        <v/>
      </c>
      <c r="V577" s="24">
        <f>IF(OR($B577="",$G577="",$G577="لا توجد مشاهدات"),0,1)</f>
        <v/>
      </c>
      <c r="W577" s="24">
        <f>IF(AND($B577&lt;&gt;"",$I577="تم تحرير مخالفة"),1,0)</f>
        <v/>
      </c>
      <c r="X577" s="24">
        <f>IF($B577="","",IF($S577=WkStart,COUNTIF($S$5:$S577,WkStart),""))</f>
        <v/>
      </c>
    </row>
    <row r="578">
      <c r="A578" s="16">
        <f>IF($B578="","",ROW()-4)</f>
        <v/>
      </c>
      <c r="B578" s="17" t="n"/>
      <c r="C578" s="18" t="n"/>
      <c r="D578" s="18" t="n"/>
      <c r="E578" s="19" t="n"/>
      <c r="F578" s="19" t="n"/>
      <c r="G578" s="18" t="n"/>
      <c r="H578" s="18" t="n"/>
      <c r="I578" s="18" t="n"/>
      <c r="J578" s="20" t="n"/>
      <c r="K578" s="21" t="n"/>
      <c r="L578" s="21" t="n"/>
      <c r="M578" s="18" t="n"/>
      <c r="N578" s="22">
        <f>IF($B578="","",CHOOSE(WEEKDAY($B578),"الأحد","الاثنين","الثلاثاء","الأربعاء","الخميس","الجمعة","السبت"))</f>
        <v/>
      </c>
      <c r="O578" s="23">
        <f>IF(OR($K578="",$L578=""),"",HYPERLINK("https://maps.google.com/?q="&amp;$K578&amp;","&amp;$L578,"عرض الموقع"))</f>
        <v/>
      </c>
      <c r="P578" s="23">
        <f>IF(OR($B578="",N($J578)=0),"",HYPERLINK(PhotoDir&amp;"/"&amp;YEAR($B578)&amp;"-"&amp;TEXT(MONTH($B578),"00")&amp;"-"&amp;TEXT(DAY($B578),"00")&amp;"_"&amp;$D578,"فتح الصور ("&amp;$J578&amp;")"))</f>
        <v/>
      </c>
      <c r="Q578" s="24">
        <f>IF($B578="","",MONTH($B578))</f>
        <v/>
      </c>
      <c r="R578" s="24">
        <f>IF($B578="","",YEAR($B578))</f>
        <v/>
      </c>
      <c r="S578" s="25">
        <f>IF($B578="","",$B578-WEEKDAY($B578,3))</f>
        <v/>
      </c>
      <c r="T578" s="24">
        <f>IF($B578="",0,IF(COUNTIFS($B$5:$B578,$B578,$D$5:$D578,$D578)=1,1,0))</f>
        <v/>
      </c>
      <c r="U578" s="24">
        <f>IF($B578="",0,IF(COUNTIFS($B$5:$B578,$B578,$C$5:$C578,$C578)=1,1,0))</f>
        <v/>
      </c>
      <c r="V578" s="24">
        <f>IF(OR($B578="",$G578="",$G578="لا توجد مشاهدات"),0,1)</f>
        <v/>
      </c>
      <c r="W578" s="24">
        <f>IF(AND($B578&lt;&gt;"",$I578="تم تحرير مخالفة"),1,0)</f>
        <v/>
      </c>
      <c r="X578" s="24">
        <f>IF($B578="","",IF($S578=WkStart,COUNTIF($S$5:$S578,WkStart),""))</f>
        <v/>
      </c>
    </row>
    <row r="579">
      <c r="A579" s="16">
        <f>IF($B579="","",ROW()-4)</f>
        <v/>
      </c>
      <c r="B579" s="17" t="n"/>
      <c r="C579" s="18" t="n"/>
      <c r="D579" s="18" t="n"/>
      <c r="E579" s="19" t="n"/>
      <c r="F579" s="19" t="n"/>
      <c r="G579" s="18" t="n"/>
      <c r="H579" s="18" t="n"/>
      <c r="I579" s="18" t="n"/>
      <c r="J579" s="20" t="n"/>
      <c r="K579" s="21" t="n"/>
      <c r="L579" s="21" t="n"/>
      <c r="M579" s="18" t="n"/>
      <c r="N579" s="22">
        <f>IF($B579="","",CHOOSE(WEEKDAY($B579),"الأحد","الاثنين","الثلاثاء","الأربعاء","الخميس","الجمعة","السبت"))</f>
        <v/>
      </c>
      <c r="O579" s="23">
        <f>IF(OR($K579="",$L579=""),"",HYPERLINK("https://maps.google.com/?q="&amp;$K579&amp;","&amp;$L579,"عرض الموقع"))</f>
        <v/>
      </c>
      <c r="P579" s="23">
        <f>IF(OR($B579="",N($J579)=0),"",HYPERLINK(PhotoDir&amp;"/"&amp;YEAR($B579)&amp;"-"&amp;TEXT(MONTH($B579),"00")&amp;"-"&amp;TEXT(DAY($B579),"00")&amp;"_"&amp;$D579,"فتح الصور ("&amp;$J579&amp;")"))</f>
        <v/>
      </c>
      <c r="Q579" s="24">
        <f>IF($B579="","",MONTH($B579))</f>
        <v/>
      </c>
      <c r="R579" s="24">
        <f>IF($B579="","",YEAR($B579))</f>
        <v/>
      </c>
      <c r="S579" s="25">
        <f>IF($B579="","",$B579-WEEKDAY($B579,3))</f>
        <v/>
      </c>
      <c r="T579" s="24">
        <f>IF($B579="",0,IF(COUNTIFS($B$5:$B579,$B579,$D$5:$D579,$D579)=1,1,0))</f>
        <v/>
      </c>
      <c r="U579" s="24">
        <f>IF($B579="",0,IF(COUNTIFS($B$5:$B579,$B579,$C$5:$C579,$C579)=1,1,0))</f>
        <v/>
      </c>
      <c r="V579" s="24">
        <f>IF(OR($B579="",$G579="",$G579="لا توجد مشاهدات"),0,1)</f>
        <v/>
      </c>
      <c r="W579" s="24">
        <f>IF(AND($B579&lt;&gt;"",$I579="تم تحرير مخالفة"),1,0)</f>
        <v/>
      </c>
      <c r="X579" s="24">
        <f>IF($B579="","",IF($S579=WkStart,COUNTIF($S$5:$S579,WkStart),""))</f>
        <v/>
      </c>
    </row>
    <row r="580">
      <c r="A580" s="16">
        <f>IF($B580="","",ROW()-4)</f>
        <v/>
      </c>
      <c r="B580" s="17" t="n"/>
      <c r="C580" s="18" t="n"/>
      <c r="D580" s="18" t="n"/>
      <c r="E580" s="19" t="n"/>
      <c r="F580" s="19" t="n"/>
      <c r="G580" s="18" t="n"/>
      <c r="H580" s="18" t="n"/>
      <c r="I580" s="18" t="n"/>
      <c r="J580" s="20" t="n"/>
      <c r="K580" s="21" t="n"/>
      <c r="L580" s="21" t="n"/>
      <c r="M580" s="18" t="n"/>
      <c r="N580" s="22">
        <f>IF($B580="","",CHOOSE(WEEKDAY($B580),"الأحد","الاثنين","الثلاثاء","الأربعاء","الخميس","الجمعة","السبت"))</f>
        <v/>
      </c>
      <c r="O580" s="23">
        <f>IF(OR($K580="",$L580=""),"",HYPERLINK("https://maps.google.com/?q="&amp;$K580&amp;","&amp;$L580,"عرض الموقع"))</f>
        <v/>
      </c>
      <c r="P580" s="23">
        <f>IF(OR($B580="",N($J580)=0),"",HYPERLINK(PhotoDir&amp;"/"&amp;YEAR($B580)&amp;"-"&amp;TEXT(MONTH($B580),"00")&amp;"-"&amp;TEXT(DAY($B580),"00")&amp;"_"&amp;$D580,"فتح الصور ("&amp;$J580&amp;")"))</f>
        <v/>
      </c>
      <c r="Q580" s="24">
        <f>IF($B580="","",MONTH($B580))</f>
        <v/>
      </c>
      <c r="R580" s="24">
        <f>IF($B580="","",YEAR($B580))</f>
        <v/>
      </c>
      <c r="S580" s="25">
        <f>IF($B580="","",$B580-WEEKDAY($B580,3))</f>
        <v/>
      </c>
      <c r="T580" s="24">
        <f>IF($B580="",0,IF(COUNTIFS($B$5:$B580,$B580,$D$5:$D580,$D580)=1,1,0))</f>
        <v/>
      </c>
      <c r="U580" s="24">
        <f>IF($B580="",0,IF(COUNTIFS($B$5:$B580,$B580,$C$5:$C580,$C580)=1,1,0))</f>
        <v/>
      </c>
      <c r="V580" s="24">
        <f>IF(OR($B580="",$G580="",$G580="لا توجد مشاهدات"),0,1)</f>
        <v/>
      </c>
      <c r="W580" s="24">
        <f>IF(AND($B580&lt;&gt;"",$I580="تم تحرير مخالفة"),1,0)</f>
        <v/>
      </c>
      <c r="X580" s="24">
        <f>IF($B580="","",IF($S580=WkStart,COUNTIF($S$5:$S580,WkStart),""))</f>
        <v/>
      </c>
    </row>
    <row r="581">
      <c r="A581" s="16">
        <f>IF($B581="","",ROW()-4)</f>
        <v/>
      </c>
      <c r="B581" s="17" t="n"/>
      <c r="C581" s="18" t="n"/>
      <c r="D581" s="18" t="n"/>
      <c r="E581" s="19" t="n"/>
      <c r="F581" s="19" t="n"/>
      <c r="G581" s="18" t="n"/>
      <c r="H581" s="18" t="n"/>
      <c r="I581" s="18" t="n"/>
      <c r="J581" s="20" t="n"/>
      <c r="K581" s="21" t="n"/>
      <c r="L581" s="21" t="n"/>
      <c r="M581" s="18" t="n"/>
      <c r="N581" s="22">
        <f>IF($B581="","",CHOOSE(WEEKDAY($B581),"الأحد","الاثنين","الثلاثاء","الأربعاء","الخميس","الجمعة","السبت"))</f>
        <v/>
      </c>
      <c r="O581" s="23">
        <f>IF(OR($K581="",$L581=""),"",HYPERLINK("https://maps.google.com/?q="&amp;$K581&amp;","&amp;$L581,"عرض الموقع"))</f>
        <v/>
      </c>
      <c r="P581" s="23">
        <f>IF(OR($B581="",N($J581)=0),"",HYPERLINK(PhotoDir&amp;"/"&amp;YEAR($B581)&amp;"-"&amp;TEXT(MONTH($B581),"00")&amp;"-"&amp;TEXT(DAY($B581),"00")&amp;"_"&amp;$D581,"فتح الصور ("&amp;$J581&amp;")"))</f>
        <v/>
      </c>
      <c r="Q581" s="24">
        <f>IF($B581="","",MONTH($B581))</f>
        <v/>
      </c>
      <c r="R581" s="24">
        <f>IF($B581="","",YEAR($B581))</f>
        <v/>
      </c>
      <c r="S581" s="25">
        <f>IF($B581="","",$B581-WEEKDAY($B581,3))</f>
        <v/>
      </c>
      <c r="T581" s="24">
        <f>IF($B581="",0,IF(COUNTIFS($B$5:$B581,$B581,$D$5:$D581,$D581)=1,1,0))</f>
        <v/>
      </c>
      <c r="U581" s="24">
        <f>IF($B581="",0,IF(COUNTIFS($B$5:$B581,$B581,$C$5:$C581,$C581)=1,1,0))</f>
        <v/>
      </c>
      <c r="V581" s="24">
        <f>IF(OR($B581="",$G581="",$G581="لا توجد مشاهدات"),0,1)</f>
        <v/>
      </c>
      <c r="W581" s="24">
        <f>IF(AND($B581&lt;&gt;"",$I581="تم تحرير مخالفة"),1,0)</f>
        <v/>
      </c>
      <c r="X581" s="24">
        <f>IF($B581="","",IF($S581=WkStart,COUNTIF($S$5:$S581,WkStart),""))</f>
        <v/>
      </c>
    </row>
    <row r="582">
      <c r="A582" s="16">
        <f>IF($B582="","",ROW()-4)</f>
        <v/>
      </c>
      <c r="B582" s="17" t="n"/>
      <c r="C582" s="18" t="n"/>
      <c r="D582" s="18" t="n"/>
      <c r="E582" s="19" t="n"/>
      <c r="F582" s="19" t="n"/>
      <c r="G582" s="18" t="n"/>
      <c r="H582" s="18" t="n"/>
      <c r="I582" s="18" t="n"/>
      <c r="J582" s="20" t="n"/>
      <c r="K582" s="21" t="n"/>
      <c r="L582" s="21" t="n"/>
      <c r="M582" s="18" t="n"/>
      <c r="N582" s="22">
        <f>IF($B582="","",CHOOSE(WEEKDAY($B582),"الأحد","الاثنين","الثلاثاء","الأربعاء","الخميس","الجمعة","السبت"))</f>
        <v/>
      </c>
      <c r="O582" s="23">
        <f>IF(OR($K582="",$L582=""),"",HYPERLINK("https://maps.google.com/?q="&amp;$K582&amp;","&amp;$L582,"عرض الموقع"))</f>
        <v/>
      </c>
      <c r="P582" s="23">
        <f>IF(OR($B582="",N($J582)=0),"",HYPERLINK(PhotoDir&amp;"/"&amp;YEAR($B582)&amp;"-"&amp;TEXT(MONTH($B582),"00")&amp;"-"&amp;TEXT(DAY($B582),"00")&amp;"_"&amp;$D582,"فتح الصور ("&amp;$J582&amp;")"))</f>
        <v/>
      </c>
      <c r="Q582" s="24">
        <f>IF($B582="","",MONTH($B582))</f>
        <v/>
      </c>
      <c r="R582" s="24">
        <f>IF($B582="","",YEAR($B582))</f>
        <v/>
      </c>
      <c r="S582" s="25">
        <f>IF($B582="","",$B582-WEEKDAY($B582,3))</f>
        <v/>
      </c>
      <c r="T582" s="24">
        <f>IF($B582="",0,IF(COUNTIFS($B$5:$B582,$B582,$D$5:$D582,$D582)=1,1,0))</f>
        <v/>
      </c>
      <c r="U582" s="24">
        <f>IF($B582="",0,IF(COUNTIFS($B$5:$B582,$B582,$C$5:$C582,$C582)=1,1,0))</f>
        <v/>
      </c>
      <c r="V582" s="24">
        <f>IF(OR($B582="",$G582="",$G582="لا توجد مشاهدات"),0,1)</f>
        <v/>
      </c>
      <c r="W582" s="24">
        <f>IF(AND($B582&lt;&gt;"",$I582="تم تحرير مخالفة"),1,0)</f>
        <v/>
      </c>
      <c r="X582" s="24">
        <f>IF($B582="","",IF($S582=WkStart,COUNTIF($S$5:$S582,WkStart),""))</f>
        <v/>
      </c>
    </row>
    <row r="583">
      <c r="A583" s="16">
        <f>IF($B583="","",ROW()-4)</f>
        <v/>
      </c>
      <c r="B583" s="17" t="n"/>
      <c r="C583" s="18" t="n"/>
      <c r="D583" s="18" t="n"/>
      <c r="E583" s="19" t="n"/>
      <c r="F583" s="19" t="n"/>
      <c r="G583" s="18" t="n"/>
      <c r="H583" s="18" t="n"/>
      <c r="I583" s="18" t="n"/>
      <c r="J583" s="20" t="n"/>
      <c r="K583" s="21" t="n"/>
      <c r="L583" s="21" t="n"/>
      <c r="M583" s="18" t="n"/>
      <c r="N583" s="22">
        <f>IF($B583="","",CHOOSE(WEEKDAY($B583),"الأحد","الاثنين","الثلاثاء","الأربعاء","الخميس","الجمعة","السبت"))</f>
        <v/>
      </c>
      <c r="O583" s="23">
        <f>IF(OR($K583="",$L583=""),"",HYPERLINK("https://maps.google.com/?q="&amp;$K583&amp;","&amp;$L583,"عرض الموقع"))</f>
        <v/>
      </c>
      <c r="P583" s="23">
        <f>IF(OR($B583="",N($J583)=0),"",HYPERLINK(PhotoDir&amp;"/"&amp;YEAR($B583)&amp;"-"&amp;TEXT(MONTH($B583),"00")&amp;"-"&amp;TEXT(DAY($B583),"00")&amp;"_"&amp;$D583,"فتح الصور ("&amp;$J583&amp;")"))</f>
        <v/>
      </c>
      <c r="Q583" s="24">
        <f>IF($B583="","",MONTH($B583))</f>
        <v/>
      </c>
      <c r="R583" s="24">
        <f>IF($B583="","",YEAR($B583))</f>
        <v/>
      </c>
      <c r="S583" s="25">
        <f>IF($B583="","",$B583-WEEKDAY($B583,3))</f>
        <v/>
      </c>
      <c r="T583" s="24">
        <f>IF($B583="",0,IF(COUNTIFS($B$5:$B583,$B583,$D$5:$D583,$D583)=1,1,0))</f>
        <v/>
      </c>
      <c r="U583" s="24">
        <f>IF($B583="",0,IF(COUNTIFS($B$5:$B583,$B583,$C$5:$C583,$C583)=1,1,0))</f>
        <v/>
      </c>
      <c r="V583" s="24">
        <f>IF(OR($B583="",$G583="",$G583="لا توجد مشاهدات"),0,1)</f>
        <v/>
      </c>
      <c r="W583" s="24">
        <f>IF(AND($B583&lt;&gt;"",$I583="تم تحرير مخالفة"),1,0)</f>
        <v/>
      </c>
      <c r="X583" s="24">
        <f>IF($B583="","",IF($S583=WkStart,COUNTIF($S$5:$S583,WkStart),""))</f>
        <v/>
      </c>
    </row>
    <row r="584">
      <c r="A584" s="16">
        <f>IF($B584="","",ROW()-4)</f>
        <v/>
      </c>
      <c r="B584" s="17" t="n"/>
      <c r="C584" s="18" t="n"/>
      <c r="D584" s="18" t="n"/>
      <c r="E584" s="19" t="n"/>
      <c r="F584" s="19" t="n"/>
      <c r="G584" s="18" t="n"/>
      <c r="H584" s="18" t="n"/>
      <c r="I584" s="18" t="n"/>
      <c r="J584" s="20" t="n"/>
      <c r="K584" s="21" t="n"/>
      <c r="L584" s="21" t="n"/>
      <c r="M584" s="18" t="n"/>
      <c r="N584" s="22">
        <f>IF($B584="","",CHOOSE(WEEKDAY($B584),"الأحد","الاثنين","الثلاثاء","الأربعاء","الخميس","الجمعة","السبت"))</f>
        <v/>
      </c>
      <c r="O584" s="23">
        <f>IF(OR($K584="",$L584=""),"",HYPERLINK("https://maps.google.com/?q="&amp;$K584&amp;","&amp;$L584,"عرض الموقع"))</f>
        <v/>
      </c>
      <c r="P584" s="23">
        <f>IF(OR($B584="",N($J584)=0),"",HYPERLINK(PhotoDir&amp;"/"&amp;YEAR($B584)&amp;"-"&amp;TEXT(MONTH($B584),"00")&amp;"-"&amp;TEXT(DAY($B584),"00")&amp;"_"&amp;$D584,"فتح الصور ("&amp;$J584&amp;")"))</f>
        <v/>
      </c>
      <c r="Q584" s="24">
        <f>IF($B584="","",MONTH($B584))</f>
        <v/>
      </c>
      <c r="R584" s="24">
        <f>IF($B584="","",YEAR($B584))</f>
        <v/>
      </c>
      <c r="S584" s="25">
        <f>IF($B584="","",$B584-WEEKDAY($B584,3))</f>
        <v/>
      </c>
      <c r="T584" s="24">
        <f>IF($B584="",0,IF(COUNTIFS($B$5:$B584,$B584,$D$5:$D584,$D584)=1,1,0))</f>
        <v/>
      </c>
      <c r="U584" s="24">
        <f>IF($B584="",0,IF(COUNTIFS($B$5:$B584,$B584,$C$5:$C584,$C584)=1,1,0))</f>
        <v/>
      </c>
      <c r="V584" s="24">
        <f>IF(OR($B584="",$G584="",$G584="لا توجد مشاهدات"),0,1)</f>
        <v/>
      </c>
      <c r="W584" s="24">
        <f>IF(AND($B584&lt;&gt;"",$I584="تم تحرير مخالفة"),1,0)</f>
        <v/>
      </c>
      <c r="X584" s="24">
        <f>IF($B584="","",IF($S584=WkStart,COUNTIF($S$5:$S584,WkStart),""))</f>
        <v/>
      </c>
    </row>
    <row r="585">
      <c r="A585" s="16">
        <f>IF($B585="","",ROW()-4)</f>
        <v/>
      </c>
      <c r="B585" s="17" t="n"/>
      <c r="C585" s="18" t="n"/>
      <c r="D585" s="18" t="n"/>
      <c r="E585" s="19" t="n"/>
      <c r="F585" s="19" t="n"/>
      <c r="G585" s="18" t="n"/>
      <c r="H585" s="18" t="n"/>
      <c r="I585" s="18" t="n"/>
      <c r="J585" s="20" t="n"/>
      <c r="K585" s="21" t="n"/>
      <c r="L585" s="21" t="n"/>
      <c r="M585" s="18" t="n"/>
      <c r="N585" s="22">
        <f>IF($B585="","",CHOOSE(WEEKDAY($B585),"الأحد","الاثنين","الثلاثاء","الأربعاء","الخميس","الجمعة","السبت"))</f>
        <v/>
      </c>
      <c r="O585" s="23">
        <f>IF(OR($K585="",$L585=""),"",HYPERLINK("https://maps.google.com/?q="&amp;$K585&amp;","&amp;$L585,"عرض الموقع"))</f>
        <v/>
      </c>
      <c r="P585" s="23">
        <f>IF(OR($B585="",N($J585)=0),"",HYPERLINK(PhotoDir&amp;"/"&amp;YEAR($B585)&amp;"-"&amp;TEXT(MONTH($B585),"00")&amp;"-"&amp;TEXT(DAY($B585),"00")&amp;"_"&amp;$D585,"فتح الصور ("&amp;$J585&amp;")"))</f>
        <v/>
      </c>
      <c r="Q585" s="24">
        <f>IF($B585="","",MONTH($B585))</f>
        <v/>
      </c>
      <c r="R585" s="24">
        <f>IF($B585="","",YEAR($B585))</f>
        <v/>
      </c>
      <c r="S585" s="25">
        <f>IF($B585="","",$B585-WEEKDAY($B585,3))</f>
        <v/>
      </c>
      <c r="T585" s="24">
        <f>IF($B585="",0,IF(COUNTIFS($B$5:$B585,$B585,$D$5:$D585,$D585)=1,1,0))</f>
        <v/>
      </c>
      <c r="U585" s="24">
        <f>IF($B585="",0,IF(COUNTIFS($B$5:$B585,$B585,$C$5:$C585,$C585)=1,1,0))</f>
        <v/>
      </c>
      <c r="V585" s="24">
        <f>IF(OR($B585="",$G585="",$G585="لا توجد مشاهدات"),0,1)</f>
        <v/>
      </c>
      <c r="W585" s="24">
        <f>IF(AND($B585&lt;&gt;"",$I585="تم تحرير مخالفة"),1,0)</f>
        <v/>
      </c>
      <c r="X585" s="24">
        <f>IF($B585="","",IF($S585=WkStart,COUNTIF($S$5:$S585,WkStart),""))</f>
        <v/>
      </c>
    </row>
    <row r="586">
      <c r="A586" s="16">
        <f>IF($B586="","",ROW()-4)</f>
        <v/>
      </c>
      <c r="B586" s="17" t="n"/>
      <c r="C586" s="18" t="n"/>
      <c r="D586" s="18" t="n"/>
      <c r="E586" s="19" t="n"/>
      <c r="F586" s="19" t="n"/>
      <c r="G586" s="18" t="n"/>
      <c r="H586" s="18" t="n"/>
      <c r="I586" s="18" t="n"/>
      <c r="J586" s="20" t="n"/>
      <c r="K586" s="21" t="n"/>
      <c r="L586" s="21" t="n"/>
      <c r="M586" s="18" t="n"/>
      <c r="N586" s="22">
        <f>IF($B586="","",CHOOSE(WEEKDAY($B586),"الأحد","الاثنين","الثلاثاء","الأربعاء","الخميس","الجمعة","السبت"))</f>
        <v/>
      </c>
      <c r="O586" s="23">
        <f>IF(OR($K586="",$L586=""),"",HYPERLINK("https://maps.google.com/?q="&amp;$K586&amp;","&amp;$L586,"عرض الموقع"))</f>
        <v/>
      </c>
      <c r="P586" s="23">
        <f>IF(OR($B586="",N($J586)=0),"",HYPERLINK(PhotoDir&amp;"/"&amp;YEAR($B586)&amp;"-"&amp;TEXT(MONTH($B586),"00")&amp;"-"&amp;TEXT(DAY($B586),"00")&amp;"_"&amp;$D586,"فتح الصور ("&amp;$J586&amp;")"))</f>
        <v/>
      </c>
      <c r="Q586" s="24">
        <f>IF($B586="","",MONTH($B586))</f>
        <v/>
      </c>
      <c r="R586" s="24">
        <f>IF($B586="","",YEAR($B586))</f>
        <v/>
      </c>
      <c r="S586" s="25">
        <f>IF($B586="","",$B586-WEEKDAY($B586,3))</f>
        <v/>
      </c>
      <c r="T586" s="24">
        <f>IF($B586="",0,IF(COUNTIFS($B$5:$B586,$B586,$D$5:$D586,$D586)=1,1,0))</f>
        <v/>
      </c>
      <c r="U586" s="24">
        <f>IF($B586="",0,IF(COUNTIFS($B$5:$B586,$B586,$C$5:$C586,$C586)=1,1,0))</f>
        <v/>
      </c>
      <c r="V586" s="24">
        <f>IF(OR($B586="",$G586="",$G586="لا توجد مشاهدات"),0,1)</f>
        <v/>
      </c>
      <c r="W586" s="24">
        <f>IF(AND($B586&lt;&gt;"",$I586="تم تحرير مخالفة"),1,0)</f>
        <v/>
      </c>
      <c r="X586" s="24">
        <f>IF($B586="","",IF($S586=WkStart,COUNTIF($S$5:$S586,WkStart),""))</f>
        <v/>
      </c>
    </row>
    <row r="587">
      <c r="A587" s="16">
        <f>IF($B587="","",ROW()-4)</f>
        <v/>
      </c>
      <c r="B587" s="17" t="n"/>
      <c r="C587" s="18" t="n"/>
      <c r="D587" s="18" t="n"/>
      <c r="E587" s="19" t="n"/>
      <c r="F587" s="19" t="n"/>
      <c r="G587" s="18" t="n"/>
      <c r="H587" s="18" t="n"/>
      <c r="I587" s="18" t="n"/>
      <c r="J587" s="20" t="n"/>
      <c r="K587" s="21" t="n"/>
      <c r="L587" s="21" t="n"/>
      <c r="M587" s="18" t="n"/>
      <c r="N587" s="22">
        <f>IF($B587="","",CHOOSE(WEEKDAY($B587),"الأحد","الاثنين","الثلاثاء","الأربعاء","الخميس","الجمعة","السبت"))</f>
        <v/>
      </c>
      <c r="O587" s="23">
        <f>IF(OR($K587="",$L587=""),"",HYPERLINK("https://maps.google.com/?q="&amp;$K587&amp;","&amp;$L587,"عرض الموقع"))</f>
        <v/>
      </c>
      <c r="P587" s="23">
        <f>IF(OR($B587="",N($J587)=0),"",HYPERLINK(PhotoDir&amp;"/"&amp;YEAR($B587)&amp;"-"&amp;TEXT(MONTH($B587),"00")&amp;"-"&amp;TEXT(DAY($B587),"00")&amp;"_"&amp;$D587,"فتح الصور ("&amp;$J587&amp;")"))</f>
        <v/>
      </c>
      <c r="Q587" s="24">
        <f>IF($B587="","",MONTH($B587))</f>
        <v/>
      </c>
      <c r="R587" s="24">
        <f>IF($B587="","",YEAR($B587))</f>
        <v/>
      </c>
      <c r="S587" s="25">
        <f>IF($B587="","",$B587-WEEKDAY($B587,3))</f>
        <v/>
      </c>
      <c r="T587" s="24">
        <f>IF($B587="",0,IF(COUNTIFS($B$5:$B587,$B587,$D$5:$D587,$D587)=1,1,0))</f>
        <v/>
      </c>
      <c r="U587" s="24">
        <f>IF($B587="",0,IF(COUNTIFS($B$5:$B587,$B587,$C$5:$C587,$C587)=1,1,0))</f>
        <v/>
      </c>
      <c r="V587" s="24">
        <f>IF(OR($B587="",$G587="",$G587="لا توجد مشاهدات"),0,1)</f>
        <v/>
      </c>
      <c r="W587" s="24">
        <f>IF(AND($B587&lt;&gt;"",$I587="تم تحرير مخالفة"),1,0)</f>
        <v/>
      </c>
      <c r="X587" s="24">
        <f>IF($B587="","",IF($S587=WkStart,COUNTIF($S$5:$S587,WkStart),""))</f>
        <v/>
      </c>
    </row>
    <row r="588">
      <c r="A588" s="16">
        <f>IF($B588="","",ROW()-4)</f>
        <v/>
      </c>
      <c r="B588" s="17" t="n"/>
      <c r="C588" s="18" t="n"/>
      <c r="D588" s="18" t="n"/>
      <c r="E588" s="19" t="n"/>
      <c r="F588" s="19" t="n"/>
      <c r="G588" s="18" t="n"/>
      <c r="H588" s="18" t="n"/>
      <c r="I588" s="18" t="n"/>
      <c r="J588" s="20" t="n"/>
      <c r="K588" s="21" t="n"/>
      <c r="L588" s="21" t="n"/>
      <c r="M588" s="18" t="n"/>
      <c r="N588" s="22">
        <f>IF($B588="","",CHOOSE(WEEKDAY($B588),"الأحد","الاثنين","الثلاثاء","الأربعاء","الخميس","الجمعة","السبت"))</f>
        <v/>
      </c>
      <c r="O588" s="23">
        <f>IF(OR($K588="",$L588=""),"",HYPERLINK("https://maps.google.com/?q="&amp;$K588&amp;","&amp;$L588,"عرض الموقع"))</f>
        <v/>
      </c>
      <c r="P588" s="23">
        <f>IF(OR($B588="",N($J588)=0),"",HYPERLINK(PhotoDir&amp;"/"&amp;YEAR($B588)&amp;"-"&amp;TEXT(MONTH($B588),"00")&amp;"-"&amp;TEXT(DAY($B588),"00")&amp;"_"&amp;$D588,"فتح الصور ("&amp;$J588&amp;")"))</f>
        <v/>
      </c>
      <c r="Q588" s="24">
        <f>IF($B588="","",MONTH($B588))</f>
        <v/>
      </c>
      <c r="R588" s="24">
        <f>IF($B588="","",YEAR($B588))</f>
        <v/>
      </c>
      <c r="S588" s="25">
        <f>IF($B588="","",$B588-WEEKDAY($B588,3))</f>
        <v/>
      </c>
      <c r="T588" s="24">
        <f>IF($B588="",0,IF(COUNTIFS($B$5:$B588,$B588,$D$5:$D588,$D588)=1,1,0))</f>
        <v/>
      </c>
      <c r="U588" s="24">
        <f>IF($B588="",0,IF(COUNTIFS($B$5:$B588,$B588,$C$5:$C588,$C588)=1,1,0))</f>
        <v/>
      </c>
      <c r="V588" s="24">
        <f>IF(OR($B588="",$G588="",$G588="لا توجد مشاهدات"),0,1)</f>
        <v/>
      </c>
      <c r="W588" s="24">
        <f>IF(AND($B588&lt;&gt;"",$I588="تم تحرير مخالفة"),1,0)</f>
        <v/>
      </c>
      <c r="X588" s="24">
        <f>IF($B588="","",IF($S588=WkStart,COUNTIF($S$5:$S588,WkStart),""))</f>
        <v/>
      </c>
    </row>
    <row r="589">
      <c r="A589" s="16">
        <f>IF($B589="","",ROW()-4)</f>
        <v/>
      </c>
      <c r="B589" s="17" t="n"/>
      <c r="C589" s="18" t="n"/>
      <c r="D589" s="18" t="n"/>
      <c r="E589" s="19" t="n"/>
      <c r="F589" s="19" t="n"/>
      <c r="G589" s="18" t="n"/>
      <c r="H589" s="18" t="n"/>
      <c r="I589" s="18" t="n"/>
      <c r="J589" s="20" t="n"/>
      <c r="K589" s="21" t="n"/>
      <c r="L589" s="21" t="n"/>
      <c r="M589" s="18" t="n"/>
      <c r="N589" s="22">
        <f>IF($B589="","",CHOOSE(WEEKDAY($B589),"الأحد","الاثنين","الثلاثاء","الأربعاء","الخميس","الجمعة","السبت"))</f>
        <v/>
      </c>
      <c r="O589" s="23">
        <f>IF(OR($K589="",$L589=""),"",HYPERLINK("https://maps.google.com/?q="&amp;$K589&amp;","&amp;$L589,"عرض الموقع"))</f>
        <v/>
      </c>
      <c r="P589" s="23">
        <f>IF(OR($B589="",N($J589)=0),"",HYPERLINK(PhotoDir&amp;"/"&amp;YEAR($B589)&amp;"-"&amp;TEXT(MONTH($B589),"00")&amp;"-"&amp;TEXT(DAY($B589),"00")&amp;"_"&amp;$D589,"فتح الصور ("&amp;$J589&amp;")"))</f>
        <v/>
      </c>
      <c r="Q589" s="24">
        <f>IF($B589="","",MONTH($B589))</f>
        <v/>
      </c>
      <c r="R589" s="24">
        <f>IF($B589="","",YEAR($B589))</f>
        <v/>
      </c>
      <c r="S589" s="25">
        <f>IF($B589="","",$B589-WEEKDAY($B589,3))</f>
        <v/>
      </c>
      <c r="T589" s="24">
        <f>IF($B589="",0,IF(COUNTIFS($B$5:$B589,$B589,$D$5:$D589,$D589)=1,1,0))</f>
        <v/>
      </c>
      <c r="U589" s="24">
        <f>IF($B589="",0,IF(COUNTIFS($B$5:$B589,$B589,$C$5:$C589,$C589)=1,1,0))</f>
        <v/>
      </c>
      <c r="V589" s="24">
        <f>IF(OR($B589="",$G589="",$G589="لا توجد مشاهدات"),0,1)</f>
        <v/>
      </c>
      <c r="W589" s="24">
        <f>IF(AND($B589&lt;&gt;"",$I589="تم تحرير مخالفة"),1,0)</f>
        <v/>
      </c>
      <c r="X589" s="24">
        <f>IF($B589="","",IF($S589=WkStart,COUNTIF($S$5:$S589,WkStart),""))</f>
        <v/>
      </c>
    </row>
    <row r="590">
      <c r="A590" s="16">
        <f>IF($B590="","",ROW()-4)</f>
        <v/>
      </c>
      <c r="B590" s="17" t="n"/>
      <c r="C590" s="18" t="n"/>
      <c r="D590" s="18" t="n"/>
      <c r="E590" s="19" t="n"/>
      <c r="F590" s="19" t="n"/>
      <c r="G590" s="18" t="n"/>
      <c r="H590" s="18" t="n"/>
      <c r="I590" s="18" t="n"/>
      <c r="J590" s="20" t="n"/>
      <c r="K590" s="21" t="n"/>
      <c r="L590" s="21" t="n"/>
      <c r="M590" s="18" t="n"/>
      <c r="N590" s="22">
        <f>IF($B590="","",CHOOSE(WEEKDAY($B590),"الأحد","الاثنين","الثلاثاء","الأربعاء","الخميس","الجمعة","السبت"))</f>
        <v/>
      </c>
      <c r="O590" s="23">
        <f>IF(OR($K590="",$L590=""),"",HYPERLINK("https://maps.google.com/?q="&amp;$K590&amp;","&amp;$L590,"عرض الموقع"))</f>
        <v/>
      </c>
      <c r="P590" s="23">
        <f>IF(OR($B590="",N($J590)=0),"",HYPERLINK(PhotoDir&amp;"/"&amp;YEAR($B590)&amp;"-"&amp;TEXT(MONTH($B590),"00")&amp;"-"&amp;TEXT(DAY($B590),"00")&amp;"_"&amp;$D590,"فتح الصور ("&amp;$J590&amp;")"))</f>
        <v/>
      </c>
      <c r="Q590" s="24">
        <f>IF($B590="","",MONTH($B590))</f>
        <v/>
      </c>
      <c r="R590" s="24">
        <f>IF($B590="","",YEAR($B590))</f>
        <v/>
      </c>
      <c r="S590" s="25">
        <f>IF($B590="","",$B590-WEEKDAY($B590,3))</f>
        <v/>
      </c>
      <c r="T590" s="24">
        <f>IF($B590="",0,IF(COUNTIFS($B$5:$B590,$B590,$D$5:$D590,$D590)=1,1,0))</f>
        <v/>
      </c>
      <c r="U590" s="24">
        <f>IF($B590="",0,IF(COUNTIFS($B$5:$B590,$B590,$C$5:$C590,$C590)=1,1,0))</f>
        <v/>
      </c>
      <c r="V590" s="24">
        <f>IF(OR($B590="",$G590="",$G590="لا توجد مشاهدات"),0,1)</f>
        <v/>
      </c>
      <c r="W590" s="24">
        <f>IF(AND($B590&lt;&gt;"",$I590="تم تحرير مخالفة"),1,0)</f>
        <v/>
      </c>
      <c r="X590" s="24">
        <f>IF($B590="","",IF($S590=WkStart,COUNTIF($S$5:$S590,WkStart),""))</f>
        <v/>
      </c>
    </row>
    <row r="591">
      <c r="A591" s="16">
        <f>IF($B591="","",ROW()-4)</f>
        <v/>
      </c>
      <c r="B591" s="17" t="n"/>
      <c r="C591" s="18" t="n"/>
      <c r="D591" s="18" t="n"/>
      <c r="E591" s="19" t="n"/>
      <c r="F591" s="19" t="n"/>
      <c r="G591" s="18" t="n"/>
      <c r="H591" s="18" t="n"/>
      <c r="I591" s="18" t="n"/>
      <c r="J591" s="20" t="n"/>
      <c r="K591" s="21" t="n"/>
      <c r="L591" s="21" t="n"/>
      <c r="M591" s="18" t="n"/>
      <c r="N591" s="22">
        <f>IF($B591="","",CHOOSE(WEEKDAY($B591),"الأحد","الاثنين","الثلاثاء","الأربعاء","الخميس","الجمعة","السبت"))</f>
        <v/>
      </c>
      <c r="O591" s="23">
        <f>IF(OR($K591="",$L591=""),"",HYPERLINK("https://maps.google.com/?q="&amp;$K591&amp;","&amp;$L591,"عرض الموقع"))</f>
        <v/>
      </c>
      <c r="P591" s="23">
        <f>IF(OR($B591="",N($J591)=0),"",HYPERLINK(PhotoDir&amp;"/"&amp;YEAR($B591)&amp;"-"&amp;TEXT(MONTH($B591),"00")&amp;"-"&amp;TEXT(DAY($B591),"00")&amp;"_"&amp;$D591,"فتح الصور ("&amp;$J591&amp;")"))</f>
        <v/>
      </c>
      <c r="Q591" s="24">
        <f>IF($B591="","",MONTH($B591))</f>
        <v/>
      </c>
      <c r="R591" s="24">
        <f>IF($B591="","",YEAR($B591))</f>
        <v/>
      </c>
      <c r="S591" s="25">
        <f>IF($B591="","",$B591-WEEKDAY($B591,3))</f>
        <v/>
      </c>
      <c r="T591" s="24">
        <f>IF($B591="",0,IF(COUNTIFS($B$5:$B591,$B591,$D$5:$D591,$D591)=1,1,0))</f>
        <v/>
      </c>
      <c r="U591" s="24">
        <f>IF($B591="",0,IF(COUNTIFS($B$5:$B591,$B591,$C$5:$C591,$C591)=1,1,0))</f>
        <v/>
      </c>
      <c r="V591" s="24">
        <f>IF(OR($B591="",$G591="",$G591="لا توجد مشاهدات"),0,1)</f>
        <v/>
      </c>
      <c r="W591" s="24">
        <f>IF(AND($B591&lt;&gt;"",$I591="تم تحرير مخالفة"),1,0)</f>
        <v/>
      </c>
      <c r="X591" s="24">
        <f>IF($B591="","",IF($S591=WkStart,COUNTIF($S$5:$S591,WkStart),""))</f>
        <v/>
      </c>
    </row>
    <row r="592">
      <c r="A592" s="16">
        <f>IF($B592="","",ROW()-4)</f>
        <v/>
      </c>
      <c r="B592" s="17" t="n"/>
      <c r="C592" s="18" t="n"/>
      <c r="D592" s="18" t="n"/>
      <c r="E592" s="19" t="n"/>
      <c r="F592" s="19" t="n"/>
      <c r="G592" s="18" t="n"/>
      <c r="H592" s="18" t="n"/>
      <c r="I592" s="18" t="n"/>
      <c r="J592" s="20" t="n"/>
      <c r="K592" s="21" t="n"/>
      <c r="L592" s="21" t="n"/>
      <c r="M592" s="18" t="n"/>
      <c r="N592" s="22">
        <f>IF($B592="","",CHOOSE(WEEKDAY($B592),"الأحد","الاثنين","الثلاثاء","الأربعاء","الخميس","الجمعة","السبت"))</f>
        <v/>
      </c>
      <c r="O592" s="23">
        <f>IF(OR($K592="",$L592=""),"",HYPERLINK("https://maps.google.com/?q="&amp;$K592&amp;","&amp;$L592,"عرض الموقع"))</f>
        <v/>
      </c>
      <c r="P592" s="23">
        <f>IF(OR($B592="",N($J592)=0),"",HYPERLINK(PhotoDir&amp;"/"&amp;YEAR($B592)&amp;"-"&amp;TEXT(MONTH($B592),"00")&amp;"-"&amp;TEXT(DAY($B592),"00")&amp;"_"&amp;$D592,"فتح الصور ("&amp;$J592&amp;")"))</f>
        <v/>
      </c>
      <c r="Q592" s="24">
        <f>IF($B592="","",MONTH($B592))</f>
        <v/>
      </c>
      <c r="R592" s="24">
        <f>IF($B592="","",YEAR($B592))</f>
        <v/>
      </c>
      <c r="S592" s="25">
        <f>IF($B592="","",$B592-WEEKDAY($B592,3))</f>
        <v/>
      </c>
      <c r="T592" s="24">
        <f>IF($B592="",0,IF(COUNTIFS($B$5:$B592,$B592,$D$5:$D592,$D592)=1,1,0))</f>
        <v/>
      </c>
      <c r="U592" s="24">
        <f>IF($B592="",0,IF(COUNTIFS($B$5:$B592,$B592,$C$5:$C592,$C592)=1,1,0))</f>
        <v/>
      </c>
      <c r="V592" s="24">
        <f>IF(OR($B592="",$G592="",$G592="لا توجد مشاهدات"),0,1)</f>
        <v/>
      </c>
      <c r="W592" s="24">
        <f>IF(AND($B592&lt;&gt;"",$I592="تم تحرير مخالفة"),1,0)</f>
        <v/>
      </c>
      <c r="X592" s="24">
        <f>IF($B592="","",IF($S592=WkStart,COUNTIF($S$5:$S592,WkStart),""))</f>
        <v/>
      </c>
    </row>
    <row r="593">
      <c r="A593" s="16">
        <f>IF($B593="","",ROW()-4)</f>
        <v/>
      </c>
      <c r="B593" s="17" t="n"/>
      <c r="C593" s="18" t="n"/>
      <c r="D593" s="18" t="n"/>
      <c r="E593" s="19" t="n"/>
      <c r="F593" s="19" t="n"/>
      <c r="G593" s="18" t="n"/>
      <c r="H593" s="18" t="n"/>
      <c r="I593" s="18" t="n"/>
      <c r="J593" s="20" t="n"/>
      <c r="K593" s="21" t="n"/>
      <c r="L593" s="21" t="n"/>
      <c r="M593" s="18" t="n"/>
      <c r="N593" s="22">
        <f>IF($B593="","",CHOOSE(WEEKDAY($B593),"الأحد","الاثنين","الثلاثاء","الأربعاء","الخميس","الجمعة","السبت"))</f>
        <v/>
      </c>
      <c r="O593" s="23">
        <f>IF(OR($K593="",$L593=""),"",HYPERLINK("https://maps.google.com/?q="&amp;$K593&amp;","&amp;$L593,"عرض الموقع"))</f>
        <v/>
      </c>
      <c r="P593" s="23">
        <f>IF(OR($B593="",N($J593)=0),"",HYPERLINK(PhotoDir&amp;"/"&amp;YEAR($B593)&amp;"-"&amp;TEXT(MONTH($B593),"00")&amp;"-"&amp;TEXT(DAY($B593),"00")&amp;"_"&amp;$D593,"فتح الصور ("&amp;$J593&amp;")"))</f>
        <v/>
      </c>
      <c r="Q593" s="24">
        <f>IF($B593="","",MONTH($B593))</f>
        <v/>
      </c>
      <c r="R593" s="24">
        <f>IF($B593="","",YEAR($B593))</f>
        <v/>
      </c>
      <c r="S593" s="25">
        <f>IF($B593="","",$B593-WEEKDAY($B593,3))</f>
        <v/>
      </c>
      <c r="T593" s="24">
        <f>IF($B593="",0,IF(COUNTIFS($B$5:$B593,$B593,$D$5:$D593,$D593)=1,1,0))</f>
        <v/>
      </c>
      <c r="U593" s="24">
        <f>IF($B593="",0,IF(COUNTIFS($B$5:$B593,$B593,$C$5:$C593,$C593)=1,1,0))</f>
        <v/>
      </c>
      <c r="V593" s="24">
        <f>IF(OR($B593="",$G593="",$G593="لا توجد مشاهدات"),0,1)</f>
        <v/>
      </c>
      <c r="W593" s="24">
        <f>IF(AND($B593&lt;&gt;"",$I593="تم تحرير مخالفة"),1,0)</f>
        <v/>
      </c>
      <c r="X593" s="24">
        <f>IF($B593="","",IF($S593=WkStart,COUNTIF($S$5:$S593,WkStart),""))</f>
        <v/>
      </c>
    </row>
    <row r="594">
      <c r="A594" s="16">
        <f>IF($B594="","",ROW()-4)</f>
        <v/>
      </c>
      <c r="B594" s="17" t="n"/>
      <c r="C594" s="18" t="n"/>
      <c r="D594" s="18" t="n"/>
      <c r="E594" s="19" t="n"/>
      <c r="F594" s="19" t="n"/>
      <c r="G594" s="18" t="n"/>
      <c r="H594" s="18" t="n"/>
      <c r="I594" s="18" t="n"/>
      <c r="J594" s="20" t="n"/>
      <c r="K594" s="21" t="n"/>
      <c r="L594" s="21" t="n"/>
      <c r="M594" s="18" t="n"/>
      <c r="N594" s="22">
        <f>IF($B594="","",CHOOSE(WEEKDAY($B594),"الأحد","الاثنين","الثلاثاء","الأربعاء","الخميس","الجمعة","السبت"))</f>
        <v/>
      </c>
      <c r="O594" s="23">
        <f>IF(OR($K594="",$L594=""),"",HYPERLINK("https://maps.google.com/?q="&amp;$K594&amp;","&amp;$L594,"عرض الموقع"))</f>
        <v/>
      </c>
      <c r="P594" s="23">
        <f>IF(OR($B594="",N($J594)=0),"",HYPERLINK(PhotoDir&amp;"/"&amp;YEAR($B594)&amp;"-"&amp;TEXT(MONTH($B594),"00")&amp;"-"&amp;TEXT(DAY($B594),"00")&amp;"_"&amp;$D594,"فتح الصور ("&amp;$J594&amp;")"))</f>
        <v/>
      </c>
      <c r="Q594" s="24">
        <f>IF($B594="","",MONTH($B594))</f>
        <v/>
      </c>
      <c r="R594" s="24">
        <f>IF($B594="","",YEAR($B594))</f>
        <v/>
      </c>
      <c r="S594" s="25">
        <f>IF($B594="","",$B594-WEEKDAY($B594,3))</f>
        <v/>
      </c>
      <c r="T594" s="24">
        <f>IF($B594="",0,IF(COUNTIFS($B$5:$B594,$B594,$D$5:$D594,$D594)=1,1,0))</f>
        <v/>
      </c>
      <c r="U594" s="24">
        <f>IF($B594="",0,IF(COUNTIFS($B$5:$B594,$B594,$C$5:$C594,$C594)=1,1,0))</f>
        <v/>
      </c>
      <c r="V594" s="24">
        <f>IF(OR($B594="",$G594="",$G594="لا توجد مشاهدات"),0,1)</f>
        <v/>
      </c>
      <c r="W594" s="24">
        <f>IF(AND($B594&lt;&gt;"",$I594="تم تحرير مخالفة"),1,0)</f>
        <v/>
      </c>
      <c r="X594" s="24">
        <f>IF($B594="","",IF($S594=WkStart,COUNTIF($S$5:$S594,WkStart),""))</f>
        <v/>
      </c>
    </row>
    <row r="595">
      <c r="A595" s="16">
        <f>IF($B595="","",ROW()-4)</f>
        <v/>
      </c>
      <c r="B595" s="17" t="n"/>
      <c r="C595" s="18" t="n"/>
      <c r="D595" s="18" t="n"/>
      <c r="E595" s="19" t="n"/>
      <c r="F595" s="19" t="n"/>
      <c r="G595" s="18" t="n"/>
      <c r="H595" s="18" t="n"/>
      <c r="I595" s="18" t="n"/>
      <c r="J595" s="20" t="n"/>
      <c r="K595" s="21" t="n"/>
      <c r="L595" s="21" t="n"/>
      <c r="M595" s="18" t="n"/>
      <c r="N595" s="22">
        <f>IF($B595="","",CHOOSE(WEEKDAY($B595),"الأحد","الاثنين","الثلاثاء","الأربعاء","الخميس","الجمعة","السبت"))</f>
        <v/>
      </c>
      <c r="O595" s="23">
        <f>IF(OR($K595="",$L595=""),"",HYPERLINK("https://maps.google.com/?q="&amp;$K595&amp;","&amp;$L595,"عرض الموقع"))</f>
        <v/>
      </c>
      <c r="P595" s="23">
        <f>IF(OR($B595="",N($J595)=0),"",HYPERLINK(PhotoDir&amp;"/"&amp;YEAR($B595)&amp;"-"&amp;TEXT(MONTH($B595),"00")&amp;"-"&amp;TEXT(DAY($B595),"00")&amp;"_"&amp;$D595,"فتح الصور ("&amp;$J595&amp;")"))</f>
        <v/>
      </c>
      <c r="Q595" s="24">
        <f>IF($B595="","",MONTH($B595))</f>
        <v/>
      </c>
      <c r="R595" s="24">
        <f>IF($B595="","",YEAR($B595))</f>
        <v/>
      </c>
      <c r="S595" s="25">
        <f>IF($B595="","",$B595-WEEKDAY($B595,3))</f>
        <v/>
      </c>
      <c r="T595" s="24">
        <f>IF($B595="",0,IF(COUNTIFS($B$5:$B595,$B595,$D$5:$D595,$D595)=1,1,0))</f>
        <v/>
      </c>
      <c r="U595" s="24">
        <f>IF($B595="",0,IF(COUNTIFS($B$5:$B595,$B595,$C$5:$C595,$C595)=1,1,0))</f>
        <v/>
      </c>
      <c r="V595" s="24">
        <f>IF(OR($B595="",$G595="",$G595="لا توجد مشاهدات"),0,1)</f>
        <v/>
      </c>
      <c r="W595" s="24">
        <f>IF(AND($B595&lt;&gt;"",$I595="تم تحرير مخالفة"),1,0)</f>
        <v/>
      </c>
      <c r="X595" s="24">
        <f>IF($B595="","",IF($S595=WkStart,COUNTIF($S$5:$S595,WkStart),""))</f>
        <v/>
      </c>
    </row>
    <row r="596">
      <c r="A596" s="16">
        <f>IF($B596="","",ROW()-4)</f>
        <v/>
      </c>
      <c r="B596" s="17" t="n"/>
      <c r="C596" s="18" t="n"/>
      <c r="D596" s="18" t="n"/>
      <c r="E596" s="19" t="n"/>
      <c r="F596" s="19" t="n"/>
      <c r="G596" s="18" t="n"/>
      <c r="H596" s="18" t="n"/>
      <c r="I596" s="18" t="n"/>
      <c r="J596" s="20" t="n"/>
      <c r="K596" s="21" t="n"/>
      <c r="L596" s="21" t="n"/>
      <c r="M596" s="18" t="n"/>
      <c r="N596" s="22">
        <f>IF($B596="","",CHOOSE(WEEKDAY($B596),"الأحد","الاثنين","الثلاثاء","الأربعاء","الخميس","الجمعة","السبت"))</f>
        <v/>
      </c>
      <c r="O596" s="23">
        <f>IF(OR($K596="",$L596=""),"",HYPERLINK("https://maps.google.com/?q="&amp;$K596&amp;","&amp;$L596,"عرض الموقع"))</f>
        <v/>
      </c>
      <c r="P596" s="23">
        <f>IF(OR($B596="",N($J596)=0),"",HYPERLINK(PhotoDir&amp;"/"&amp;YEAR($B596)&amp;"-"&amp;TEXT(MONTH($B596),"00")&amp;"-"&amp;TEXT(DAY($B596),"00")&amp;"_"&amp;$D596,"فتح الصور ("&amp;$J596&amp;")"))</f>
        <v/>
      </c>
      <c r="Q596" s="24">
        <f>IF($B596="","",MONTH($B596))</f>
        <v/>
      </c>
      <c r="R596" s="24">
        <f>IF($B596="","",YEAR($B596))</f>
        <v/>
      </c>
      <c r="S596" s="25">
        <f>IF($B596="","",$B596-WEEKDAY($B596,3))</f>
        <v/>
      </c>
      <c r="T596" s="24">
        <f>IF($B596="",0,IF(COUNTIFS($B$5:$B596,$B596,$D$5:$D596,$D596)=1,1,0))</f>
        <v/>
      </c>
      <c r="U596" s="24">
        <f>IF($B596="",0,IF(COUNTIFS($B$5:$B596,$B596,$C$5:$C596,$C596)=1,1,0))</f>
        <v/>
      </c>
      <c r="V596" s="24">
        <f>IF(OR($B596="",$G596="",$G596="لا توجد مشاهدات"),0,1)</f>
        <v/>
      </c>
      <c r="W596" s="24">
        <f>IF(AND($B596&lt;&gt;"",$I596="تم تحرير مخالفة"),1,0)</f>
        <v/>
      </c>
      <c r="X596" s="24">
        <f>IF($B596="","",IF($S596=WkStart,COUNTIF($S$5:$S596,WkStart),""))</f>
        <v/>
      </c>
    </row>
    <row r="597">
      <c r="A597" s="16">
        <f>IF($B597="","",ROW()-4)</f>
        <v/>
      </c>
      <c r="B597" s="17" t="n"/>
      <c r="C597" s="18" t="n"/>
      <c r="D597" s="18" t="n"/>
      <c r="E597" s="19" t="n"/>
      <c r="F597" s="19" t="n"/>
      <c r="G597" s="18" t="n"/>
      <c r="H597" s="18" t="n"/>
      <c r="I597" s="18" t="n"/>
      <c r="J597" s="20" t="n"/>
      <c r="K597" s="21" t="n"/>
      <c r="L597" s="21" t="n"/>
      <c r="M597" s="18" t="n"/>
      <c r="N597" s="22">
        <f>IF($B597="","",CHOOSE(WEEKDAY($B597),"الأحد","الاثنين","الثلاثاء","الأربعاء","الخميس","الجمعة","السبت"))</f>
        <v/>
      </c>
      <c r="O597" s="23">
        <f>IF(OR($K597="",$L597=""),"",HYPERLINK("https://maps.google.com/?q="&amp;$K597&amp;","&amp;$L597,"عرض الموقع"))</f>
        <v/>
      </c>
      <c r="P597" s="23">
        <f>IF(OR($B597="",N($J597)=0),"",HYPERLINK(PhotoDir&amp;"/"&amp;YEAR($B597)&amp;"-"&amp;TEXT(MONTH($B597),"00")&amp;"-"&amp;TEXT(DAY($B597),"00")&amp;"_"&amp;$D597,"فتح الصور ("&amp;$J597&amp;")"))</f>
        <v/>
      </c>
      <c r="Q597" s="24">
        <f>IF($B597="","",MONTH($B597))</f>
        <v/>
      </c>
      <c r="R597" s="24">
        <f>IF($B597="","",YEAR($B597))</f>
        <v/>
      </c>
      <c r="S597" s="25">
        <f>IF($B597="","",$B597-WEEKDAY($B597,3))</f>
        <v/>
      </c>
      <c r="T597" s="24">
        <f>IF($B597="",0,IF(COUNTIFS($B$5:$B597,$B597,$D$5:$D597,$D597)=1,1,0))</f>
        <v/>
      </c>
      <c r="U597" s="24">
        <f>IF($B597="",0,IF(COUNTIFS($B$5:$B597,$B597,$C$5:$C597,$C597)=1,1,0))</f>
        <v/>
      </c>
      <c r="V597" s="24">
        <f>IF(OR($B597="",$G597="",$G597="لا توجد مشاهدات"),0,1)</f>
        <v/>
      </c>
      <c r="W597" s="24">
        <f>IF(AND($B597&lt;&gt;"",$I597="تم تحرير مخالفة"),1,0)</f>
        <v/>
      </c>
      <c r="X597" s="24">
        <f>IF($B597="","",IF($S597=WkStart,COUNTIF($S$5:$S597,WkStart),""))</f>
        <v/>
      </c>
    </row>
    <row r="598">
      <c r="A598" s="16">
        <f>IF($B598="","",ROW()-4)</f>
        <v/>
      </c>
      <c r="B598" s="17" t="n"/>
      <c r="C598" s="18" t="n"/>
      <c r="D598" s="18" t="n"/>
      <c r="E598" s="19" t="n"/>
      <c r="F598" s="19" t="n"/>
      <c r="G598" s="18" t="n"/>
      <c r="H598" s="18" t="n"/>
      <c r="I598" s="18" t="n"/>
      <c r="J598" s="20" t="n"/>
      <c r="K598" s="21" t="n"/>
      <c r="L598" s="21" t="n"/>
      <c r="M598" s="18" t="n"/>
      <c r="N598" s="22">
        <f>IF($B598="","",CHOOSE(WEEKDAY($B598),"الأحد","الاثنين","الثلاثاء","الأربعاء","الخميس","الجمعة","السبت"))</f>
        <v/>
      </c>
      <c r="O598" s="23">
        <f>IF(OR($K598="",$L598=""),"",HYPERLINK("https://maps.google.com/?q="&amp;$K598&amp;","&amp;$L598,"عرض الموقع"))</f>
        <v/>
      </c>
      <c r="P598" s="23">
        <f>IF(OR($B598="",N($J598)=0),"",HYPERLINK(PhotoDir&amp;"/"&amp;YEAR($B598)&amp;"-"&amp;TEXT(MONTH($B598),"00")&amp;"-"&amp;TEXT(DAY($B598),"00")&amp;"_"&amp;$D598,"فتح الصور ("&amp;$J598&amp;")"))</f>
        <v/>
      </c>
      <c r="Q598" s="24">
        <f>IF($B598="","",MONTH($B598))</f>
        <v/>
      </c>
      <c r="R598" s="24">
        <f>IF($B598="","",YEAR($B598))</f>
        <v/>
      </c>
      <c r="S598" s="25">
        <f>IF($B598="","",$B598-WEEKDAY($B598,3))</f>
        <v/>
      </c>
      <c r="T598" s="24">
        <f>IF($B598="",0,IF(COUNTIFS($B$5:$B598,$B598,$D$5:$D598,$D598)=1,1,0))</f>
        <v/>
      </c>
      <c r="U598" s="24">
        <f>IF($B598="",0,IF(COUNTIFS($B$5:$B598,$B598,$C$5:$C598,$C598)=1,1,0))</f>
        <v/>
      </c>
      <c r="V598" s="24">
        <f>IF(OR($B598="",$G598="",$G598="لا توجد مشاهدات"),0,1)</f>
        <v/>
      </c>
      <c r="W598" s="24">
        <f>IF(AND($B598&lt;&gt;"",$I598="تم تحرير مخالفة"),1,0)</f>
        <v/>
      </c>
      <c r="X598" s="24">
        <f>IF($B598="","",IF($S598=WkStart,COUNTIF($S$5:$S598,WkStart),""))</f>
        <v/>
      </c>
    </row>
    <row r="599">
      <c r="A599" s="16">
        <f>IF($B599="","",ROW()-4)</f>
        <v/>
      </c>
      <c r="B599" s="17" t="n"/>
      <c r="C599" s="18" t="n"/>
      <c r="D599" s="18" t="n"/>
      <c r="E599" s="19" t="n"/>
      <c r="F599" s="19" t="n"/>
      <c r="G599" s="18" t="n"/>
      <c r="H599" s="18" t="n"/>
      <c r="I599" s="18" t="n"/>
      <c r="J599" s="20" t="n"/>
      <c r="K599" s="21" t="n"/>
      <c r="L599" s="21" t="n"/>
      <c r="M599" s="18" t="n"/>
      <c r="N599" s="22">
        <f>IF($B599="","",CHOOSE(WEEKDAY($B599),"الأحد","الاثنين","الثلاثاء","الأربعاء","الخميس","الجمعة","السبت"))</f>
        <v/>
      </c>
      <c r="O599" s="23">
        <f>IF(OR($K599="",$L599=""),"",HYPERLINK("https://maps.google.com/?q="&amp;$K599&amp;","&amp;$L599,"عرض الموقع"))</f>
        <v/>
      </c>
      <c r="P599" s="23">
        <f>IF(OR($B599="",N($J599)=0),"",HYPERLINK(PhotoDir&amp;"/"&amp;YEAR($B599)&amp;"-"&amp;TEXT(MONTH($B599),"00")&amp;"-"&amp;TEXT(DAY($B599),"00")&amp;"_"&amp;$D599,"فتح الصور ("&amp;$J599&amp;")"))</f>
        <v/>
      </c>
      <c r="Q599" s="24">
        <f>IF($B599="","",MONTH($B599))</f>
        <v/>
      </c>
      <c r="R599" s="24">
        <f>IF($B599="","",YEAR($B599))</f>
        <v/>
      </c>
      <c r="S599" s="25">
        <f>IF($B599="","",$B599-WEEKDAY($B599,3))</f>
        <v/>
      </c>
      <c r="T599" s="24">
        <f>IF($B599="",0,IF(COUNTIFS($B$5:$B599,$B599,$D$5:$D599,$D599)=1,1,0))</f>
        <v/>
      </c>
      <c r="U599" s="24">
        <f>IF($B599="",0,IF(COUNTIFS($B$5:$B599,$B599,$C$5:$C599,$C599)=1,1,0))</f>
        <v/>
      </c>
      <c r="V599" s="24">
        <f>IF(OR($B599="",$G599="",$G599="لا توجد مشاهدات"),0,1)</f>
        <v/>
      </c>
      <c r="W599" s="24">
        <f>IF(AND($B599&lt;&gt;"",$I599="تم تحرير مخالفة"),1,0)</f>
        <v/>
      </c>
      <c r="X599" s="24">
        <f>IF($B599="","",IF($S599=WkStart,COUNTIF($S$5:$S599,WkStart),""))</f>
        <v/>
      </c>
    </row>
    <row r="600">
      <c r="A600" s="16">
        <f>IF($B600="","",ROW()-4)</f>
        <v/>
      </c>
      <c r="B600" s="17" t="n"/>
      <c r="C600" s="18" t="n"/>
      <c r="D600" s="18" t="n"/>
      <c r="E600" s="19" t="n"/>
      <c r="F600" s="19" t="n"/>
      <c r="G600" s="18" t="n"/>
      <c r="H600" s="18" t="n"/>
      <c r="I600" s="18" t="n"/>
      <c r="J600" s="20" t="n"/>
      <c r="K600" s="21" t="n"/>
      <c r="L600" s="21" t="n"/>
      <c r="M600" s="18" t="n"/>
      <c r="N600" s="22">
        <f>IF($B600="","",CHOOSE(WEEKDAY($B600),"الأحد","الاثنين","الثلاثاء","الأربعاء","الخميس","الجمعة","السبت"))</f>
        <v/>
      </c>
      <c r="O600" s="23">
        <f>IF(OR($K600="",$L600=""),"",HYPERLINK("https://maps.google.com/?q="&amp;$K600&amp;","&amp;$L600,"عرض الموقع"))</f>
        <v/>
      </c>
      <c r="P600" s="23">
        <f>IF(OR($B600="",N($J600)=0),"",HYPERLINK(PhotoDir&amp;"/"&amp;YEAR($B600)&amp;"-"&amp;TEXT(MONTH($B600),"00")&amp;"-"&amp;TEXT(DAY($B600),"00")&amp;"_"&amp;$D600,"فتح الصور ("&amp;$J600&amp;")"))</f>
        <v/>
      </c>
      <c r="Q600" s="24">
        <f>IF($B600="","",MONTH($B600))</f>
        <v/>
      </c>
      <c r="R600" s="24">
        <f>IF($B600="","",YEAR($B600))</f>
        <v/>
      </c>
      <c r="S600" s="25">
        <f>IF($B600="","",$B600-WEEKDAY($B600,3))</f>
        <v/>
      </c>
      <c r="T600" s="24">
        <f>IF($B600="",0,IF(COUNTIFS($B$5:$B600,$B600,$D$5:$D600,$D600)=1,1,0))</f>
        <v/>
      </c>
      <c r="U600" s="24">
        <f>IF($B600="",0,IF(COUNTIFS($B$5:$B600,$B600,$C$5:$C600,$C600)=1,1,0))</f>
        <v/>
      </c>
      <c r="V600" s="24">
        <f>IF(OR($B600="",$G600="",$G600="لا توجد مشاهدات"),0,1)</f>
        <v/>
      </c>
      <c r="W600" s="24">
        <f>IF(AND($B600&lt;&gt;"",$I600="تم تحرير مخالفة"),1,0)</f>
        <v/>
      </c>
      <c r="X600" s="24">
        <f>IF($B600="","",IF($S600=WkStart,COUNTIF($S$5:$S600,WkStart),""))</f>
        <v/>
      </c>
    </row>
    <row r="601">
      <c r="A601" s="16">
        <f>IF($B601="","",ROW()-4)</f>
        <v/>
      </c>
      <c r="B601" s="17" t="n"/>
      <c r="C601" s="18" t="n"/>
      <c r="D601" s="18" t="n"/>
      <c r="E601" s="19" t="n"/>
      <c r="F601" s="19" t="n"/>
      <c r="G601" s="18" t="n"/>
      <c r="H601" s="18" t="n"/>
      <c r="I601" s="18" t="n"/>
      <c r="J601" s="20" t="n"/>
      <c r="K601" s="21" t="n"/>
      <c r="L601" s="21" t="n"/>
      <c r="M601" s="18" t="n"/>
      <c r="N601" s="22">
        <f>IF($B601="","",CHOOSE(WEEKDAY($B601),"الأحد","الاثنين","الثلاثاء","الأربعاء","الخميس","الجمعة","السبت"))</f>
        <v/>
      </c>
      <c r="O601" s="23">
        <f>IF(OR($K601="",$L601=""),"",HYPERLINK("https://maps.google.com/?q="&amp;$K601&amp;","&amp;$L601,"عرض الموقع"))</f>
        <v/>
      </c>
      <c r="P601" s="23">
        <f>IF(OR($B601="",N($J601)=0),"",HYPERLINK(PhotoDir&amp;"/"&amp;YEAR($B601)&amp;"-"&amp;TEXT(MONTH($B601),"00")&amp;"-"&amp;TEXT(DAY($B601),"00")&amp;"_"&amp;$D601,"فتح الصور ("&amp;$J601&amp;")"))</f>
        <v/>
      </c>
      <c r="Q601" s="24">
        <f>IF($B601="","",MONTH($B601))</f>
        <v/>
      </c>
      <c r="R601" s="24">
        <f>IF($B601="","",YEAR($B601))</f>
        <v/>
      </c>
      <c r="S601" s="25">
        <f>IF($B601="","",$B601-WEEKDAY($B601,3))</f>
        <v/>
      </c>
      <c r="T601" s="24">
        <f>IF($B601="",0,IF(COUNTIFS($B$5:$B601,$B601,$D$5:$D601,$D601)=1,1,0))</f>
        <v/>
      </c>
      <c r="U601" s="24">
        <f>IF($B601="",0,IF(COUNTIFS($B$5:$B601,$B601,$C$5:$C601,$C601)=1,1,0))</f>
        <v/>
      </c>
      <c r="V601" s="24">
        <f>IF(OR($B601="",$G601="",$G601="لا توجد مشاهدات"),0,1)</f>
        <v/>
      </c>
      <c r="W601" s="24">
        <f>IF(AND($B601&lt;&gt;"",$I601="تم تحرير مخالفة"),1,0)</f>
        <v/>
      </c>
      <c r="X601" s="24">
        <f>IF($B601="","",IF($S601=WkStart,COUNTIF($S$5:$S601,WkStart),""))</f>
        <v/>
      </c>
    </row>
    <row r="602">
      <c r="A602" s="16">
        <f>IF($B602="","",ROW()-4)</f>
        <v/>
      </c>
      <c r="B602" s="17" t="n"/>
      <c r="C602" s="18" t="n"/>
      <c r="D602" s="18" t="n"/>
      <c r="E602" s="19" t="n"/>
      <c r="F602" s="19" t="n"/>
      <c r="G602" s="18" t="n"/>
      <c r="H602" s="18" t="n"/>
      <c r="I602" s="18" t="n"/>
      <c r="J602" s="20" t="n"/>
      <c r="K602" s="21" t="n"/>
      <c r="L602" s="21" t="n"/>
      <c r="M602" s="18" t="n"/>
      <c r="N602" s="22">
        <f>IF($B602="","",CHOOSE(WEEKDAY($B602),"الأحد","الاثنين","الثلاثاء","الأربعاء","الخميس","الجمعة","السبت"))</f>
        <v/>
      </c>
      <c r="O602" s="23">
        <f>IF(OR($K602="",$L602=""),"",HYPERLINK("https://maps.google.com/?q="&amp;$K602&amp;","&amp;$L602,"عرض الموقع"))</f>
        <v/>
      </c>
      <c r="P602" s="23">
        <f>IF(OR($B602="",N($J602)=0),"",HYPERLINK(PhotoDir&amp;"/"&amp;YEAR($B602)&amp;"-"&amp;TEXT(MONTH($B602),"00")&amp;"-"&amp;TEXT(DAY($B602),"00")&amp;"_"&amp;$D602,"فتح الصور ("&amp;$J602&amp;")"))</f>
        <v/>
      </c>
      <c r="Q602" s="24">
        <f>IF($B602="","",MONTH($B602))</f>
        <v/>
      </c>
      <c r="R602" s="24">
        <f>IF($B602="","",YEAR($B602))</f>
        <v/>
      </c>
      <c r="S602" s="25">
        <f>IF($B602="","",$B602-WEEKDAY($B602,3))</f>
        <v/>
      </c>
      <c r="T602" s="24">
        <f>IF($B602="",0,IF(COUNTIFS($B$5:$B602,$B602,$D$5:$D602,$D602)=1,1,0))</f>
        <v/>
      </c>
      <c r="U602" s="24">
        <f>IF($B602="",0,IF(COUNTIFS($B$5:$B602,$B602,$C$5:$C602,$C602)=1,1,0))</f>
        <v/>
      </c>
      <c r="V602" s="24">
        <f>IF(OR($B602="",$G602="",$G602="لا توجد مشاهدات"),0,1)</f>
        <v/>
      </c>
      <c r="W602" s="24">
        <f>IF(AND($B602&lt;&gt;"",$I602="تم تحرير مخالفة"),1,0)</f>
        <v/>
      </c>
      <c r="X602" s="24">
        <f>IF($B602="","",IF($S602=WkStart,COUNTIF($S$5:$S602,WkStart),""))</f>
        <v/>
      </c>
    </row>
    <row r="603">
      <c r="A603" s="16">
        <f>IF($B603="","",ROW()-4)</f>
        <v/>
      </c>
      <c r="B603" s="17" t="n"/>
      <c r="C603" s="18" t="n"/>
      <c r="D603" s="18" t="n"/>
      <c r="E603" s="19" t="n"/>
      <c r="F603" s="19" t="n"/>
      <c r="G603" s="18" t="n"/>
      <c r="H603" s="18" t="n"/>
      <c r="I603" s="18" t="n"/>
      <c r="J603" s="20" t="n"/>
      <c r="K603" s="21" t="n"/>
      <c r="L603" s="21" t="n"/>
      <c r="M603" s="18" t="n"/>
      <c r="N603" s="22">
        <f>IF($B603="","",CHOOSE(WEEKDAY($B603),"الأحد","الاثنين","الثلاثاء","الأربعاء","الخميس","الجمعة","السبت"))</f>
        <v/>
      </c>
      <c r="O603" s="23">
        <f>IF(OR($K603="",$L603=""),"",HYPERLINK("https://maps.google.com/?q="&amp;$K603&amp;","&amp;$L603,"عرض الموقع"))</f>
        <v/>
      </c>
      <c r="P603" s="23">
        <f>IF(OR($B603="",N($J603)=0),"",HYPERLINK(PhotoDir&amp;"/"&amp;YEAR($B603)&amp;"-"&amp;TEXT(MONTH($B603),"00")&amp;"-"&amp;TEXT(DAY($B603),"00")&amp;"_"&amp;$D603,"فتح الصور ("&amp;$J603&amp;")"))</f>
        <v/>
      </c>
      <c r="Q603" s="24">
        <f>IF($B603="","",MONTH($B603))</f>
        <v/>
      </c>
      <c r="R603" s="24">
        <f>IF($B603="","",YEAR($B603))</f>
        <v/>
      </c>
      <c r="S603" s="25">
        <f>IF($B603="","",$B603-WEEKDAY($B603,3))</f>
        <v/>
      </c>
      <c r="T603" s="24">
        <f>IF($B603="",0,IF(COUNTIFS($B$5:$B603,$B603,$D$5:$D603,$D603)=1,1,0))</f>
        <v/>
      </c>
      <c r="U603" s="24">
        <f>IF($B603="",0,IF(COUNTIFS($B$5:$B603,$B603,$C$5:$C603,$C603)=1,1,0))</f>
        <v/>
      </c>
      <c r="V603" s="24">
        <f>IF(OR($B603="",$G603="",$G603="لا توجد مشاهدات"),0,1)</f>
        <v/>
      </c>
      <c r="W603" s="24">
        <f>IF(AND($B603&lt;&gt;"",$I603="تم تحرير مخالفة"),1,0)</f>
        <v/>
      </c>
      <c r="X603" s="24">
        <f>IF($B603="","",IF($S603=WkStart,COUNTIF($S$5:$S603,WkStart),""))</f>
        <v/>
      </c>
    </row>
    <row r="604">
      <c r="A604" s="16">
        <f>IF($B604="","",ROW()-4)</f>
        <v/>
      </c>
      <c r="B604" s="17" t="n"/>
      <c r="C604" s="18" t="n"/>
      <c r="D604" s="18" t="n"/>
      <c r="E604" s="19" t="n"/>
      <c r="F604" s="19" t="n"/>
      <c r="G604" s="18" t="n"/>
      <c r="H604" s="18" t="n"/>
      <c r="I604" s="18" t="n"/>
      <c r="J604" s="20" t="n"/>
      <c r="K604" s="21" t="n"/>
      <c r="L604" s="21" t="n"/>
      <c r="M604" s="18" t="n"/>
      <c r="N604" s="22">
        <f>IF($B604="","",CHOOSE(WEEKDAY($B604),"الأحد","الاثنين","الثلاثاء","الأربعاء","الخميس","الجمعة","السبت"))</f>
        <v/>
      </c>
      <c r="O604" s="23">
        <f>IF(OR($K604="",$L604=""),"",HYPERLINK("https://maps.google.com/?q="&amp;$K604&amp;","&amp;$L604,"عرض الموقع"))</f>
        <v/>
      </c>
      <c r="P604" s="23">
        <f>IF(OR($B604="",N($J604)=0),"",HYPERLINK(PhotoDir&amp;"/"&amp;YEAR($B604)&amp;"-"&amp;TEXT(MONTH($B604),"00")&amp;"-"&amp;TEXT(DAY($B604),"00")&amp;"_"&amp;$D604,"فتح الصور ("&amp;$J604&amp;")"))</f>
        <v/>
      </c>
      <c r="Q604" s="24">
        <f>IF($B604="","",MONTH($B604))</f>
        <v/>
      </c>
      <c r="R604" s="24">
        <f>IF($B604="","",YEAR($B604))</f>
        <v/>
      </c>
      <c r="S604" s="25">
        <f>IF($B604="","",$B604-WEEKDAY($B604,3))</f>
        <v/>
      </c>
      <c r="T604" s="24">
        <f>IF($B604="",0,IF(COUNTIFS($B$5:$B604,$B604,$D$5:$D604,$D604)=1,1,0))</f>
        <v/>
      </c>
      <c r="U604" s="24">
        <f>IF($B604="",0,IF(COUNTIFS($B$5:$B604,$B604,$C$5:$C604,$C604)=1,1,0))</f>
        <v/>
      </c>
      <c r="V604" s="24">
        <f>IF(OR($B604="",$G604="",$G604="لا توجد مشاهدات"),0,1)</f>
        <v/>
      </c>
      <c r="W604" s="24">
        <f>IF(AND($B604&lt;&gt;"",$I604="تم تحرير مخالفة"),1,0)</f>
        <v/>
      </c>
      <c r="X604" s="24">
        <f>IF($B604="","",IF($S604=WkStart,COUNTIF($S$5:$S604,WkStart),""))</f>
        <v/>
      </c>
    </row>
    <row r="605">
      <c r="A605" s="16">
        <f>IF($B605="","",ROW()-4)</f>
        <v/>
      </c>
      <c r="B605" s="17" t="n"/>
      <c r="C605" s="18" t="n"/>
      <c r="D605" s="18" t="n"/>
      <c r="E605" s="19" t="n"/>
      <c r="F605" s="19" t="n"/>
      <c r="G605" s="18" t="n"/>
      <c r="H605" s="18" t="n"/>
      <c r="I605" s="18" t="n"/>
      <c r="J605" s="20" t="n"/>
      <c r="K605" s="21" t="n"/>
      <c r="L605" s="21" t="n"/>
      <c r="M605" s="18" t="n"/>
      <c r="N605" s="22">
        <f>IF($B605="","",CHOOSE(WEEKDAY($B605),"الأحد","الاثنين","الثلاثاء","الأربعاء","الخميس","الجمعة","السبت"))</f>
        <v/>
      </c>
      <c r="O605" s="23">
        <f>IF(OR($K605="",$L605=""),"",HYPERLINK("https://maps.google.com/?q="&amp;$K605&amp;","&amp;$L605,"عرض الموقع"))</f>
        <v/>
      </c>
      <c r="P605" s="23">
        <f>IF(OR($B605="",N($J605)=0),"",HYPERLINK(PhotoDir&amp;"/"&amp;YEAR($B605)&amp;"-"&amp;TEXT(MONTH($B605),"00")&amp;"-"&amp;TEXT(DAY($B605),"00")&amp;"_"&amp;$D605,"فتح الصور ("&amp;$J605&amp;")"))</f>
        <v/>
      </c>
      <c r="Q605" s="24">
        <f>IF($B605="","",MONTH($B605))</f>
        <v/>
      </c>
      <c r="R605" s="24">
        <f>IF($B605="","",YEAR($B605))</f>
        <v/>
      </c>
      <c r="S605" s="25">
        <f>IF($B605="","",$B605-WEEKDAY($B605,3))</f>
        <v/>
      </c>
      <c r="T605" s="24">
        <f>IF($B605="",0,IF(COUNTIFS($B$5:$B605,$B605,$D$5:$D605,$D605)=1,1,0))</f>
        <v/>
      </c>
      <c r="U605" s="24">
        <f>IF($B605="",0,IF(COUNTIFS($B$5:$B605,$B605,$C$5:$C605,$C605)=1,1,0))</f>
        <v/>
      </c>
      <c r="V605" s="24">
        <f>IF(OR($B605="",$G605="",$G605="لا توجد مشاهدات"),0,1)</f>
        <v/>
      </c>
      <c r="W605" s="24">
        <f>IF(AND($B605&lt;&gt;"",$I605="تم تحرير مخالفة"),1,0)</f>
        <v/>
      </c>
      <c r="X605" s="24">
        <f>IF($B605="","",IF($S605=WkStart,COUNTIF($S$5:$S605,WkStart),""))</f>
        <v/>
      </c>
    </row>
    <row r="606">
      <c r="A606" s="16">
        <f>IF($B606="","",ROW()-4)</f>
        <v/>
      </c>
      <c r="B606" s="17" t="n"/>
      <c r="C606" s="18" t="n"/>
      <c r="D606" s="18" t="n"/>
      <c r="E606" s="19" t="n"/>
      <c r="F606" s="19" t="n"/>
      <c r="G606" s="18" t="n"/>
      <c r="H606" s="18" t="n"/>
      <c r="I606" s="18" t="n"/>
      <c r="J606" s="20" t="n"/>
      <c r="K606" s="21" t="n"/>
      <c r="L606" s="21" t="n"/>
      <c r="M606" s="18" t="n"/>
      <c r="N606" s="22">
        <f>IF($B606="","",CHOOSE(WEEKDAY($B606),"الأحد","الاثنين","الثلاثاء","الأربعاء","الخميس","الجمعة","السبت"))</f>
        <v/>
      </c>
      <c r="O606" s="23">
        <f>IF(OR($K606="",$L606=""),"",HYPERLINK("https://maps.google.com/?q="&amp;$K606&amp;","&amp;$L606,"عرض الموقع"))</f>
        <v/>
      </c>
      <c r="P606" s="23">
        <f>IF(OR($B606="",N($J606)=0),"",HYPERLINK(PhotoDir&amp;"/"&amp;YEAR($B606)&amp;"-"&amp;TEXT(MONTH($B606),"00")&amp;"-"&amp;TEXT(DAY($B606),"00")&amp;"_"&amp;$D606,"فتح الصور ("&amp;$J606&amp;")"))</f>
        <v/>
      </c>
      <c r="Q606" s="24">
        <f>IF($B606="","",MONTH($B606))</f>
        <v/>
      </c>
      <c r="R606" s="24">
        <f>IF($B606="","",YEAR($B606))</f>
        <v/>
      </c>
      <c r="S606" s="25">
        <f>IF($B606="","",$B606-WEEKDAY($B606,3))</f>
        <v/>
      </c>
      <c r="T606" s="24">
        <f>IF($B606="",0,IF(COUNTIFS($B$5:$B606,$B606,$D$5:$D606,$D606)=1,1,0))</f>
        <v/>
      </c>
      <c r="U606" s="24">
        <f>IF($B606="",0,IF(COUNTIFS($B$5:$B606,$B606,$C$5:$C606,$C606)=1,1,0))</f>
        <v/>
      </c>
      <c r="V606" s="24">
        <f>IF(OR($B606="",$G606="",$G606="لا توجد مشاهدات"),0,1)</f>
        <v/>
      </c>
      <c r="W606" s="24">
        <f>IF(AND($B606&lt;&gt;"",$I606="تم تحرير مخالفة"),1,0)</f>
        <v/>
      </c>
      <c r="X606" s="24">
        <f>IF($B606="","",IF($S606=WkStart,COUNTIF($S$5:$S606,WkStart),""))</f>
        <v/>
      </c>
    </row>
    <row r="607">
      <c r="A607" s="16">
        <f>IF($B607="","",ROW()-4)</f>
        <v/>
      </c>
      <c r="B607" s="17" t="n"/>
      <c r="C607" s="18" t="n"/>
      <c r="D607" s="18" t="n"/>
      <c r="E607" s="19" t="n"/>
      <c r="F607" s="19" t="n"/>
      <c r="G607" s="18" t="n"/>
      <c r="H607" s="18" t="n"/>
      <c r="I607" s="18" t="n"/>
      <c r="J607" s="20" t="n"/>
      <c r="K607" s="21" t="n"/>
      <c r="L607" s="21" t="n"/>
      <c r="M607" s="18" t="n"/>
      <c r="N607" s="22">
        <f>IF($B607="","",CHOOSE(WEEKDAY($B607),"الأحد","الاثنين","الثلاثاء","الأربعاء","الخميس","الجمعة","السبت"))</f>
        <v/>
      </c>
      <c r="O607" s="23">
        <f>IF(OR($K607="",$L607=""),"",HYPERLINK("https://maps.google.com/?q="&amp;$K607&amp;","&amp;$L607,"عرض الموقع"))</f>
        <v/>
      </c>
      <c r="P607" s="23">
        <f>IF(OR($B607="",N($J607)=0),"",HYPERLINK(PhotoDir&amp;"/"&amp;YEAR($B607)&amp;"-"&amp;TEXT(MONTH($B607),"00")&amp;"-"&amp;TEXT(DAY($B607),"00")&amp;"_"&amp;$D607,"فتح الصور ("&amp;$J607&amp;")"))</f>
        <v/>
      </c>
      <c r="Q607" s="24">
        <f>IF($B607="","",MONTH($B607))</f>
        <v/>
      </c>
      <c r="R607" s="24">
        <f>IF($B607="","",YEAR($B607))</f>
        <v/>
      </c>
      <c r="S607" s="25">
        <f>IF($B607="","",$B607-WEEKDAY($B607,3))</f>
        <v/>
      </c>
      <c r="T607" s="24">
        <f>IF($B607="",0,IF(COUNTIFS($B$5:$B607,$B607,$D$5:$D607,$D607)=1,1,0))</f>
        <v/>
      </c>
      <c r="U607" s="24">
        <f>IF($B607="",0,IF(COUNTIFS($B$5:$B607,$B607,$C$5:$C607,$C607)=1,1,0))</f>
        <v/>
      </c>
      <c r="V607" s="24">
        <f>IF(OR($B607="",$G607="",$G607="لا توجد مشاهدات"),0,1)</f>
        <v/>
      </c>
      <c r="W607" s="24">
        <f>IF(AND($B607&lt;&gt;"",$I607="تم تحرير مخالفة"),1,0)</f>
        <v/>
      </c>
      <c r="X607" s="24">
        <f>IF($B607="","",IF($S607=WkStart,COUNTIF($S$5:$S607,WkStart),""))</f>
        <v/>
      </c>
    </row>
    <row r="608">
      <c r="A608" s="16">
        <f>IF($B608="","",ROW()-4)</f>
        <v/>
      </c>
      <c r="B608" s="17" t="n"/>
      <c r="C608" s="18" t="n"/>
      <c r="D608" s="18" t="n"/>
      <c r="E608" s="19" t="n"/>
      <c r="F608" s="19" t="n"/>
      <c r="G608" s="18" t="n"/>
      <c r="H608" s="18" t="n"/>
      <c r="I608" s="18" t="n"/>
      <c r="J608" s="20" t="n"/>
      <c r="K608" s="21" t="n"/>
      <c r="L608" s="21" t="n"/>
      <c r="M608" s="18" t="n"/>
      <c r="N608" s="22">
        <f>IF($B608="","",CHOOSE(WEEKDAY($B608),"الأحد","الاثنين","الثلاثاء","الأربعاء","الخميس","الجمعة","السبت"))</f>
        <v/>
      </c>
      <c r="O608" s="23">
        <f>IF(OR($K608="",$L608=""),"",HYPERLINK("https://maps.google.com/?q="&amp;$K608&amp;","&amp;$L608,"عرض الموقع"))</f>
        <v/>
      </c>
      <c r="P608" s="23">
        <f>IF(OR($B608="",N($J608)=0),"",HYPERLINK(PhotoDir&amp;"/"&amp;YEAR($B608)&amp;"-"&amp;TEXT(MONTH($B608),"00")&amp;"-"&amp;TEXT(DAY($B608),"00")&amp;"_"&amp;$D608,"فتح الصور ("&amp;$J608&amp;")"))</f>
        <v/>
      </c>
      <c r="Q608" s="24">
        <f>IF($B608="","",MONTH($B608))</f>
        <v/>
      </c>
      <c r="R608" s="24">
        <f>IF($B608="","",YEAR($B608))</f>
        <v/>
      </c>
      <c r="S608" s="25">
        <f>IF($B608="","",$B608-WEEKDAY($B608,3))</f>
        <v/>
      </c>
      <c r="T608" s="24">
        <f>IF($B608="",0,IF(COUNTIFS($B$5:$B608,$B608,$D$5:$D608,$D608)=1,1,0))</f>
        <v/>
      </c>
      <c r="U608" s="24">
        <f>IF($B608="",0,IF(COUNTIFS($B$5:$B608,$B608,$C$5:$C608,$C608)=1,1,0))</f>
        <v/>
      </c>
      <c r="V608" s="24">
        <f>IF(OR($B608="",$G608="",$G608="لا توجد مشاهدات"),0,1)</f>
        <v/>
      </c>
      <c r="W608" s="24">
        <f>IF(AND($B608&lt;&gt;"",$I608="تم تحرير مخالفة"),1,0)</f>
        <v/>
      </c>
      <c r="X608" s="24">
        <f>IF($B608="","",IF($S608=WkStart,COUNTIF($S$5:$S608,WkStart),""))</f>
        <v/>
      </c>
    </row>
    <row r="609">
      <c r="A609" s="16">
        <f>IF($B609="","",ROW()-4)</f>
        <v/>
      </c>
      <c r="B609" s="17" t="n"/>
      <c r="C609" s="18" t="n"/>
      <c r="D609" s="18" t="n"/>
      <c r="E609" s="19" t="n"/>
      <c r="F609" s="19" t="n"/>
      <c r="G609" s="18" t="n"/>
      <c r="H609" s="18" t="n"/>
      <c r="I609" s="18" t="n"/>
      <c r="J609" s="20" t="n"/>
      <c r="K609" s="21" t="n"/>
      <c r="L609" s="21" t="n"/>
      <c r="M609" s="18" t="n"/>
      <c r="N609" s="22">
        <f>IF($B609="","",CHOOSE(WEEKDAY($B609),"الأحد","الاثنين","الثلاثاء","الأربعاء","الخميس","الجمعة","السبت"))</f>
        <v/>
      </c>
      <c r="O609" s="23">
        <f>IF(OR($K609="",$L609=""),"",HYPERLINK("https://maps.google.com/?q="&amp;$K609&amp;","&amp;$L609,"عرض الموقع"))</f>
        <v/>
      </c>
      <c r="P609" s="23">
        <f>IF(OR($B609="",N($J609)=0),"",HYPERLINK(PhotoDir&amp;"/"&amp;YEAR($B609)&amp;"-"&amp;TEXT(MONTH($B609),"00")&amp;"-"&amp;TEXT(DAY($B609),"00")&amp;"_"&amp;$D609,"فتح الصور ("&amp;$J609&amp;")"))</f>
        <v/>
      </c>
      <c r="Q609" s="24">
        <f>IF($B609="","",MONTH($B609))</f>
        <v/>
      </c>
      <c r="R609" s="24">
        <f>IF($B609="","",YEAR($B609))</f>
        <v/>
      </c>
      <c r="S609" s="25">
        <f>IF($B609="","",$B609-WEEKDAY($B609,3))</f>
        <v/>
      </c>
      <c r="T609" s="24">
        <f>IF($B609="",0,IF(COUNTIFS($B$5:$B609,$B609,$D$5:$D609,$D609)=1,1,0))</f>
        <v/>
      </c>
      <c r="U609" s="24">
        <f>IF($B609="",0,IF(COUNTIFS($B$5:$B609,$B609,$C$5:$C609,$C609)=1,1,0))</f>
        <v/>
      </c>
      <c r="V609" s="24">
        <f>IF(OR($B609="",$G609="",$G609="لا توجد مشاهدات"),0,1)</f>
        <v/>
      </c>
      <c r="W609" s="24">
        <f>IF(AND($B609&lt;&gt;"",$I609="تم تحرير مخالفة"),1,0)</f>
        <v/>
      </c>
      <c r="X609" s="24">
        <f>IF($B609="","",IF($S609=WkStart,COUNTIF($S$5:$S609,WkStart),""))</f>
        <v/>
      </c>
    </row>
    <row r="610">
      <c r="A610" s="16">
        <f>IF($B610="","",ROW()-4)</f>
        <v/>
      </c>
      <c r="B610" s="17" t="n"/>
      <c r="C610" s="18" t="n"/>
      <c r="D610" s="18" t="n"/>
      <c r="E610" s="19" t="n"/>
      <c r="F610" s="19" t="n"/>
      <c r="G610" s="18" t="n"/>
      <c r="H610" s="18" t="n"/>
      <c r="I610" s="18" t="n"/>
      <c r="J610" s="20" t="n"/>
      <c r="K610" s="21" t="n"/>
      <c r="L610" s="21" t="n"/>
      <c r="M610" s="18" t="n"/>
      <c r="N610" s="22">
        <f>IF($B610="","",CHOOSE(WEEKDAY($B610),"الأحد","الاثنين","الثلاثاء","الأربعاء","الخميس","الجمعة","السبت"))</f>
        <v/>
      </c>
      <c r="O610" s="23">
        <f>IF(OR($K610="",$L610=""),"",HYPERLINK("https://maps.google.com/?q="&amp;$K610&amp;","&amp;$L610,"عرض الموقع"))</f>
        <v/>
      </c>
      <c r="P610" s="23">
        <f>IF(OR($B610="",N($J610)=0),"",HYPERLINK(PhotoDir&amp;"/"&amp;YEAR($B610)&amp;"-"&amp;TEXT(MONTH($B610),"00")&amp;"-"&amp;TEXT(DAY($B610),"00")&amp;"_"&amp;$D610,"فتح الصور ("&amp;$J610&amp;")"))</f>
        <v/>
      </c>
      <c r="Q610" s="24">
        <f>IF($B610="","",MONTH($B610))</f>
        <v/>
      </c>
      <c r="R610" s="24">
        <f>IF($B610="","",YEAR($B610))</f>
        <v/>
      </c>
      <c r="S610" s="25">
        <f>IF($B610="","",$B610-WEEKDAY($B610,3))</f>
        <v/>
      </c>
      <c r="T610" s="24">
        <f>IF($B610="",0,IF(COUNTIFS($B$5:$B610,$B610,$D$5:$D610,$D610)=1,1,0))</f>
        <v/>
      </c>
      <c r="U610" s="24">
        <f>IF($B610="",0,IF(COUNTIFS($B$5:$B610,$B610,$C$5:$C610,$C610)=1,1,0))</f>
        <v/>
      </c>
      <c r="V610" s="24">
        <f>IF(OR($B610="",$G610="",$G610="لا توجد مشاهدات"),0,1)</f>
        <v/>
      </c>
      <c r="W610" s="24">
        <f>IF(AND($B610&lt;&gt;"",$I610="تم تحرير مخالفة"),1,0)</f>
        <v/>
      </c>
      <c r="X610" s="24">
        <f>IF($B610="","",IF($S610=WkStart,COUNTIF($S$5:$S610,WkStart),""))</f>
        <v/>
      </c>
    </row>
    <row r="611">
      <c r="A611" s="16">
        <f>IF($B611="","",ROW()-4)</f>
        <v/>
      </c>
      <c r="B611" s="17" t="n"/>
      <c r="C611" s="18" t="n"/>
      <c r="D611" s="18" t="n"/>
      <c r="E611" s="19" t="n"/>
      <c r="F611" s="19" t="n"/>
      <c r="G611" s="18" t="n"/>
      <c r="H611" s="18" t="n"/>
      <c r="I611" s="18" t="n"/>
      <c r="J611" s="20" t="n"/>
      <c r="K611" s="21" t="n"/>
      <c r="L611" s="21" t="n"/>
      <c r="M611" s="18" t="n"/>
      <c r="N611" s="22">
        <f>IF($B611="","",CHOOSE(WEEKDAY($B611),"الأحد","الاثنين","الثلاثاء","الأربعاء","الخميس","الجمعة","السبت"))</f>
        <v/>
      </c>
      <c r="O611" s="23">
        <f>IF(OR($K611="",$L611=""),"",HYPERLINK("https://maps.google.com/?q="&amp;$K611&amp;","&amp;$L611,"عرض الموقع"))</f>
        <v/>
      </c>
      <c r="P611" s="23">
        <f>IF(OR($B611="",N($J611)=0),"",HYPERLINK(PhotoDir&amp;"/"&amp;YEAR($B611)&amp;"-"&amp;TEXT(MONTH($B611),"00")&amp;"-"&amp;TEXT(DAY($B611),"00")&amp;"_"&amp;$D611,"فتح الصور ("&amp;$J611&amp;")"))</f>
        <v/>
      </c>
      <c r="Q611" s="24">
        <f>IF($B611="","",MONTH($B611))</f>
        <v/>
      </c>
      <c r="R611" s="24">
        <f>IF($B611="","",YEAR($B611))</f>
        <v/>
      </c>
      <c r="S611" s="25">
        <f>IF($B611="","",$B611-WEEKDAY($B611,3))</f>
        <v/>
      </c>
      <c r="T611" s="24">
        <f>IF($B611="",0,IF(COUNTIFS($B$5:$B611,$B611,$D$5:$D611,$D611)=1,1,0))</f>
        <v/>
      </c>
      <c r="U611" s="24">
        <f>IF($B611="",0,IF(COUNTIFS($B$5:$B611,$B611,$C$5:$C611,$C611)=1,1,0))</f>
        <v/>
      </c>
      <c r="V611" s="24">
        <f>IF(OR($B611="",$G611="",$G611="لا توجد مشاهدات"),0,1)</f>
        <v/>
      </c>
      <c r="W611" s="24">
        <f>IF(AND($B611&lt;&gt;"",$I611="تم تحرير مخالفة"),1,0)</f>
        <v/>
      </c>
      <c r="X611" s="24">
        <f>IF($B611="","",IF($S611=WkStart,COUNTIF($S$5:$S611,WkStart),""))</f>
        <v/>
      </c>
    </row>
    <row r="612">
      <c r="A612" s="16">
        <f>IF($B612="","",ROW()-4)</f>
        <v/>
      </c>
      <c r="B612" s="17" t="n"/>
      <c r="C612" s="18" t="n"/>
      <c r="D612" s="18" t="n"/>
      <c r="E612" s="19" t="n"/>
      <c r="F612" s="19" t="n"/>
      <c r="G612" s="18" t="n"/>
      <c r="H612" s="18" t="n"/>
      <c r="I612" s="18" t="n"/>
      <c r="J612" s="20" t="n"/>
      <c r="K612" s="21" t="n"/>
      <c r="L612" s="21" t="n"/>
      <c r="M612" s="18" t="n"/>
      <c r="N612" s="22">
        <f>IF($B612="","",CHOOSE(WEEKDAY($B612),"الأحد","الاثنين","الثلاثاء","الأربعاء","الخميس","الجمعة","السبت"))</f>
        <v/>
      </c>
      <c r="O612" s="23">
        <f>IF(OR($K612="",$L612=""),"",HYPERLINK("https://maps.google.com/?q="&amp;$K612&amp;","&amp;$L612,"عرض الموقع"))</f>
        <v/>
      </c>
      <c r="P612" s="23">
        <f>IF(OR($B612="",N($J612)=0),"",HYPERLINK(PhotoDir&amp;"/"&amp;YEAR($B612)&amp;"-"&amp;TEXT(MONTH($B612),"00")&amp;"-"&amp;TEXT(DAY($B612),"00")&amp;"_"&amp;$D612,"فتح الصور ("&amp;$J612&amp;")"))</f>
        <v/>
      </c>
      <c r="Q612" s="24">
        <f>IF($B612="","",MONTH($B612))</f>
        <v/>
      </c>
      <c r="R612" s="24">
        <f>IF($B612="","",YEAR($B612))</f>
        <v/>
      </c>
      <c r="S612" s="25">
        <f>IF($B612="","",$B612-WEEKDAY($B612,3))</f>
        <v/>
      </c>
      <c r="T612" s="24">
        <f>IF($B612="",0,IF(COUNTIFS($B$5:$B612,$B612,$D$5:$D612,$D612)=1,1,0))</f>
        <v/>
      </c>
      <c r="U612" s="24">
        <f>IF($B612="",0,IF(COUNTIFS($B$5:$B612,$B612,$C$5:$C612,$C612)=1,1,0))</f>
        <v/>
      </c>
      <c r="V612" s="24">
        <f>IF(OR($B612="",$G612="",$G612="لا توجد مشاهدات"),0,1)</f>
        <v/>
      </c>
      <c r="W612" s="24">
        <f>IF(AND($B612&lt;&gt;"",$I612="تم تحرير مخالفة"),1,0)</f>
        <v/>
      </c>
      <c r="X612" s="24">
        <f>IF($B612="","",IF($S612=WkStart,COUNTIF($S$5:$S612,WkStart),""))</f>
        <v/>
      </c>
    </row>
    <row r="613">
      <c r="A613" s="16">
        <f>IF($B613="","",ROW()-4)</f>
        <v/>
      </c>
      <c r="B613" s="17" t="n"/>
      <c r="C613" s="18" t="n"/>
      <c r="D613" s="18" t="n"/>
      <c r="E613" s="19" t="n"/>
      <c r="F613" s="19" t="n"/>
      <c r="G613" s="18" t="n"/>
      <c r="H613" s="18" t="n"/>
      <c r="I613" s="18" t="n"/>
      <c r="J613" s="20" t="n"/>
      <c r="K613" s="21" t="n"/>
      <c r="L613" s="21" t="n"/>
      <c r="M613" s="18" t="n"/>
      <c r="N613" s="22">
        <f>IF($B613="","",CHOOSE(WEEKDAY($B613),"الأحد","الاثنين","الثلاثاء","الأربعاء","الخميس","الجمعة","السبت"))</f>
        <v/>
      </c>
      <c r="O613" s="23">
        <f>IF(OR($K613="",$L613=""),"",HYPERLINK("https://maps.google.com/?q="&amp;$K613&amp;","&amp;$L613,"عرض الموقع"))</f>
        <v/>
      </c>
      <c r="P613" s="23">
        <f>IF(OR($B613="",N($J613)=0),"",HYPERLINK(PhotoDir&amp;"/"&amp;YEAR($B613)&amp;"-"&amp;TEXT(MONTH($B613),"00")&amp;"-"&amp;TEXT(DAY($B613),"00")&amp;"_"&amp;$D613,"فتح الصور ("&amp;$J613&amp;")"))</f>
        <v/>
      </c>
      <c r="Q613" s="24">
        <f>IF($B613="","",MONTH($B613))</f>
        <v/>
      </c>
      <c r="R613" s="24">
        <f>IF($B613="","",YEAR($B613))</f>
        <v/>
      </c>
      <c r="S613" s="25">
        <f>IF($B613="","",$B613-WEEKDAY($B613,3))</f>
        <v/>
      </c>
      <c r="T613" s="24">
        <f>IF($B613="",0,IF(COUNTIFS($B$5:$B613,$B613,$D$5:$D613,$D613)=1,1,0))</f>
        <v/>
      </c>
      <c r="U613" s="24">
        <f>IF($B613="",0,IF(COUNTIFS($B$5:$B613,$B613,$C$5:$C613,$C613)=1,1,0))</f>
        <v/>
      </c>
      <c r="V613" s="24">
        <f>IF(OR($B613="",$G613="",$G613="لا توجد مشاهدات"),0,1)</f>
        <v/>
      </c>
      <c r="W613" s="24">
        <f>IF(AND($B613&lt;&gt;"",$I613="تم تحرير مخالفة"),1,0)</f>
        <v/>
      </c>
      <c r="X613" s="24">
        <f>IF($B613="","",IF($S613=WkStart,COUNTIF($S$5:$S613,WkStart),""))</f>
        <v/>
      </c>
    </row>
    <row r="614">
      <c r="A614" s="16">
        <f>IF($B614="","",ROW()-4)</f>
        <v/>
      </c>
      <c r="B614" s="17" t="n"/>
      <c r="C614" s="18" t="n"/>
      <c r="D614" s="18" t="n"/>
      <c r="E614" s="19" t="n"/>
      <c r="F614" s="19" t="n"/>
      <c r="G614" s="18" t="n"/>
      <c r="H614" s="18" t="n"/>
      <c r="I614" s="18" t="n"/>
      <c r="J614" s="20" t="n"/>
      <c r="K614" s="21" t="n"/>
      <c r="L614" s="21" t="n"/>
      <c r="M614" s="18" t="n"/>
      <c r="N614" s="22">
        <f>IF($B614="","",CHOOSE(WEEKDAY($B614),"الأحد","الاثنين","الثلاثاء","الأربعاء","الخميس","الجمعة","السبت"))</f>
        <v/>
      </c>
      <c r="O614" s="23">
        <f>IF(OR($K614="",$L614=""),"",HYPERLINK("https://maps.google.com/?q="&amp;$K614&amp;","&amp;$L614,"عرض الموقع"))</f>
        <v/>
      </c>
      <c r="P614" s="23">
        <f>IF(OR($B614="",N($J614)=0),"",HYPERLINK(PhotoDir&amp;"/"&amp;YEAR($B614)&amp;"-"&amp;TEXT(MONTH($B614),"00")&amp;"-"&amp;TEXT(DAY($B614),"00")&amp;"_"&amp;$D614,"فتح الصور ("&amp;$J614&amp;")"))</f>
        <v/>
      </c>
      <c r="Q614" s="24">
        <f>IF($B614="","",MONTH($B614))</f>
        <v/>
      </c>
      <c r="R614" s="24">
        <f>IF($B614="","",YEAR($B614))</f>
        <v/>
      </c>
      <c r="S614" s="25">
        <f>IF($B614="","",$B614-WEEKDAY($B614,3))</f>
        <v/>
      </c>
      <c r="T614" s="24">
        <f>IF($B614="",0,IF(COUNTIFS($B$5:$B614,$B614,$D$5:$D614,$D614)=1,1,0))</f>
        <v/>
      </c>
      <c r="U614" s="24">
        <f>IF($B614="",0,IF(COUNTIFS($B$5:$B614,$B614,$C$5:$C614,$C614)=1,1,0))</f>
        <v/>
      </c>
      <c r="V614" s="24">
        <f>IF(OR($B614="",$G614="",$G614="لا توجد مشاهدات"),0,1)</f>
        <v/>
      </c>
      <c r="W614" s="24">
        <f>IF(AND($B614&lt;&gt;"",$I614="تم تحرير مخالفة"),1,0)</f>
        <v/>
      </c>
      <c r="X614" s="24">
        <f>IF($B614="","",IF($S614=WkStart,COUNTIF($S$5:$S614,WkStart),""))</f>
        <v/>
      </c>
    </row>
    <row r="615">
      <c r="A615" s="16">
        <f>IF($B615="","",ROW()-4)</f>
        <v/>
      </c>
      <c r="B615" s="17" t="n"/>
      <c r="C615" s="18" t="n"/>
      <c r="D615" s="18" t="n"/>
      <c r="E615" s="19" t="n"/>
      <c r="F615" s="19" t="n"/>
      <c r="G615" s="18" t="n"/>
      <c r="H615" s="18" t="n"/>
      <c r="I615" s="18" t="n"/>
      <c r="J615" s="20" t="n"/>
      <c r="K615" s="21" t="n"/>
      <c r="L615" s="21" t="n"/>
      <c r="M615" s="18" t="n"/>
      <c r="N615" s="22">
        <f>IF($B615="","",CHOOSE(WEEKDAY($B615),"الأحد","الاثنين","الثلاثاء","الأربعاء","الخميس","الجمعة","السبت"))</f>
        <v/>
      </c>
      <c r="O615" s="23">
        <f>IF(OR($K615="",$L615=""),"",HYPERLINK("https://maps.google.com/?q="&amp;$K615&amp;","&amp;$L615,"عرض الموقع"))</f>
        <v/>
      </c>
      <c r="P615" s="23">
        <f>IF(OR($B615="",N($J615)=0),"",HYPERLINK(PhotoDir&amp;"/"&amp;YEAR($B615)&amp;"-"&amp;TEXT(MONTH($B615),"00")&amp;"-"&amp;TEXT(DAY($B615),"00")&amp;"_"&amp;$D615,"فتح الصور ("&amp;$J615&amp;")"))</f>
        <v/>
      </c>
      <c r="Q615" s="24">
        <f>IF($B615="","",MONTH($B615))</f>
        <v/>
      </c>
      <c r="R615" s="24">
        <f>IF($B615="","",YEAR($B615))</f>
        <v/>
      </c>
      <c r="S615" s="25">
        <f>IF($B615="","",$B615-WEEKDAY($B615,3))</f>
        <v/>
      </c>
      <c r="T615" s="24">
        <f>IF($B615="",0,IF(COUNTIFS($B$5:$B615,$B615,$D$5:$D615,$D615)=1,1,0))</f>
        <v/>
      </c>
      <c r="U615" s="24">
        <f>IF($B615="",0,IF(COUNTIFS($B$5:$B615,$B615,$C$5:$C615,$C615)=1,1,0))</f>
        <v/>
      </c>
      <c r="V615" s="24">
        <f>IF(OR($B615="",$G615="",$G615="لا توجد مشاهدات"),0,1)</f>
        <v/>
      </c>
      <c r="W615" s="24">
        <f>IF(AND($B615&lt;&gt;"",$I615="تم تحرير مخالفة"),1,0)</f>
        <v/>
      </c>
      <c r="X615" s="24">
        <f>IF($B615="","",IF($S615=WkStart,COUNTIF($S$5:$S615,WkStart),""))</f>
        <v/>
      </c>
    </row>
    <row r="616">
      <c r="A616" s="16">
        <f>IF($B616="","",ROW()-4)</f>
        <v/>
      </c>
      <c r="B616" s="17" t="n"/>
      <c r="C616" s="18" t="n"/>
      <c r="D616" s="18" t="n"/>
      <c r="E616" s="19" t="n"/>
      <c r="F616" s="19" t="n"/>
      <c r="G616" s="18" t="n"/>
      <c r="H616" s="18" t="n"/>
      <c r="I616" s="18" t="n"/>
      <c r="J616" s="20" t="n"/>
      <c r="K616" s="21" t="n"/>
      <c r="L616" s="21" t="n"/>
      <c r="M616" s="18" t="n"/>
      <c r="N616" s="22">
        <f>IF($B616="","",CHOOSE(WEEKDAY($B616),"الأحد","الاثنين","الثلاثاء","الأربعاء","الخميس","الجمعة","السبت"))</f>
        <v/>
      </c>
      <c r="O616" s="23">
        <f>IF(OR($K616="",$L616=""),"",HYPERLINK("https://maps.google.com/?q="&amp;$K616&amp;","&amp;$L616,"عرض الموقع"))</f>
        <v/>
      </c>
      <c r="P616" s="23">
        <f>IF(OR($B616="",N($J616)=0),"",HYPERLINK(PhotoDir&amp;"/"&amp;YEAR($B616)&amp;"-"&amp;TEXT(MONTH($B616),"00")&amp;"-"&amp;TEXT(DAY($B616),"00")&amp;"_"&amp;$D616,"فتح الصور ("&amp;$J616&amp;")"))</f>
        <v/>
      </c>
      <c r="Q616" s="24">
        <f>IF($B616="","",MONTH($B616))</f>
        <v/>
      </c>
      <c r="R616" s="24">
        <f>IF($B616="","",YEAR($B616))</f>
        <v/>
      </c>
      <c r="S616" s="25">
        <f>IF($B616="","",$B616-WEEKDAY($B616,3))</f>
        <v/>
      </c>
      <c r="T616" s="24">
        <f>IF($B616="",0,IF(COUNTIFS($B$5:$B616,$B616,$D$5:$D616,$D616)=1,1,0))</f>
        <v/>
      </c>
      <c r="U616" s="24">
        <f>IF($B616="",0,IF(COUNTIFS($B$5:$B616,$B616,$C$5:$C616,$C616)=1,1,0))</f>
        <v/>
      </c>
      <c r="V616" s="24">
        <f>IF(OR($B616="",$G616="",$G616="لا توجد مشاهدات"),0,1)</f>
        <v/>
      </c>
      <c r="W616" s="24">
        <f>IF(AND($B616&lt;&gt;"",$I616="تم تحرير مخالفة"),1,0)</f>
        <v/>
      </c>
      <c r="X616" s="24">
        <f>IF($B616="","",IF($S616=WkStart,COUNTIF($S$5:$S616,WkStart),""))</f>
        <v/>
      </c>
    </row>
    <row r="617">
      <c r="A617" s="16">
        <f>IF($B617="","",ROW()-4)</f>
        <v/>
      </c>
      <c r="B617" s="17" t="n"/>
      <c r="C617" s="18" t="n"/>
      <c r="D617" s="18" t="n"/>
      <c r="E617" s="19" t="n"/>
      <c r="F617" s="19" t="n"/>
      <c r="G617" s="18" t="n"/>
      <c r="H617" s="18" t="n"/>
      <c r="I617" s="18" t="n"/>
      <c r="J617" s="20" t="n"/>
      <c r="K617" s="21" t="n"/>
      <c r="L617" s="21" t="n"/>
      <c r="M617" s="18" t="n"/>
      <c r="N617" s="22">
        <f>IF($B617="","",CHOOSE(WEEKDAY($B617),"الأحد","الاثنين","الثلاثاء","الأربعاء","الخميس","الجمعة","السبت"))</f>
        <v/>
      </c>
      <c r="O617" s="23">
        <f>IF(OR($K617="",$L617=""),"",HYPERLINK("https://maps.google.com/?q="&amp;$K617&amp;","&amp;$L617,"عرض الموقع"))</f>
        <v/>
      </c>
      <c r="P617" s="23">
        <f>IF(OR($B617="",N($J617)=0),"",HYPERLINK(PhotoDir&amp;"/"&amp;YEAR($B617)&amp;"-"&amp;TEXT(MONTH($B617),"00")&amp;"-"&amp;TEXT(DAY($B617),"00")&amp;"_"&amp;$D617,"فتح الصور ("&amp;$J617&amp;")"))</f>
        <v/>
      </c>
      <c r="Q617" s="24">
        <f>IF($B617="","",MONTH($B617))</f>
        <v/>
      </c>
      <c r="R617" s="24">
        <f>IF($B617="","",YEAR($B617))</f>
        <v/>
      </c>
      <c r="S617" s="25">
        <f>IF($B617="","",$B617-WEEKDAY($B617,3))</f>
        <v/>
      </c>
      <c r="T617" s="24">
        <f>IF($B617="",0,IF(COUNTIFS($B$5:$B617,$B617,$D$5:$D617,$D617)=1,1,0))</f>
        <v/>
      </c>
      <c r="U617" s="24">
        <f>IF($B617="",0,IF(COUNTIFS($B$5:$B617,$B617,$C$5:$C617,$C617)=1,1,0))</f>
        <v/>
      </c>
      <c r="V617" s="24">
        <f>IF(OR($B617="",$G617="",$G617="لا توجد مشاهدات"),0,1)</f>
        <v/>
      </c>
      <c r="W617" s="24">
        <f>IF(AND($B617&lt;&gt;"",$I617="تم تحرير مخالفة"),1,0)</f>
        <v/>
      </c>
      <c r="X617" s="24">
        <f>IF($B617="","",IF($S617=WkStart,COUNTIF($S$5:$S617,WkStart),""))</f>
        <v/>
      </c>
    </row>
    <row r="618">
      <c r="A618" s="16">
        <f>IF($B618="","",ROW()-4)</f>
        <v/>
      </c>
      <c r="B618" s="17" t="n"/>
      <c r="C618" s="18" t="n"/>
      <c r="D618" s="18" t="n"/>
      <c r="E618" s="19" t="n"/>
      <c r="F618" s="19" t="n"/>
      <c r="G618" s="18" t="n"/>
      <c r="H618" s="18" t="n"/>
      <c r="I618" s="18" t="n"/>
      <c r="J618" s="20" t="n"/>
      <c r="K618" s="21" t="n"/>
      <c r="L618" s="21" t="n"/>
      <c r="M618" s="18" t="n"/>
      <c r="N618" s="22">
        <f>IF($B618="","",CHOOSE(WEEKDAY($B618),"الأحد","الاثنين","الثلاثاء","الأربعاء","الخميس","الجمعة","السبت"))</f>
        <v/>
      </c>
      <c r="O618" s="23">
        <f>IF(OR($K618="",$L618=""),"",HYPERLINK("https://maps.google.com/?q="&amp;$K618&amp;","&amp;$L618,"عرض الموقع"))</f>
        <v/>
      </c>
      <c r="P618" s="23">
        <f>IF(OR($B618="",N($J618)=0),"",HYPERLINK(PhotoDir&amp;"/"&amp;YEAR($B618)&amp;"-"&amp;TEXT(MONTH($B618),"00")&amp;"-"&amp;TEXT(DAY($B618),"00")&amp;"_"&amp;$D618,"فتح الصور ("&amp;$J618&amp;")"))</f>
        <v/>
      </c>
      <c r="Q618" s="24">
        <f>IF($B618="","",MONTH($B618))</f>
        <v/>
      </c>
      <c r="R618" s="24">
        <f>IF($B618="","",YEAR($B618))</f>
        <v/>
      </c>
      <c r="S618" s="25">
        <f>IF($B618="","",$B618-WEEKDAY($B618,3))</f>
        <v/>
      </c>
      <c r="T618" s="24">
        <f>IF($B618="",0,IF(COUNTIFS($B$5:$B618,$B618,$D$5:$D618,$D618)=1,1,0))</f>
        <v/>
      </c>
      <c r="U618" s="24">
        <f>IF($B618="",0,IF(COUNTIFS($B$5:$B618,$B618,$C$5:$C618,$C618)=1,1,0))</f>
        <v/>
      </c>
      <c r="V618" s="24">
        <f>IF(OR($B618="",$G618="",$G618="لا توجد مشاهدات"),0,1)</f>
        <v/>
      </c>
      <c r="W618" s="24">
        <f>IF(AND($B618&lt;&gt;"",$I618="تم تحرير مخالفة"),1,0)</f>
        <v/>
      </c>
      <c r="X618" s="24">
        <f>IF($B618="","",IF($S618=WkStart,COUNTIF($S$5:$S618,WkStart),""))</f>
        <v/>
      </c>
    </row>
    <row r="619">
      <c r="A619" s="16">
        <f>IF($B619="","",ROW()-4)</f>
        <v/>
      </c>
      <c r="B619" s="17" t="n"/>
      <c r="C619" s="18" t="n"/>
      <c r="D619" s="18" t="n"/>
      <c r="E619" s="19" t="n"/>
      <c r="F619" s="19" t="n"/>
      <c r="G619" s="18" t="n"/>
      <c r="H619" s="18" t="n"/>
      <c r="I619" s="18" t="n"/>
      <c r="J619" s="20" t="n"/>
      <c r="K619" s="21" t="n"/>
      <c r="L619" s="21" t="n"/>
      <c r="M619" s="18" t="n"/>
      <c r="N619" s="22">
        <f>IF($B619="","",CHOOSE(WEEKDAY($B619),"الأحد","الاثنين","الثلاثاء","الأربعاء","الخميس","الجمعة","السبت"))</f>
        <v/>
      </c>
      <c r="O619" s="23">
        <f>IF(OR($K619="",$L619=""),"",HYPERLINK("https://maps.google.com/?q="&amp;$K619&amp;","&amp;$L619,"عرض الموقع"))</f>
        <v/>
      </c>
      <c r="P619" s="23">
        <f>IF(OR($B619="",N($J619)=0),"",HYPERLINK(PhotoDir&amp;"/"&amp;YEAR($B619)&amp;"-"&amp;TEXT(MONTH($B619),"00")&amp;"-"&amp;TEXT(DAY($B619),"00")&amp;"_"&amp;$D619,"فتح الصور ("&amp;$J619&amp;")"))</f>
        <v/>
      </c>
      <c r="Q619" s="24">
        <f>IF($B619="","",MONTH($B619))</f>
        <v/>
      </c>
      <c r="R619" s="24">
        <f>IF($B619="","",YEAR($B619))</f>
        <v/>
      </c>
      <c r="S619" s="25">
        <f>IF($B619="","",$B619-WEEKDAY($B619,3))</f>
        <v/>
      </c>
      <c r="T619" s="24">
        <f>IF($B619="",0,IF(COUNTIFS($B$5:$B619,$B619,$D$5:$D619,$D619)=1,1,0))</f>
        <v/>
      </c>
      <c r="U619" s="24">
        <f>IF($B619="",0,IF(COUNTIFS($B$5:$B619,$B619,$C$5:$C619,$C619)=1,1,0))</f>
        <v/>
      </c>
      <c r="V619" s="24">
        <f>IF(OR($B619="",$G619="",$G619="لا توجد مشاهدات"),0,1)</f>
        <v/>
      </c>
      <c r="W619" s="24">
        <f>IF(AND($B619&lt;&gt;"",$I619="تم تحرير مخالفة"),1,0)</f>
        <v/>
      </c>
      <c r="X619" s="24">
        <f>IF($B619="","",IF($S619=WkStart,COUNTIF($S$5:$S619,WkStart),""))</f>
        <v/>
      </c>
    </row>
    <row r="620">
      <c r="A620" s="16">
        <f>IF($B620="","",ROW()-4)</f>
        <v/>
      </c>
      <c r="B620" s="17" t="n"/>
      <c r="C620" s="18" t="n"/>
      <c r="D620" s="18" t="n"/>
      <c r="E620" s="19" t="n"/>
      <c r="F620" s="19" t="n"/>
      <c r="G620" s="18" t="n"/>
      <c r="H620" s="18" t="n"/>
      <c r="I620" s="18" t="n"/>
      <c r="J620" s="20" t="n"/>
      <c r="K620" s="21" t="n"/>
      <c r="L620" s="21" t="n"/>
      <c r="M620" s="18" t="n"/>
      <c r="N620" s="22">
        <f>IF($B620="","",CHOOSE(WEEKDAY($B620),"الأحد","الاثنين","الثلاثاء","الأربعاء","الخميس","الجمعة","السبت"))</f>
        <v/>
      </c>
      <c r="O620" s="23">
        <f>IF(OR($K620="",$L620=""),"",HYPERLINK("https://maps.google.com/?q="&amp;$K620&amp;","&amp;$L620,"عرض الموقع"))</f>
        <v/>
      </c>
      <c r="P620" s="23">
        <f>IF(OR($B620="",N($J620)=0),"",HYPERLINK(PhotoDir&amp;"/"&amp;YEAR($B620)&amp;"-"&amp;TEXT(MONTH($B620),"00")&amp;"-"&amp;TEXT(DAY($B620),"00")&amp;"_"&amp;$D620,"فتح الصور ("&amp;$J620&amp;")"))</f>
        <v/>
      </c>
      <c r="Q620" s="24">
        <f>IF($B620="","",MONTH($B620))</f>
        <v/>
      </c>
      <c r="R620" s="24">
        <f>IF($B620="","",YEAR($B620))</f>
        <v/>
      </c>
      <c r="S620" s="25">
        <f>IF($B620="","",$B620-WEEKDAY($B620,3))</f>
        <v/>
      </c>
      <c r="T620" s="24">
        <f>IF($B620="",0,IF(COUNTIFS($B$5:$B620,$B620,$D$5:$D620,$D620)=1,1,0))</f>
        <v/>
      </c>
      <c r="U620" s="24">
        <f>IF($B620="",0,IF(COUNTIFS($B$5:$B620,$B620,$C$5:$C620,$C620)=1,1,0))</f>
        <v/>
      </c>
      <c r="V620" s="24">
        <f>IF(OR($B620="",$G620="",$G620="لا توجد مشاهدات"),0,1)</f>
        <v/>
      </c>
      <c r="W620" s="24">
        <f>IF(AND($B620&lt;&gt;"",$I620="تم تحرير مخالفة"),1,0)</f>
        <v/>
      </c>
      <c r="X620" s="24">
        <f>IF($B620="","",IF($S620=WkStart,COUNTIF($S$5:$S620,WkStart),""))</f>
        <v/>
      </c>
    </row>
    <row r="621">
      <c r="A621" s="16">
        <f>IF($B621="","",ROW()-4)</f>
        <v/>
      </c>
      <c r="B621" s="17" t="n"/>
      <c r="C621" s="18" t="n"/>
      <c r="D621" s="18" t="n"/>
      <c r="E621" s="19" t="n"/>
      <c r="F621" s="19" t="n"/>
      <c r="G621" s="18" t="n"/>
      <c r="H621" s="18" t="n"/>
      <c r="I621" s="18" t="n"/>
      <c r="J621" s="20" t="n"/>
      <c r="K621" s="21" t="n"/>
      <c r="L621" s="21" t="n"/>
      <c r="M621" s="18" t="n"/>
      <c r="N621" s="22">
        <f>IF($B621="","",CHOOSE(WEEKDAY($B621),"الأحد","الاثنين","الثلاثاء","الأربعاء","الخميس","الجمعة","السبت"))</f>
        <v/>
      </c>
      <c r="O621" s="23">
        <f>IF(OR($K621="",$L621=""),"",HYPERLINK("https://maps.google.com/?q="&amp;$K621&amp;","&amp;$L621,"عرض الموقع"))</f>
        <v/>
      </c>
      <c r="P621" s="23">
        <f>IF(OR($B621="",N($J621)=0),"",HYPERLINK(PhotoDir&amp;"/"&amp;YEAR($B621)&amp;"-"&amp;TEXT(MONTH($B621),"00")&amp;"-"&amp;TEXT(DAY($B621),"00")&amp;"_"&amp;$D621,"فتح الصور ("&amp;$J621&amp;")"))</f>
        <v/>
      </c>
      <c r="Q621" s="24">
        <f>IF($B621="","",MONTH($B621))</f>
        <v/>
      </c>
      <c r="R621" s="24">
        <f>IF($B621="","",YEAR($B621))</f>
        <v/>
      </c>
      <c r="S621" s="25">
        <f>IF($B621="","",$B621-WEEKDAY($B621,3))</f>
        <v/>
      </c>
      <c r="T621" s="24">
        <f>IF($B621="",0,IF(COUNTIFS($B$5:$B621,$B621,$D$5:$D621,$D621)=1,1,0))</f>
        <v/>
      </c>
      <c r="U621" s="24">
        <f>IF($B621="",0,IF(COUNTIFS($B$5:$B621,$B621,$C$5:$C621,$C621)=1,1,0))</f>
        <v/>
      </c>
      <c r="V621" s="24">
        <f>IF(OR($B621="",$G621="",$G621="لا توجد مشاهدات"),0,1)</f>
        <v/>
      </c>
      <c r="W621" s="24">
        <f>IF(AND($B621&lt;&gt;"",$I621="تم تحرير مخالفة"),1,0)</f>
        <v/>
      </c>
      <c r="X621" s="24">
        <f>IF($B621="","",IF($S621=WkStart,COUNTIF($S$5:$S621,WkStart),""))</f>
        <v/>
      </c>
    </row>
    <row r="622">
      <c r="A622" s="16">
        <f>IF($B622="","",ROW()-4)</f>
        <v/>
      </c>
      <c r="B622" s="17" t="n"/>
      <c r="C622" s="18" t="n"/>
      <c r="D622" s="18" t="n"/>
      <c r="E622" s="19" t="n"/>
      <c r="F622" s="19" t="n"/>
      <c r="G622" s="18" t="n"/>
      <c r="H622" s="18" t="n"/>
      <c r="I622" s="18" t="n"/>
      <c r="J622" s="20" t="n"/>
      <c r="K622" s="21" t="n"/>
      <c r="L622" s="21" t="n"/>
      <c r="M622" s="18" t="n"/>
      <c r="N622" s="22">
        <f>IF($B622="","",CHOOSE(WEEKDAY($B622),"الأحد","الاثنين","الثلاثاء","الأربعاء","الخميس","الجمعة","السبت"))</f>
        <v/>
      </c>
      <c r="O622" s="23">
        <f>IF(OR($K622="",$L622=""),"",HYPERLINK("https://maps.google.com/?q="&amp;$K622&amp;","&amp;$L622,"عرض الموقع"))</f>
        <v/>
      </c>
      <c r="P622" s="23">
        <f>IF(OR($B622="",N($J622)=0),"",HYPERLINK(PhotoDir&amp;"/"&amp;YEAR($B622)&amp;"-"&amp;TEXT(MONTH($B622),"00")&amp;"-"&amp;TEXT(DAY($B622),"00")&amp;"_"&amp;$D622,"فتح الصور ("&amp;$J622&amp;")"))</f>
        <v/>
      </c>
      <c r="Q622" s="24">
        <f>IF($B622="","",MONTH($B622))</f>
        <v/>
      </c>
      <c r="R622" s="24">
        <f>IF($B622="","",YEAR($B622))</f>
        <v/>
      </c>
      <c r="S622" s="25">
        <f>IF($B622="","",$B622-WEEKDAY($B622,3))</f>
        <v/>
      </c>
      <c r="T622" s="24">
        <f>IF($B622="",0,IF(COUNTIFS($B$5:$B622,$B622,$D$5:$D622,$D622)=1,1,0))</f>
        <v/>
      </c>
      <c r="U622" s="24">
        <f>IF($B622="",0,IF(COUNTIFS($B$5:$B622,$B622,$C$5:$C622,$C622)=1,1,0))</f>
        <v/>
      </c>
      <c r="V622" s="24">
        <f>IF(OR($B622="",$G622="",$G622="لا توجد مشاهدات"),0,1)</f>
        <v/>
      </c>
      <c r="W622" s="24">
        <f>IF(AND($B622&lt;&gt;"",$I622="تم تحرير مخالفة"),1,0)</f>
        <v/>
      </c>
      <c r="X622" s="24">
        <f>IF($B622="","",IF($S622=WkStart,COUNTIF($S$5:$S622,WkStart),""))</f>
        <v/>
      </c>
    </row>
    <row r="623">
      <c r="A623" s="16">
        <f>IF($B623="","",ROW()-4)</f>
        <v/>
      </c>
      <c r="B623" s="17" t="n"/>
      <c r="C623" s="18" t="n"/>
      <c r="D623" s="18" t="n"/>
      <c r="E623" s="19" t="n"/>
      <c r="F623" s="19" t="n"/>
      <c r="G623" s="18" t="n"/>
      <c r="H623" s="18" t="n"/>
      <c r="I623" s="18" t="n"/>
      <c r="J623" s="20" t="n"/>
      <c r="K623" s="21" t="n"/>
      <c r="L623" s="21" t="n"/>
      <c r="M623" s="18" t="n"/>
      <c r="N623" s="22">
        <f>IF($B623="","",CHOOSE(WEEKDAY($B623),"الأحد","الاثنين","الثلاثاء","الأربعاء","الخميس","الجمعة","السبت"))</f>
        <v/>
      </c>
      <c r="O623" s="23">
        <f>IF(OR($K623="",$L623=""),"",HYPERLINK("https://maps.google.com/?q="&amp;$K623&amp;","&amp;$L623,"عرض الموقع"))</f>
        <v/>
      </c>
      <c r="P623" s="23">
        <f>IF(OR($B623="",N($J623)=0),"",HYPERLINK(PhotoDir&amp;"/"&amp;YEAR($B623)&amp;"-"&amp;TEXT(MONTH($B623),"00")&amp;"-"&amp;TEXT(DAY($B623),"00")&amp;"_"&amp;$D623,"فتح الصور ("&amp;$J623&amp;")"))</f>
        <v/>
      </c>
      <c r="Q623" s="24">
        <f>IF($B623="","",MONTH($B623))</f>
        <v/>
      </c>
      <c r="R623" s="24">
        <f>IF($B623="","",YEAR($B623))</f>
        <v/>
      </c>
      <c r="S623" s="25">
        <f>IF($B623="","",$B623-WEEKDAY($B623,3))</f>
        <v/>
      </c>
      <c r="T623" s="24">
        <f>IF($B623="",0,IF(COUNTIFS($B$5:$B623,$B623,$D$5:$D623,$D623)=1,1,0))</f>
        <v/>
      </c>
      <c r="U623" s="24">
        <f>IF($B623="",0,IF(COUNTIFS($B$5:$B623,$B623,$C$5:$C623,$C623)=1,1,0))</f>
        <v/>
      </c>
      <c r="V623" s="24">
        <f>IF(OR($B623="",$G623="",$G623="لا توجد مشاهدات"),0,1)</f>
        <v/>
      </c>
      <c r="W623" s="24">
        <f>IF(AND($B623&lt;&gt;"",$I623="تم تحرير مخالفة"),1,0)</f>
        <v/>
      </c>
      <c r="X623" s="24">
        <f>IF($B623="","",IF($S623=WkStart,COUNTIF($S$5:$S623,WkStart),""))</f>
        <v/>
      </c>
    </row>
    <row r="624">
      <c r="A624" s="16">
        <f>IF($B624="","",ROW()-4)</f>
        <v/>
      </c>
      <c r="B624" s="17" t="n"/>
      <c r="C624" s="18" t="n"/>
      <c r="D624" s="18" t="n"/>
      <c r="E624" s="19" t="n"/>
      <c r="F624" s="19" t="n"/>
      <c r="G624" s="18" t="n"/>
      <c r="H624" s="18" t="n"/>
      <c r="I624" s="18" t="n"/>
      <c r="J624" s="20" t="n"/>
      <c r="K624" s="21" t="n"/>
      <c r="L624" s="21" t="n"/>
      <c r="M624" s="18" t="n"/>
      <c r="N624" s="22">
        <f>IF($B624="","",CHOOSE(WEEKDAY($B624),"الأحد","الاثنين","الثلاثاء","الأربعاء","الخميس","الجمعة","السبت"))</f>
        <v/>
      </c>
      <c r="O624" s="23">
        <f>IF(OR($K624="",$L624=""),"",HYPERLINK("https://maps.google.com/?q="&amp;$K624&amp;","&amp;$L624,"عرض الموقع"))</f>
        <v/>
      </c>
      <c r="P624" s="23">
        <f>IF(OR($B624="",N($J624)=0),"",HYPERLINK(PhotoDir&amp;"/"&amp;YEAR($B624)&amp;"-"&amp;TEXT(MONTH($B624),"00")&amp;"-"&amp;TEXT(DAY($B624),"00")&amp;"_"&amp;$D624,"فتح الصور ("&amp;$J624&amp;")"))</f>
        <v/>
      </c>
      <c r="Q624" s="24">
        <f>IF($B624="","",MONTH($B624))</f>
        <v/>
      </c>
      <c r="R624" s="24">
        <f>IF($B624="","",YEAR($B624))</f>
        <v/>
      </c>
      <c r="S624" s="25">
        <f>IF($B624="","",$B624-WEEKDAY($B624,3))</f>
        <v/>
      </c>
      <c r="T624" s="24">
        <f>IF($B624="",0,IF(COUNTIFS($B$5:$B624,$B624,$D$5:$D624,$D624)=1,1,0))</f>
        <v/>
      </c>
      <c r="U624" s="24">
        <f>IF($B624="",0,IF(COUNTIFS($B$5:$B624,$B624,$C$5:$C624,$C624)=1,1,0))</f>
        <v/>
      </c>
      <c r="V624" s="24">
        <f>IF(OR($B624="",$G624="",$G624="لا توجد مشاهدات"),0,1)</f>
        <v/>
      </c>
      <c r="W624" s="24">
        <f>IF(AND($B624&lt;&gt;"",$I624="تم تحرير مخالفة"),1,0)</f>
        <v/>
      </c>
      <c r="X624" s="24">
        <f>IF($B624="","",IF($S624=WkStart,COUNTIF($S$5:$S624,WkStart),""))</f>
        <v/>
      </c>
    </row>
    <row r="625">
      <c r="A625" s="16">
        <f>IF($B625="","",ROW()-4)</f>
        <v/>
      </c>
      <c r="B625" s="17" t="n"/>
      <c r="C625" s="18" t="n"/>
      <c r="D625" s="18" t="n"/>
      <c r="E625" s="19" t="n"/>
      <c r="F625" s="19" t="n"/>
      <c r="G625" s="18" t="n"/>
      <c r="H625" s="18" t="n"/>
      <c r="I625" s="18" t="n"/>
      <c r="J625" s="20" t="n"/>
      <c r="K625" s="21" t="n"/>
      <c r="L625" s="21" t="n"/>
      <c r="M625" s="18" t="n"/>
      <c r="N625" s="22">
        <f>IF($B625="","",CHOOSE(WEEKDAY($B625),"الأحد","الاثنين","الثلاثاء","الأربعاء","الخميس","الجمعة","السبت"))</f>
        <v/>
      </c>
      <c r="O625" s="23">
        <f>IF(OR($K625="",$L625=""),"",HYPERLINK("https://maps.google.com/?q="&amp;$K625&amp;","&amp;$L625,"عرض الموقع"))</f>
        <v/>
      </c>
      <c r="P625" s="23">
        <f>IF(OR($B625="",N($J625)=0),"",HYPERLINK(PhotoDir&amp;"/"&amp;YEAR($B625)&amp;"-"&amp;TEXT(MONTH($B625),"00")&amp;"-"&amp;TEXT(DAY($B625),"00")&amp;"_"&amp;$D625,"فتح الصور ("&amp;$J625&amp;")"))</f>
        <v/>
      </c>
      <c r="Q625" s="24">
        <f>IF($B625="","",MONTH($B625))</f>
        <v/>
      </c>
      <c r="R625" s="24">
        <f>IF($B625="","",YEAR($B625))</f>
        <v/>
      </c>
      <c r="S625" s="25">
        <f>IF($B625="","",$B625-WEEKDAY($B625,3))</f>
        <v/>
      </c>
      <c r="T625" s="24">
        <f>IF($B625="",0,IF(COUNTIFS($B$5:$B625,$B625,$D$5:$D625,$D625)=1,1,0))</f>
        <v/>
      </c>
      <c r="U625" s="24">
        <f>IF($B625="",0,IF(COUNTIFS($B$5:$B625,$B625,$C$5:$C625,$C625)=1,1,0))</f>
        <v/>
      </c>
      <c r="V625" s="24">
        <f>IF(OR($B625="",$G625="",$G625="لا توجد مشاهدات"),0,1)</f>
        <v/>
      </c>
      <c r="W625" s="24">
        <f>IF(AND($B625&lt;&gt;"",$I625="تم تحرير مخالفة"),1,0)</f>
        <v/>
      </c>
      <c r="X625" s="24">
        <f>IF($B625="","",IF($S625=WkStart,COUNTIF($S$5:$S625,WkStart),""))</f>
        <v/>
      </c>
    </row>
    <row r="626">
      <c r="A626" s="16">
        <f>IF($B626="","",ROW()-4)</f>
        <v/>
      </c>
      <c r="B626" s="17" t="n"/>
      <c r="C626" s="18" t="n"/>
      <c r="D626" s="18" t="n"/>
      <c r="E626" s="19" t="n"/>
      <c r="F626" s="19" t="n"/>
      <c r="G626" s="18" t="n"/>
      <c r="H626" s="18" t="n"/>
      <c r="I626" s="18" t="n"/>
      <c r="J626" s="20" t="n"/>
      <c r="K626" s="21" t="n"/>
      <c r="L626" s="21" t="n"/>
      <c r="M626" s="18" t="n"/>
      <c r="N626" s="22">
        <f>IF($B626="","",CHOOSE(WEEKDAY($B626),"الأحد","الاثنين","الثلاثاء","الأربعاء","الخميس","الجمعة","السبت"))</f>
        <v/>
      </c>
      <c r="O626" s="23">
        <f>IF(OR($K626="",$L626=""),"",HYPERLINK("https://maps.google.com/?q="&amp;$K626&amp;","&amp;$L626,"عرض الموقع"))</f>
        <v/>
      </c>
      <c r="P626" s="23">
        <f>IF(OR($B626="",N($J626)=0),"",HYPERLINK(PhotoDir&amp;"/"&amp;YEAR($B626)&amp;"-"&amp;TEXT(MONTH($B626),"00")&amp;"-"&amp;TEXT(DAY($B626),"00")&amp;"_"&amp;$D626,"فتح الصور ("&amp;$J626&amp;")"))</f>
        <v/>
      </c>
      <c r="Q626" s="24">
        <f>IF($B626="","",MONTH($B626))</f>
        <v/>
      </c>
      <c r="R626" s="24">
        <f>IF($B626="","",YEAR($B626))</f>
        <v/>
      </c>
      <c r="S626" s="25">
        <f>IF($B626="","",$B626-WEEKDAY($B626,3))</f>
        <v/>
      </c>
      <c r="T626" s="24">
        <f>IF($B626="",0,IF(COUNTIFS($B$5:$B626,$B626,$D$5:$D626,$D626)=1,1,0))</f>
        <v/>
      </c>
      <c r="U626" s="24">
        <f>IF($B626="",0,IF(COUNTIFS($B$5:$B626,$B626,$C$5:$C626,$C626)=1,1,0))</f>
        <v/>
      </c>
      <c r="V626" s="24">
        <f>IF(OR($B626="",$G626="",$G626="لا توجد مشاهدات"),0,1)</f>
        <v/>
      </c>
      <c r="W626" s="24">
        <f>IF(AND($B626&lt;&gt;"",$I626="تم تحرير مخالفة"),1,0)</f>
        <v/>
      </c>
      <c r="X626" s="24">
        <f>IF($B626="","",IF($S626=WkStart,COUNTIF($S$5:$S626,WkStart),""))</f>
        <v/>
      </c>
    </row>
    <row r="627">
      <c r="A627" s="16">
        <f>IF($B627="","",ROW()-4)</f>
        <v/>
      </c>
      <c r="B627" s="17" t="n"/>
      <c r="C627" s="18" t="n"/>
      <c r="D627" s="18" t="n"/>
      <c r="E627" s="19" t="n"/>
      <c r="F627" s="19" t="n"/>
      <c r="G627" s="18" t="n"/>
      <c r="H627" s="18" t="n"/>
      <c r="I627" s="18" t="n"/>
      <c r="J627" s="20" t="n"/>
      <c r="K627" s="21" t="n"/>
      <c r="L627" s="21" t="n"/>
      <c r="M627" s="18" t="n"/>
      <c r="N627" s="22">
        <f>IF($B627="","",CHOOSE(WEEKDAY($B627),"الأحد","الاثنين","الثلاثاء","الأربعاء","الخميس","الجمعة","السبت"))</f>
        <v/>
      </c>
      <c r="O627" s="23">
        <f>IF(OR($K627="",$L627=""),"",HYPERLINK("https://maps.google.com/?q="&amp;$K627&amp;","&amp;$L627,"عرض الموقع"))</f>
        <v/>
      </c>
      <c r="P627" s="23">
        <f>IF(OR($B627="",N($J627)=0),"",HYPERLINK(PhotoDir&amp;"/"&amp;YEAR($B627)&amp;"-"&amp;TEXT(MONTH($B627),"00")&amp;"-"&amp;TEXT(DAY($B627),"00")&amp;"_"&amp;$D627,"فتح الصور ("&amp;$J627&amp;")"))</f>
        <v/>
      </c>
      <c r="Q627" s="24">
        <f>IF($B627="","",MONTH($B627))</f>
        <v/>
      </c>
      <c r="R627" s="24">
        <f>IF($B627="","",YEAR($B627))</f>
        <v/>
      </c>
      <c r="S627" s="25">
        <f>IF($B627="","",$B627-WEEKDAY($B627,3))</f>
        <v/>
      </c>
      <c r="T627" s="24">
        <f>IF($B627="",0,IF(COUNTIFS($B$5:$B627,$B627,$D$5:$D627,$D627)=1,1,0))</f>
        <v/>
      </c>
      <c r="U627" s="24">
        <f>IF($B627="",0,IF(COUNTIFS($B$5:$B627,$B627,$C$5:$C627,$C627)=1,1,0))</f>
        <v/>
      </c>
      <c r="V627" s="24">
        <f>IF(OR($B627="",$G627="",$G627="لا توجد مشاهدات"),0,1)</f>
        <v/>
      </c>
      <c r="W627" s="24">
        <f>IF(AND($B627&lt;&gt;"",$I627="تم تحرير مخالفة"),1,0)</f>
        <v/>
      </c>
      <c r="X627" s="24">
        <f>IF($B627="","",IF($S627=WkStart,COUNTIF($S$5:$S627,WkStart),""))</f>
        <v/>
      </c>
    </row>
    <row r="628">
      <c r="A628" s="16">
        <f>IF($B628="","",ROW()-4)</f>
        <v/>
      </c>
      <c r="B628" s="17" t="n"/>
      <c r="C628" s="18" t="n"/>
      <c r="D628" s="18" t="n"/>
      <c r="E628" s="19" t="n"/>
      <c r="F628" s="19" t="n"/>
      <c r="G628" s="18" t="n"/>
      <c r="H628" s="18" t="n"/>
      <c r="I628" s="18" t="n"/>
      <c r="J628" s="20" t="n"/>
      <c r="K628" s="21" t="n"/>
      <c r="L628" s="21" t="n"/>
      <c r="M628" s="18" t="n"/>
      <c r="N628" s="22">
        <f>IF($B628="","",CHOOSE(WEEKDAY($B628),"الأحد","الاثنين","الثلاثاء","الأربعاء","الخميس","الجمعة","السبت"))</f>
        <v/>
      </c>
      <c r="O628" s="23">
        <f>IF(OR($K628="",$L628=""),"",HYPERLINK("https://maps.google.com/?q="&amp;$K628&amp;","&amp;$L628,"عرض الموقع"))</f>
        <v/>
      </c>
      <c r="P628" s="23">
        <f>IF(OR($B628="",N($J628)=0),"",HYPERLINK(PhotoDir&amp;"/"&amp;YEAR($B628)&amp;"-"&amp;TEXT(MONTH($B628),"00")&amp;"-"&amp;TEXT(DAY($B628),"00")&amp;"_"&amp;$D628,"فتح الصور ("&amp;$J628&amp;")"))</f>
        <v/>
      </c>
      <c r="Q628" s="24">
        <f>IF($B628="","",MONTH($B628))</f>
        <v/>
      </c>
      <c r="R628" s="24">
        <f>IF($B628="","",YEAR($B628))</f>
        <v/>
      </c>
      <c r="S628" s="25">
        <f>IF($B628="","",$B628-WEEKDAY($B628,3))</f>
        <v/>
      </c>
      <c r="T628" s="24">
        <f>IF($B628="",0,IF(COUNTIFS($B$5:$B628,$B628,$D$5:$D628,$D628)=1,1,0))</f>
        <v/>
      </c>
      <c r="U628" s="24">
        <f>IF($B628="",0,IF(COUNTIFS($B$5:$B628,$B628,$C$5:$C628,$C628)=1,1,0))</f>
        <v/>
      </c>
      <c r="V628" s="24">
        <f>IF(OR($B628="",$G628="",$G628="لا توجد مشاهدات"),0,1)</f>
        <v/>
      </c>
      <c r="W628" s="24">
        <f>IF(AND($B628&lt;&gt;"",$I628="تم تحرير مخالفة"),1,0)</f>
        <v/>
      </c>
      <c r="X628" s="24">
        <f>IF($B628="","",IF($S628=WkStart,COUNTIF($S$5:$S628,WkStart),""))</f>
        <v/>
      </c>
    </row>
    <row r="629">
      <c r="A629" s="16">
        <f>IF($B629="","",ROW()-4)</f>
        <v/>
      </c>
      <c r="B629" s="17" t="n"/>
      <c r="C629" s="18" t="n"/>
      <c r="D629" s="18" t="n"/>
      <c r="E629" s="19" t="n"/>
      <c r="F629" s="19" t="n"/>
      <c r="G629" s="18" t="n"/>
      <c r="H629" s="18" t="n"/>
      <c r="I629" s="18" t="n"/>
      <c r="J629" s="20" t="n"/>
      <c r="K629" s="21" t="n"/>
      <c r="L629" s="21" t="n"/>
      <c r="M629" s="18" t="n"/>
      <c r="N629" s="22">
        <f>IF($B629="","",CHOOSE(WEEKDAY($B629),"الأحد","الاثنين","الثلاثاء","الأربعاء","الخميس","الجمعة","السبت"))</f>
        <v/>
      </c>
      <c r="O629" s="23">
        <f>IF(OR($K629="",$L629=""),"",HYPERLINK("https://maps.google.com/?q="&amp;$K629&amp;","&amp;$L629,"عرض الموقع"))</f>
        <v/>
      </c>
      <c r="P629" s="23">
        <f>IF(OR($B629="",N($J629)=0),"",HYPERLINK(PhotoDir&amp;"/"&amp;YEAR($B629)&amp;"-"&amp;TEXT(MONTH($B629),"00")&amp;"-"&amp;TEXT(DAY($B629),"00")&amp;"_"&amp;$D629,"فتح الصور ("&amp;$J629&amp;")"))</f>
        <v/>
      </c>
      <c r="Q629" s="24">
        <f>IF($B629="","",MONTH($B629))</f>
        <v/>
      </c>
      <c r="R629" s="24">
        <f>IF($B629="","",YEAR($B629))</f>
        <v/>
      </c>
      <c r="S629" s="25">
        <f>IF($B629="","",$B629-WEEKDAY($B629,3))</f>
        <v/>
      </c>
      <c r="T629" s="24">
        <f>IF($B629="",0,IF(COUNTIFS($B$5:$B629,$B629,$D$5:$D629,$D629)=1,1,0))</f>
        <v/>
      </c>
      <c r="U629" s="24">
        <f>IF($B629="",0,IF(COUNTIFS($B$5:$B629,$B629,$C$5:$C629,$C629)=1,1,0))</f>
        <v/>
      </c>
      <c r="V629" s="24">
        <f>IF(OR($B629="",$G629="",$G629="لا توجد مشاهدات"),0,1)</f>
        <v/>
      </c>
      <c r="W629" s="24">
        <f>IF(AND($B629&lt;&gt;"",$I629="تم تحرير مخالفة"),1,0)</f>
        <v/>
      </c>
      <c r="X629" s="24">
        <f>IF($B629="","",IF($S629=WkStart,COUNTIF($S$5:$S629,WkStart),""))</f>
        <v/>
      </c>
    </row>
    <row r="630">
      <c r="A630" s="16">
        <f>IF($B630="","",ROW()-4)</f>
        <v/>
      </c>
      <c r="B630" s="17" t="n"/>
      <c r="C630" s="18" t="n"/>
      <c r="D630" s="18" t="n"/>
      <c r="E630" s="19" t="n"/>
      <c r="F630" s="19" t="n"/>
      <c r="G630" s="18" t="n"/>
      <c r="H630" s="18" t="n"/>
      <c r="I630" s="18" t="n"/>
      <c r="J630" s="20" t="n"/>
      <c r="K630" s="21" t="n"/>
      <c r="L630" s="21" t="n"/>
      <c r="M630" s="18" t="n"/>
      <c r="N630" s="22">
        <f>IF($B630="","",CHOOSE(WEEKDAY($B630),"الأحد","الاثنين","الثلاثاء","الأربعاء","الخميس","الجمعة","السبت"))</f>
        <v/>
      </c>
      <c r="O630" s="23">
        <f>IF(OR($K630="",$L630=""),"",HYPERLINK("https://maps.google.com/?q="&amp;$K630&amp;","&amp;$L630,"عرض الموقع"))</f>
        <v/>
      </c>
      <c r="P630" s="23">
        <f>IF(OR($B630="",N($J630)=0),"",HYPERLINK(PhotoDir&amp;"/"&amp;YEAR($B630)&amp;"-"&amp;TEXT(MONTH($B630),"00")&amp;"-"&amp;TEXT(DAY($B630),"00")&amp;"_"&amp;$D630,"فتح الصور ("&amp;$J630&amp;")"))</f>
        <v/>
      </c>
      <c r="Q630" s="24">
        <f>IF($B630="","",MONTH($B630))</f>
        <v/>
      </c>
      <c r="R630" s="24">
        <f>IF($B630="","",YEAR($B630))</f>
        <v/>
      </c>
      <c r="S630" s="25">
        <f>IF($B630="","",$B630-WEEKDAY($B630,3))</f>
        <v/>
      </c>
      <c r="T630" s="24">
        <f>IF($B630="",0,IF(COUNTIFS($B$5:$B630,$B630,$D$5:$D630,$D630)=1,1,0))</f>
        <v/>
      </c>
      <c r="U630" s="24">
        <f>IF($B630="",0,IF(COUNTIFS($B$5:$B630,$B630,$C$5:$C630,$C630)=1,1,0))</f>
        <v/>
      </c>
      <c r="V630" s="24">
        <f>IF(OR($B630="",$G630="",$G630="لا توجد مشاهدات"),0,1)</f>
        <v/>
      </c>
      <c r="W630" s="24">
        <f>IF(AND($B630&lt;&gt;"",$I630="تم تحرير مخالفة"),1,0)</f>
        <v/>
      </c>
      <c r="X630" s="24">
        <f>IF($B630="","",IF($S630=WkStart,COUNTIF($S$5:$S630,WkStart),""))</f>
        <v/>
      </c>
    </row>
    <row r="631">
      <c r="A631" s="16">
        <f>IF($B631="","",ROW()-4)</f>
        <v/>
      </c>
      <c r="B631" s="17" t="n"/>
      <c r="C631" s="18" t="n"/>
      <c r="D631" s="18" t="n"/>
      <c r="E631" s="19" t="n"/>
      <c r="F631" s="19" t="n"/>
      <c r="G631" s="18" t="n"/>
      <c r="H631" s="18" t="n"/>
      <c r="I631" s="18" t="n"/>
      <c r="J631" s="20" t="n"/>
      <c r="K631" s="21" t="n"/>
      <c r="L631" s="21" t="n"/>
      <c r="M631" s="18" t="n"/>
      <c r="N631" s="22">
        <f>IF($B631="","",CHOOSE(WEEKDAY($B631),"الأحد","الاثنين","الثلاثاء","الأربعاء","الخميس","الجمعة","السبت"))</f>
        <v/>
      </c>
      <c r="O631" s="23">
        <f>IF(OR($K631="",$L631=""),"",HYPERLINK("https://maps.google.com/?q="&amp;$K631&amp;","&amp;$L631,"عرض الموقع"))</f>
        <v/>
      </c>
      <c r="P631" s="23">
        <f>IF(OR($B631="",N($J631)=0),"",HYPERLINK(PhotoDir&amp;"/"&amp;YEAR($B631)&amp;"-"&amp;TEXT(MONTH($B631),"00")&amp;"-"&amp;TEXT(DAY($B631),"00")&amp;"_"&amp;$D631,"فتح الصور ("&amp;$J631&amp;")"))</f>
        <v/>
      </c>
      <c r="Q631" s="24">
        <f>IF($B631="","",MONTH($B631))</f>
        <v/>
      </c>
      <c r="R631" s="24">
        <f>IF($B631="","",YEAR($B631))</f>
        <v/>
      </c>
      <c r="S631" s="25">
        <f>IF($B631="","",$B631-WEEKDAY($B631,3))</f>
        <v/>
      </c>
      <c r="T631" s="24">
        <f>IF($B631="",0,IF(COUNTIFS($B$5:$B631,$B631,$D$5:$D631,$D631)=1,1,0))</f>
        <v/>
      </c>
      <c r="U631" s="24">
        <f>IF($B631="",0,IF(COUNTIFS($B$5:$B631,$B631,$C$5:$C631,$C631)=1,1,0))</f>
        <v/>
      </c>
      <c r="V631" s="24">
        <f>IF(OR($B631="",$G631="",$G631="لا توجد مشاهدات"),0,1)</f>
        <v/>
      </c>
      <c r="W631" s="24">
        <f>IF(AND($B631&lt;&gt;"",$I631="تم تحرير مخالفة"),1,0)</f>
        <v/>
      </c>
      <c r="X631" s="24">
        <f>IF($B631="","",IF($S631=WkStart,COUNTIF($S$5:$S631,WkStart),""))</f>
        <v/>
      </c>
    </row>
    <row r="632">
      <c r="A632" s="16">
        <f>IF($B632="","",ROW()-4)</f>
        <v/>
      </c>
      <c r="B632" s="17" t="n"/>
      <c r="C632" s="18" t="n"/>
      <c r="D632" s="18" t="n"/>
      <c r="E632" s="19" t="n"/>
      <c r="F632" s="19" t="n"/>
      <c r="G632" s="18" t="n"/>
      <c r="H632" s="18" t="n"/>
      <c r="I632" s="18" t="n"/>
      <c r="J632" s="20" t="n"/>
      <c r="K632" s="21" t="n"/>
      <c r="L632" s="21" t="n"/>
      <c r="M632" s="18" t="n"/>
      <c r="N632" s="22">
        <f>IF($B632="","",CHOOSE(WEEKDAY($B632),"الأحد","الاثنين","الثلاثاء","الأربعاء","الخميس","الجمعة","السبت"))</f>
        <v/>
      </c>
      <c r="O632" s="23">
        <f>IF(OR($K632="",$L632=""),"",HYPERLINK("https://maps.google.com/?q="&amp;$K632&amp;","&amp;$L632,"عرض الموقع"))</f>
        <v/>
      </c>
      <c r="P632" s="23">
        <f>IF(OR($B632="",N($J632)=0),"",HYPERLINK(PhotoDir&amp;"/"&amp;YEAR($B632)&amp;"-"&amp;TEXT(MONTH($B632),"00")&amp;"-"&amp;TEXT(DAY($B632),"00")&amp;"_"&amp;$D632,"فتح الصور ("&amp;$J632&amp;")"))</f>
        <v/>
      </c>
      <c r="Q632" s="24">
        <f>IF($B632="","",MONTH($B632))</f>
        <v/>
      </c>
      <c r="R632" s="24">
        <f>IF($B632="","",YEAR($B632))</f>
        <v/>
      </c>
      <c r="S632" s="25">
        <f>IF($B632="","",$B632-WEEKDAY($B632,3))</f>
        <v/>
      </c>
      <c r="T632" s="24">
        <f>IF($B632="",0,IF(COUNTIFS($B$5:$B632,$B632,$D$5:$D632,$D632)=1,1,0))</f>
        <v/>
      </c>
      <c r="U632" s="24">
        <f>IF($B632="",0,IF(COUNTIFS($B$5:$B632,$B632,$C$5:$C632,$C632)=1,1,0))</f>
        <v/>
      </c>
      <c r="V632" s="24">
        <f>IF(OR($B632="",$G632="",$G632="لا توجد مشاهدات"),0,1)</f>
        <v/>
      </c>
      <c r="W632" s="24">
        <f>IF(AND($B632&lt;&gt;"",$I632="تم تحرير مخالفة"),1,0)</f>
        <v/>
      </c>
      <c r="X632" s="24">
        <f>IF($B632="","",IF($S632=WkStart,COUNTIF($S$5:$S632,WkStart),""))</f>
        <v/>
      </c>
    </row>
    <row r="633">
      <c r="A633" s="16">
        <f>IF($B633="","",ROW()-4)</f>
        <v/>
      </c>
      <c r="B633" s="17" t="n"/>
      <c r="C633" s="18" t="n"/>
      <c r="D633" s="18" t="n"/>
      <c r="E633" s="19" t="n"/>
      <c r="F633" s="19" t="n"/>
      <c r="G633" s="18" t="n"/>
      <c r="H633" s="18" t="n"/>
      <c r="I633" s="18" t="n"/>
      <c r="J633" s="20" t="n"/>
      <c r="K633" s="21" t="n"/>
      <c r="L633" s="21" t="n"/>
      <c r="M633" s="18" t="n"/>
      <c r="N633" s="22">
        <f>IF($B633="","",CHOOSE(WEEKDAY($B633),"الأحد","الاثنين","الثلاثاء","الأربعاء","الخميس","الجمعة","السبت"))</f>
        <v/>
      </c>
      <c r="O633" s="23">
        <f>IF(OR($K633="",$L633=""),"",HYPERLINK("https://maps.google.com/?q="&amp;$K633&amp;","&amp;$L633,"عرض الموقع"))</f>
        <v/>
      </c>
      <c r="P633" s="23">
        <f>IF(OR($B633="",N($J633)=0),"",HYPERLINK(PhotoDir&amp;"/"&amp;YEAR($B633)&amp;"-"&amp;TEXT(MONTH($B633),"00")&amp;"-"&amp;TEXT(DAY($B633),"00")&amp;"_"&amp;$D633,"فتح الصور ("&amp;$J633&amp;")"))</f>
        <v/>
      </c>
      <c r="Q633" s="24">
        <f>IF($B633="","",MONTH($B633))</f>
        <v/>
      </c>
      <c r="R633" s="24">
        <f>IF($B633="","",YEAR($B633))</f>
        <v/>
      </c>
      <c r="S633" s="25">
        <f>IF($B633="","",$B633-WEEKDAY($B633,3))</f>
        <v/>
      </c>
      <c r="T633" s="24">
        <f>IF($B633="",0,IF(COUNTIFS($B$5:$B633,$B633,$D$5:$D633,$D633)=1,1,0))</f>
        <v/>
      </c>
      <c r="U633" s="24">
        <f>IF($B633="",0,IF(COUNTIFS($B$5:$B633,$B633,$C$5:$C633,$C633)=1,1,0))</f>
        <v/>
      </c>
      <c r="V633" s="24">
        <f>IF(OR($B633="",$G633="",$G633="لا توجد مشاهدات"),0,1)</f>
        <v/>
      </c>
      <c r="W633" s="24">
        <f>IF(AND($B633&lt;&gt;"",$I633="تم تحرير مخالفة"),1,0)</f>
        <v/>
      </c>
      <c r="X633" s="24">
        <f>IF($B633="","",IF($S633=WkStart,COUNTIF($S$5:$S633,WkStart),""))</f>
        <v/>
      </c>
    </row>
    <row r="634">
      <c r="A634" s="16">
        <f>IF($B634="","",ROW()-4)</f>
        <v/>
      </c>
      <c r="B634" s="17" t="n"/>
      <c r="C634" s="18" t="n"/>
      <c r="D634" s="18" t="n"/>
      <c r="E634" s="19" t="n"/>
      <c r="F634" s="19" t="n"/>
      <c r="G634" s="18" t="n"/>
      <c r="H634" s="18" t="n"/>
      <c r="I634" s="18" t="n"/>
      <c r="J634" s="20" t="n"/>
      <c r="K634" s="21" t="n"/>
      <c r="L634" s="21" t="n"/>
      <c r="M634" s="18" t="n"/>
      <c r="N634" s="22">
        <f>IF($B634="","",CHOOSE(WEEKDAY($B634),"الأحد","الاثنين","الثلاثاء","الأربعاء","الخميس","الجمعة","السبت"))</f>
        <v/>
      </c>
      <c r="O634" s="23">
        <f>IF(OR($K634="",$L634=""),"",HYPERLINK("https://maps.google.com/?q="&amp;$K634&amp;","&amp;$L634,"عرض الموقع"))</f>
        <v/>
      </c>
      <c r="P634" s="23">
        <f>IF(OR($B634="",N($J634)=0),"",HYPERLINK(PhotoDir&amp;"/"&amp;YEAR($B634)&amp;"-"&amp;TEXT(MONTH($B634),"00")&amp;"-"&amp;TEXT(DAY($B634),"00")&amp;"_"&amp;$D634,"فتح الصور ("&amp;$J634&amp;")"))</f>
        <v/>
      </c>
      <c r="Q634" s="24">
        <f>IF($B634="","",MONTH($B634))</f>
        <v/>
      </c>
      <c r="R634" s="24">
        <f>IF($B634="","",YEAR($B634))</f>
        <v/>
      </c>
      <c r="S634" s="25">
        <f>IF($B634="","",$B634-WEEKDAY($B634,3))</f>
        <v/>
      </c>
      <c r="T634" s="24">
        <f>IF($B634="",0,IF(COUNTIFS($B$5:$B634,$B634,$D$5:$D634,$D634)=1,1,0))</f>
        <v/>
      </c>
      <c r="U634" s="24">
        <f>IF($B634="",0,IF(COUNTIFS($B$5:$B634,$B634,$C$5:$C634,$C634)=1,1,0))</f>
        <v/>
      </c>
      <c r="V634" s="24">
        <f>IF(OR($B634="",$G634="",$G634="لا توجد مشاهدات"),0,1)</f>
        <v/>
      </c>
      <c r="W634" s="24">
        <f>IF(AND($B634&lt;&gt;"",$I634="تم تحرير مخالفة"),1,0)</f>
        <v/>
      </c>
      <c r="X634" s="24">
        <f>IF($B634="","",IF($S634=WkStart,COUNTIF($S$5:$S634,WkStart),""))</f>
        <v/>
      </c>
    </row>
    <row r="635">
      <c r="A635" s="16">
        <f>IF($B635="","",ROW()-4)</f>
        <v/>
      </c>
      <c r="B635" s="17" t="n"/>
      <c r="C635" s="18" t="n"/>
      <c r="D635" s="18" t="n"/>
      <c r="E635" s="19" t="n"/>
      <c r="F635" s="19" t="n"/>
      <c r="G635" s="18" t="n"/>
      <c r="H635" s="18" t="n"/>
      <c r="I635" s="18" t="n"/>
      <c r="J635" s="20" t="n"/>
      <c r="K635" s="21" t="n"/>
      <c r="L635" s="21" t="n"/>
      <c r="M635" s="18" t="n"/>
      <c r="N635" s="22">
        <f>IF($B635="","",CHOOSE(WEEKDAY($B635),"الأحد","الاثنين","الثلاثاء","الأربعاء","الخميس","الجمعة","السبت"))</f>
        <v/>
      </c>
      <c r="O635" s="23">
        <f>IF(OR($K635="",$L635=""),"",HYPERLINK("https://maps.google.com/?q="&amp;$K635&amp;","&amp;$L635,"عرض الموقع"))</f>
        <v/>
      </c>
      <c r="P635" s="23">
        <f>IF(OR($B635="",N($J635)=0),"",HYPERLINK(PhotoDir&amp;"/"&amp;YEAR($B635)&amp;"-"&amp;TEXT(MONTH($B635),"00")&amp;"-"&amp;TEXT(DAY($B635),"00")&amp;"_"&amp;$D635,"فتح الصور ("&amp;$J635&amp;")"))</f>
        <v/>
      </c>
      <c r="Q635" s="24">
        <f>IF($B635="","",MONTH($B635))</f>
        <v/>
      </c>
      <c r="R635" s="24">
        <f>IF($B635="","",YEAR($B635))</f>
        <v/>
      </c>
      <c r="S635" s="25">
        <f>IF($B635="","",$B635-WEEKDAY($B635,3))</f>
        <v/>
      </c>
      <c r="T635" s="24">
        <f>IF($B635="",0,IF(COUNTIFS($B$5:$B635,$B635,$D$5:$D635,$D635)=1,1,0))</f>
        <v/>
      </c>
      <c r="U635" s="24">
        <f>IF($B635="",0,IF(COUNTIFS($B$5:$B635,$B635,$C$5:$C635,$C635)=1,1,0))</f>
        <v/>
      </c>
      <c r="V635" s="24">
        <f>IF(OR($B635="",$G635="",$G635="لا توجد مشاهدات"),0,1)</f>
        <v/>
      </c>
      <c r="W635" s="24">
        <f>IF(AND($B635&lt;&gt;"",$I635="تم تحرير مخالفة"),1,0)</f>
        <v/>
      </c>
      <c r="X635" s="24">
        <f>IF($B635="","",IF($S635=WkStart,COUNTIF($S$5:$S635,WkStart),""))</f>
        <v/>
      </c>
    </row>
    <row r="636">
      <c r="A636" s="16">
        <f>IF($B636="","",ROW()-4)</f>
        <v/>
      </c>
      <c r="B636" s="17" t="n"/>
      <c r="C636" s="18" t="n"/>
      <c r="D636" s="18" t="n"/>
      <c r="E636" s="19" t="n"/>
      <c r="F636" s="19" t="n"/>
      <c r="G636" s="18" t="n"/>
      <c r="H636" s="18" t="n"/>
      <c r="I636" s="18" t="n"/>
      <c r="J636" s="20" t="n"/>
      <c r="K636" s="21" t="n"/>
      <c r="L636" s="21" t="n"/>
      <c r="M636" s="18" t="n"/>
      <c r="N636" s="22">
        <f>IF($B636="","",CHOOSE(WEEKDAY($B636),"الأحد","الاثنين","الثلاثاء","الأربعاء","الخميس","الجمعة","السبت"))</f>
        <v/>
      </c>
      <c r="O636" s="23">
        <f>IF(OR($K636="",$L636=""),"",HYPERLINK("https://maps.google.com/?q="&amp;$K636&amp;","&amp;$L636,"عرض الموقع"))</f>
        <v/>
      </c>
      <c r="P636" s="23">
        <f>IF(OR($B636="",N($J636)=0),"",HYPERLINK(PhotoDir&amp;"/"&amp;YEAR($B636)&amp;"-"&amp;TEXT(MONTH($B636),"00")&amp;"-"&amp;TEXT(DAY($B636),"00")&amp;"_"&amp;$D636,"فتح الصور ("&amp;$J636&amp;")"))</f>
        <v/>
      </c>
      <c r="Q636" s="24">
        <f>IF($B636="","",MONTH($B636))</f>
        <v/>
      </c>
      <c r="R636" s="24">
        <f>IF($B636="","",YEAR($B636))</f>
        <v/>
      </c>
      <c r="S636" s="25">
        <f>IF($B636="","",$B636-WEEKDAY($B636,3))</f>
        <v/>
      </c>
      <c r="T636" s="24">
        <f>IF($B636="",0,IF(COUNTIFS($B$5:$B636,$B636,$D$5:$D636,$D636)=1,1,0))</f>
        <v/>
      </c>
      <c r="U636" s="24">
        <f>IF($B636="",0,IF(COUNTIFS($B$5:$B636,$B636,$C$5:$C636,$C636)=1,1,0))</f>
        <v/>
      </c>
      <c r="V636" s="24">
        <f>IF(OR($B636="",$G636="",$G636="لا توجد مشاهدات"),0,1)</f>
        <v/>
      </c>
      <c r="W636" s="24">
        <f>IF(AND($B636&lt;&gt;"",$I636="تم تحرير مخالفة"),1,0)</f>
        <v/>
      </c>
      <c r="X636" s="24">
        <f>IF($B636="","",IF($S636=WkStart,COUNTIF($S$5:$S636,WkStart),""))</f>
        <v/>
      </c>
    </row>
    <row r="637">
      <c r="A637" s="16">
        <f>IF($B637="","",ROW()-4)</f>
        <v/>
      </c>
      <c r="B637" s="17" t="n"/>
      <c r="C637" s="18" t="n"/>
      <c r="D637" s="18" t="n"/>
      <c r="E637" s="19" t="n"/>
      <c r="F637" s="19" t="n"/>
      <c r="G637" s="18" t="n"/>
      <c r="H637" s="18" t="n"/>
      <c r="I637" s="18" t="n"/>
      <c r="J637" s="20" t="n"/>
      <c r="K637" s="21" t="n"/>
      <c r="L637" s="21" t="n"/>
      <c r="M637" s="18" t="n"/>
      <c r="N637" s="22">
        <f>IF($B637="","",CHOOSE(WEEKDAY($B637),"الأحد","الاثنين","الثلاثاء","الأربعاء","الخميس","الجمعة","السبت"))</f>
        <v/>
      </c>
      <c r="O637" s="23">
        <f>IF(OR($K637="",$L637=""),"",HYPERLINK("https://maps.google.com/?q="&amp;$K637&amp;","&amp;$L637,"عرض الموقع"))</f>
        <v/>
      </c>
      <c r="P637" s="23">
        <f>IF(OR($B637="",N($J637)=0),"",HYPERLINK(PhotoDir&amp;"/"&amp;YEAR($B637)&amp;"-"&amp;TEXT(MONTH($B637),"00")&amp;"-"&amp;TEXT(DAY($B637),"00")&amp;"_"&amp;$D637,"فتح الصور ("&amp;$J637&amp;")"))</f>
        <v/>
      </c>
      <c r="Q637" s="24">
        <f>IF($B637="","",MONTH($B637))</f>
        <v/>
      </c>
      <c r="R637" s="24">
        <f>IF($B637="","",YEAR($B637))</f>
        <v/>
      </c>
      <c r="S637" s="25">
        <f>IF($B637="","",$B637-WEEKDAY($B637,3))</f>
        <v/>
      </c>
      <c r="T637" s="24">
        <f>IF($B637="",0,IF(COUNTIFS($B$5:$B637,$B637,$D$5:$D637,$D637)=1,1,0))</f>
        <v/>
      </c>
      <c r="U637" s="24">
        <f>IF($B637="",0,IF(COUNTIFS($B$5:$B637,$B637,$C$5:$C637,$C637)=1,1,0))</f>
        <v/>
      </c>
      <c r="V637" s="24">
        <f>IF(OR($B637="",$G637="",$G637="لا توجد مشاهدات"),0,1)</f>
        <v/>
      </c>
      <c r="W637" s="24">
        <f>IF(AND($B637&lt;&gt;"",$I637="تم تحرير مخالفة"),1,0)</f>
        <v/>
      </c>
      <c r="X637" s="24">
        <f>IF($B637="","",IF($S637=WkStart,COUNTIF($S$5:$S637,WkStart),""))</f>
        <v/>
      </c>
    </row>
    <row r="638">
      <c r="A638" s="16">
        <f>IF($B638="","",ROW()-4)</f>
        <v/>
      </c>
      <c r="B638" s="17" t="n"/>
      <c r="C638" s="18" t="n"/>
      <c r="D638" s="18" t="n"/>
      <c r="E638" s="19" t="n"/>
      <c r="F638" s="19" t="n"/>
      <c r="G638" s="18" t="n"/>
      <c r="H638" s="18" t="n"/>
      <c r="I638" s="18" t="n"/>
      <c r="J638" s="20" t="n"/>
      <c r="K638" s="21" t="n"/>
      <c r="L638" s="21" t="n"/>
      <c r="M638" s="18" t="n"/>
      <c r="N638" s="22">
        <f>IF($B638="","",CHOOSE(WEEKDAY($B638),"الأحد","الاثنين","الثلاثاء","الأربعاء","الخميس","الجمعة","السبت"))</f>
        <v/>
      </c>
      <c r="O638" s="23">
        <f>IF(OR($K638="",$L638=""),"",HYPERLINK("https://maps.google.com/?q="&amp;$K638&amp;","&amp;$L638,"عرض الموقع"))</f>
        <v/>
      </c>
      <c r="P638" s="23">
        <f>IF(OR($B638="",N($J638)=0),"",HYPERLINK(PhotoDir&amp;"/"&amp;YEAR($B638)&amp;"-"&amp;TEXT(MONTH($B638),"00")&amp;"-"&amp;TEXT(DAY($B638),"00")&amp;"_"&amp;$D638,"فتح الصور ("&amp;$J638&amp;")"))</f>
        <v/>
      </c>
      <c r="Q638" s="24">
        <f>IF($B638="","",MONTH($B638))</f>
        <v/>
      </c>
      <c r="R638" s="24">
        <f>IF($B638="","",YEAR($B638))</f>
        <v/>
      </c>
      <c r="S638" s="25">
        <f>IF($B638="","",$B638-WEEKDAY($B638,3))</f>
        <v/>
      </c>
      <c r="T638" s="24">
        <f>IF($B638="",0,IF(COUNTIFS($B$5:$B638,$B638,$D$5:$D638,$D638)=1,1,0))</f>
        <v/>
      </c>
      <c r="U638" s="24">
        <f>IF($B638="",0,IF(COUNTIFS($B$5:$B638,$B638,$C$5:$C638,$C638)=1,1,0))</f>
        <v/>
      </c>
      <c r="V638" s="24">
        <f>IF(OR($B638="",$G638="",$G638="لا توجد مشاهدات"),0,1)</f>
        <v/>
      </c>
      <c r="W638" s="24">
        <f>IF(AND($B638&lt;&gt;"",$I638="تم تحرير مخالفة"),1,0)</f>
        <v/>
      </c>
      <c r="X638" s="24">
        <f>IF($B638="","",IF($S638=WkStart,COUNTIF($S$5:$S638,WkStart),""))</f>
        <v/>
      </c>
    </row>
    <row r="639">
      <c r="A639" s="16">
        <f>IF($B639="","",ROW()-4)</f>
        <v/>
      </c>
      <c r="B639" s="17" t="n"/>
      <c r="C639" s="18" t="n"/>
      <c r="D639" s="18" t="n"/>
      <c r="E639" s="19" t="n"/>
      <c r="F639" s="19" t="n"/>
      <c r="G639" s="18" t="n"/>
      <c r="H639" s="18" t="n"/>
      <c r="I639" s="18" t="n"/>
      <c r="J639" s="20" t="n"/>
      <c r="K639" s="21" t="n"/>
      <c r="L639" s="21" t="n"/>
      <c r="M639" s="18" t="n"/>
      <c r="N639" s="22">
        <f>IF($B639="","",CHOOSE(WEEKDAY($B639),"الأحد","الاثنين","الثلاثاء","الأربعاء","الخميس","الجمعة","السبت"))</f>
        <v/>
      </c>
      <c r="O639" s="23">
        <f>IF(OR($K639="",$L639=""),"",HYPERLINK("https://maps.google.com/?q="&amp;$K639&amp;","&amp;$L639,"عرض الموقع"))</f>
        <v/>
      </c>
      <c r="P639" s="23">
        <f>IF(OR($B639="",N($J639)=0),"",HYPERLINK(PhotoDir&amp;"/"&amp;YEAR($B639)&amp;"-"&amp;TEXT(MONTH($B639),"00")&amp;"-"&amp;TEXT(DAY($B639),"00")&amp;"_"&amp;$D639,"فتح الصور ("&amp;$J639&amp;")"))</f>
        <v/>
      </c>
      <c r="Q639" s="24">
        <f>IF($B639="","",MONTH($B639))</f>
        <v/>
      </c>
      <c r="R639" s="24">
        <f>IF($B639="","",YEAR($B639))</f>
        <v/>
      </c>
      <c r="S639" s="25">
        <f>IF($B639="","",$B639-WEEKDAY($B639,3))</f>
        <v/>
      </c>
      <c r="T639" s="24">
        <f>IF($B639="",0,IF(COUNTIFS($B$5:$B639,$B639,$D$5:$D639,$D639)=1,1,0))</f>
        <v/>
      </c>
      <c r="U639" s="24">
        <f>IF($B639="",0,IF(COUNTIFS($B$5:$B639,$B639,$C$5:$C639,$C639)=1,1,0))</f>
        <v/>
      </c>
      <c r="V639" s="24">
        <f>IF(OR($B639="",$G639="",$G639="لا توجد مشاهدات"),0,1)</f>
        <v/>
      </c>
      <c r="W639" s="24">
        <f>IF(AND($B639&lt;&gt;"",$I639="تم تحرير مخالفة"),1,0)</f>
        <v/>
      </c>
      <c r="X639" s="24">
        <f>IF($B639="","",IF($S639=WkStart,COUNTIF($S$5:$S639,WkStart),""))</f>
        <v/>
      </c>
    </row>
    <row r="640">
      <c r="A640" s="16">
        <f>IF($B640="","",ROW()-4)</f>
        <v/>
      </c>
      <c r="B640" s="17" t="n"/>
      <c r="C640" s="18" t="n"/>
      <c r="D640" s="18" t="n"/>
      <c r="E640" s="19" t="n"/>
      <c r="F640" s="19" t="n"/>
      <c r="G640" s="18" t="n"/>
      <c r="H640" s="18" t="n"/>
      <c r="I640" s="18" t="n"/>
      <c r="J640" s="20" t="n"/>
      <c r="K640" s="21" t="n"/>
      <c r="L640" s="21" t="n"/>
      <c r="M640" s="18" t="n"/>
      <c r="N640" s="22">
        <f>IF($B640="","",CHOOSE(WEEKDAY($B640),"الأحد","الاثنين","الثلاثاء","الأربعاء","الخميس","الجمعة","السبت"))</f>
        <v/>
      </c>
      <c r="O640" s="23">
        <f>IF(OR($K640="",$L640=""),"",HYPERLINK("https://maps.google.com/?q="&amp;$K640&amp;","&amp;$L640,"عرض الموقع"))</f>
        <v/>
      </c>
      <c r="P640" s="23">
        <f>IF(OR($B640="",N($J640)=0),"",HYPERLINK(PhotoDir&amp;"/"&amp;YEAR($B640)&amp;"-"&amp;TEXT(MONTH($B640),"00")&amp;"-"&amp;TEXT(DAY($B640),"00")&amp;"_"&amp;$D640,"فتح الصور ("&amp;$J640&amp;")"))</f>
        <v/>
      </c>
      <c r="Q640" s="24">
        <f>IF($B640="","",MONTH($B640))</f>
        <v/>
      </c>
      <c r="R640" s="24">
        <f>IF($B640="","",YEAR($B640))</f>
        <v/>
      </c>
      <c r="S640" s="25">
        <f>IF($B640="","",$B640-WEEKDAY($B640,3))</f>
        <v/>
      </c>
      <c r="T640" s="24">
        <f>IF($B640="",0,IF(COUNTIFS($B$5:$B640,$B640,$D$5:$D640,$D640)=1,1,0))</f>
        <v/>
      </c>
      <c r="U640" s="24">
        <f>IF($B640="",0,IF(COUNTIFS($B$5:$B640,$B640,$C$5:$C640,$C640)=1,1,0))</f>
        <v/>
      </c>
      <c r="V640" s="24">
        <f>IF(OR($B640="",$G640="",$G640="لا توجد مشاهدات"),0,1)</f>
        <v/>
      </c>
      <c r="W640" s="24">
        <f>IF(AND($B640&lt;&gt;"",$I640="تم تحرير مخالفة"),1,0)</f>
        <v/>
      </c>
      <c r="X640" s="24">
        <f>IF($B640="","",IF($S640=WkStart,COUNTIF($S$5:$S640,WkStart),""))</f>
        <v/>
      </c>
    </row>
    <row r="641">
      <c r="A641" s="16">
        <f>IF($B641="","",ROW()-4)</f>
        <v/>
      </c>
      <c r="B641" s="17" t="n"/>
      <c r="C641" s="18" t="n"/>
      <c r="D641" s="18" t="n"/>
      <c r="E641" s="19" t="n"/>
      <c r="F641" s="19" t="n"/>
      <c r="G641" s="18" t="n"/>
      <c r="H641" s="18" t="n"/>
      <c r="I641" s="18" t="n"/>
      <c r="J641" s="20" t="n"/>
      <c r="K641" s="21" t="n"/>
      <c r="L641" s="21" t="n"/>
      <c r="M641" s="18" t="n"/>
      <c r="N641" s="22">
        <f>IF($B641="","",CHOOSE(WEEKDAY($B641),"الأحد","الاثنين","الثلاثاء","الأربعاء","الخميس","الجمعة","السبت"))</f>
        <v/>
      </c>
      <c r="O641" s="23">
        <f>IF(OR($K641="",$L641=""),"",HYPERLINK("https://maps.google.com/?q="&amp;$K641&amp;","&amp;$L641,"عرض الموقع"))</f>
        <v/>
      </c>
      <c r="P641" s="23">
        <f>IF(OR($B641="",N($J641)=0),"",HYPERLINK(PhotoDir&amp;"/"&amp;YEAR($B641)&amp;"-"&amp;TEXT(MONTH($B641),"00")&amp;"-"&amp;TEXT(DAY($B641),"00")&amp;"_"&amp;$D641,"فتح الصور ("&amp;$J641&amp;")"))</f>
        <v/>
      </c>
      <c r="Q641" s="24">
        <f>IF($B641="","",MONTH($B641))</f>
        <v/>
      </c>
      <c r="R641" s="24">
        <f>IF($B641="","",YEAR($B641))</f>
        <v/>
      </c>
      <c r="S641" s="25">
        <f>IF($B641="","",$B641-WEEKDAY($B641,3))</f>
        <v/>
      </c>
      <c r="T641" s="24">
        <f>IF($B641="",0,IF(COUNTIFS($B$5:$B641,$B641,$D$5:$D641,$D641)=1,1,0))</f>
        <v/>
      </c>
      <c r="U641" s="24">
        <f>IF($B641="",0,IF(COUNTIFS($B$5:$B641,$B641,$C$5:$C641,$C641)=1,1,0))</f>
        <v/>
      </c>
      <c r="V641" s="24">
        <f>IF(OR($B641="",$G641="",$G641="لا توجد مشاهدات"),0,1)</f>
        <v/>
      </c>
      <c r="W641" s="24">
        <f>IF(AND($B641&lt;&gt;"",$I641="تم تحرير مخالفة"),1,0)</f>
        <v/>
      </c>
      <c r="X641" s="24">
        <f>IF($B641="","",IF($S641=WkStart,COUNTIF($S$5:$S641,WkStart),""))</f>
        <v/>
      </c>
    </row>
    <row r="642">
      <c r="A642" s="16">
        <f>IF($B642="","",ROW()-4)</f>
        <v/>
      </c>
      <c r="B642" s="17" t="n"/>
      <c r="C642" s="18" t="n"/>
      <c r="D642" s="18" t="n"/>
      <c r="E642" s="19" t="n"/>
      <c r="F642" s="19" t="n"/>
      <c r="G642" s="18" t="n"/>
      <c r="H642" s="18" t="n"/>
      <c r="I642" s="18" t="n"/>
      <c r="J642" s="20" t="n"/>
      <c r="K642" s="21" t="n"/>
      <c r="L642" s="21" t="n"/>
      <c r="M642" s="18" t="n"/>
      <c r="N642" s="22">
        <f>IF($B642="","",CHOOSE(WEEKDAY($B642),"الأحد","الاثنين","الثلاثاء","الأربعاء","الخميس","الجمعة","السبت"))</f>
        <v/>
      </c>
      <c r="O642" s="23">
        <f>IF(OR($K642="",$L642=""),"",HYPERLINK("https://maps.google.com/?q="&amp;$K642&amp;","&amp;$L642,"عرض الموقع"))</f>
        <v/>
      </c>
      <c r="P642" s="23">
        <f>IF(OR($B642="",N($J642)=0),"",HYPERLINK(PhotoDir&amp;"/"&amp;YEAR($B642)&amp;"-"&amp;TEXT(MONTH($B642),"00")&amp;"-"&amp;TEXT(DAY($B642),"00")&amp;"_"&amp;$D642,"فتح الصور ("&amp;$J642&amp;")"))</f>
        <v/>
      </c>
      <c r="Q642" s="24">
        <f>IF($B642="","",MONTH($B642))</f>
        <v/>
      </c>
      <c r="R642" s="24">
        <f>IF($B642="","",YEAR($B642))</f>
        <v/>
      </c>
      <c r="S642" s="25">
        <f>IF($B642="","",$B642-WEEKDAY($B642,3))</f>
        <v/>
      </c>
      <c r="T642" s="24">
        <f>IF($B642="",0,IF(COUNTIFS($B$5:$B642,$B642,$D$5:$D642,$D642)=1,1,0))</f>
        <v/>
      </c>
      <c r="U642" s="24">
        <f>IF($B642="",0,IF(COUNTIFS($B$5:$B642,$B642,$C$5:$C642,$C642)=1,1,0))</f>
        <v/>
      </c>
      <c r="V642" s="24">
        <f>IF(OR($B642="",$G642="",$G642="لا توجد مشاهدات"),0,1)</f>
        <v/>
      </c>
      <c r="W642" s="24">
        <f>IF(AND($B642&lt;&gt;"",$I642="تم تحرير مخالفة"),1,0)</f>
        <v/>
      </c>
      <c r="X642" s="24">
        <f>IF($B642="","",IF($S642=WkStart,COUNTIF($S$5:$S642,WkStart),""))</f>
        <v/>
      </c>
    </row>
    <row r="643">
      <c r="A643" s="16">
        <f>IF($B643="","",ROW()-4)</f>
        <v/>
      </c>
      <c r="B643" s="17" t="n"/>
      <c r="C643" s="18" t="n"/>
      <c r="D643" s="18" t="n"/>
      <c r="E643" s="19" t="n"/>
      <c r="F643" s="19" t="n"/>
      <c r="G643" s="18" t="n"/>
      <c r="H643" s="18" t="n"/>
      <c r="I643" s="18" t="n"/>
      <c r="J643" s="20" t="n"/>
      <c r="K643" s="21" t="n"/>
      <c r="L643" s="21" t="n"/>
      <c r="M643" s="18" t="n"/>
      <c r="N643" s="22">
        <f>IF($B643="","",CHOOSE(WEEKDAY($B643),"الأحد","الاثنين","الثلاثاء","الأربعاء","الخميس","الجمعة","السبت"))</f>
        <v/>
      </c>
      <c r="O643" s="23">
        <f>IF(OR($K643="",$L643=""),"",HYPERLINK("https://maps.google.com/?q="&amp;$K643&amp;","&amp;$L643,"عرض الموقع"))</f>
        <v/>
      </c>
      <c r="P643" s="23">
        <f>IF(OR($B643="",N($J643)=0),"",HYPERLINK(PhotoDir&amp;"/"&amp;YEAR($B643)&amp;"-"&amp;TEXT(MONTH($B643),"00")&amp;"-"&amp;TEXT(DAY($B643),"00")&amp;"_"&amp;$D643,"فتح الصور ("&amp;$J643&amp;")"))</f>
        <v/>
      </c>
      <c r="Q643" s="24">
        <f>IF($B643="","",MONTH($B643))</f>
        <v/>
      </c>
      <c r="R643" s="24">
        <f>IF($B643="","",YEAR($B643))</f>
        <v/>
      </c>
      <c r="S643" s="25">
        <f>IF($B643="","",$B643-WEEKDAY($B643,3))</f>
        <v/>
      </c>
      <c r="T643" s="24">
        <f>IF($B643="",0,IF(COUNTIFS($B$5:$B643,$B643,$D$5:$D643,$D643)=1,1,0))</f>
        <v/>
      </c>
      <c r="U643" s="24">
        <f>IF($B643="",0,IF(COUNTIFS($B$5:$B643,$B643,$C$5:$C643,$C643)=1,1,0))</f>
        <v/>
      </c>
      <c r="V643" s="24">
        <f>IF(OR($B643="",$G643="",$G643="لا توجد مشاهدات"),0,1)</f>
        <v/>
      </c>
      <c r="W643" s="24">
        <f>IF(AND($B643&lt;&gt;"",$I643="تم تحرير مخالفة"),1,0)</f>
        <v/>
      </c>
      <c r="X643" s="24">
        <f>IF($B643="","",IF($S643=WkStart,COUNTIF($S$5:$S643,WkStart),""))</f>
        <v/>
      </c>
    </row>
    <row r="644">
      <c r="A644" s="16">
        <f>IF($B644="","",ROW()-4)</f>
        <v/>
      </c>
      <c r="B644" s="17" t="n"/>
      <c r="C644" s="18" t="n"/>
      <c r="D644" s="18" t="n"/>
      <c r="E644" s="19" t="n"/>
      <c r="F644" s="19" t="n"/>
      <c r="G644" s="18" t="n"/>
      <c r="H644" s="18" t="n"/>
      <c r="I644" s="18" t="n"/>
      <c r="J644" s="20" t="n"/>
      <c r="K644" s="21" t="n"/>
      <c r="L644" s="21" t="n"/>
      <c r="M644" s="18" t="n"/>
      <c r="N644" s="22">
        <f>IF($B644="","",CHOOSE(WEEKDAY($B644),"الأحد","الاثنين","الثلاثاء","الأربعاء","الخميس","الجمعة","السبت"))</f>
        <v/>
      </c>
      <c r="O644" s="23">
        <f>IF(OR($K644="",$L644=""),"",HYPERLINK("https://maps.google.com/?q="&amp;$K644&amp;","&amp;$L644,"عرض الموقع"))</f>
        <v/>
      </c>
      <c r="P644" s="23">
        <f>IF(OR($B644="",N($J644)=0),"",HYPERLINK(PhotoDir&amp;"/"&amp;YEAR($B644)&amp;"-"&amp;TEXT(MONTH($B644),"00")&amp;"-"&amp;TEXT(DAY($B644),"00")&amp;"_"&amp;$D644,"فتح الصور ("&amp;$J644&amp;")"))</f>
        <v/>
      </c>
      <c r="Q644" s="24">
        <f>IF($B644="","",MONTH($B644))</f>
        <v/>
      </c>
      <c r="R644" s="24">
        <f>IF($B644="","",YEAR($B644))</f>
        <v/>
      </c>
      <c r="S644" s="25">
        <f>IF($B644="","",$B644-WEEKDAY($B644,3))</f>
        <v/>
      </c>
      <c r="T644" s="24">
        <f>IF($B644="",0,IF(COUNTIFS($B$5:$B644,$B644,$D$5:$D644,$D644)=1,1,0))</f>
        <v/>
      </c>
      <c r="U644" s="24">
        <f>IF($B644="",0,IF(COUNTIFS($B$5:$B644,$B644,$C$5:$C644,$C644)=1,1,0))</f>
        <v/>
      </c>
      <c r="V644" s="24">
        <f>IF(OR($B644="",$G644="",$G644="لا توجد مشاهدات"),0,1)</f>
        <v/>
      </c>
      <c r="W644" s="24">
        <f>IF(AND($B644&lt;&gt;"",$I644="تم تحرير مخالفة"),1,0)</f>
        <v/>
      </c>
      <c r="X644" s="24">
        <f>IF($B644="","",IF($S644=WkStart,COUNTIF($S$5:$S644,WkStart),""))</f>
        <v/>
      </c>
    </row>
    <row r="645">
      <c r="A645" s="16">
        <f>IF($B645="","",ROW()-4)</f>
        <v/>
      </c>
      <c r="B645" s="17" t="n"/>
      <c r="C645" s="18" t="n"/>
      <c r="D645" s="18" t="n"/>
      <c r="E645" s="19" t="n"/>
      <c r="F645" s="19" t="n"/>
      <c r="G645" s="18" t="n"/>
      <c r="H645" s="18" t="n"/>
      <c r="I645" s="18" t="n"/>
      <c r="J645" s="20" t="n"/>
      <c r="K645" s="21" t="n"/>
      <c r="L645" s="21" t="n"/>
      <c r="M645" s="18" t="n"/>
      <c r="N645" s="22">
        <f>IF($B645="","",CHOOSE(WEEKDAY($B645),"الأحد","الاثنين","الثلاثاء","الأربعاء","الخميس","الجمعة","السبت"))</f>
        <v/>
      </c>
      <c r="O645" s="23">
        <f>IF(OR($K645="",$L645=""),"",HYPERLINK("https://maps.google.com/?q="&amp;$K645&amp;","&amp;$L645,"عرض الموقع"))</f>
        <v/>
      </c>
      <c r="P645" s="23">
        <f>IF(OR($B645="",N($J645)=0),"",HYPERLINK(PhotoDir&amp;"/"&amp;YEAR($B645)&amp;"-"&amp;TEXT(MONTH($B645),"00")&amp;"-"&amp;TEXT(DAY($B645),"00")&amp;"_"&amp;$D645,"فتح الصور ("&amp;$J645&amp;")"))</f>
        <v/>
      </c>
      <c r="Q645" s="24">
        <f>IF($B645="","",MONTH($B645))</f>
        <v/>
      </c>
      <c r="R645" s="24">
        <f>IF($B645="","",YEAR($B645))</f>
        <v/>
      </c>
      <c r="S645" s="25">
        <f>IF($B645="","",$B645-WEEKDAY($B645,3))</f>
        <v/>
      </c>
      <c r="T645" s="24">
        <f>IF($B645="",0,IF(COUNTIFS($B$5:$B645,$B645,$D$5:$D645,$D645)=1,1,0))</f>
        <v/>
      </c>
      <c r="U645" s="24">
        <f>IF($B645="",0,IF(COUNTIFS($B$5:$B645,$B645,$C$5:$C645,$C645)=1,1,0))</f>
        <v/>
      </c>
      <c r="V645" s="24">
        <f>IF(OR($B645="",$G645="",$G645="لا توجد مشاهدات"),0,1)</f>
        <v/>
      </c>
      <c r="W645" s="24">
        <f>IF(AND($B645&lt;&gt;"",$I645="تم تحرير مخالفة"),1,0)</f>
        <v/>
      </c>
      <c r="X645" s="24">
        <f>IF($B645="","",IF($S645=WkStart,COUNTIF($S$5:$S645,WkStart),""))</f>
        <v/>
      </c>
    </row>
    <row r="646">
      <c r="A646" s="16">
        <f>IF($B646="","",ROW()-4)</f>
        <v/>
      </c>
      <c r="B646" s="17" t="n"/>
      <c r="C646" s="18" t="n"/>
      <c r="D646" s="18" t="n"/>
      <c r="E646" s="19" t="n"/>
      <c r="F646" s="19" t="n"/>
      <c r="G646" s="18" t="n"/>
      <c r="H646" s="18" t="n"/>
      <c r="I646" s="18" t="n"/>
      <c r="J646" s="20" t="n"/>
      <c r="K646" s="21" t="n"/>
      <c r="L646" s="21" t="n"/>
      <c r="M646" s="18" t="n"/>
      <c r="N646" s="22">
        <f>IF($B646="","",CHOOSE(WEEKDAY($B646),"الأحد","الاثنين","الثلاثاء","الأربعاء","الخميس","الجمعة","السبت"))</f>
        <v/>
      </c>
      <c r="O646" s="23">
        <f>IF(OR($K646="",$L646=""),"",HYPERLINK("https://maps.google.com/?q="&amp;$K646&amp;","&amp;$L646,"عرض الموقع"))</f>
        <v/>
      </c>
      <c r="P646" s="23">
        <f>IF(OR($B646="",N($J646)=0),"",HYPERLINK(PhotoDir&amp;"/"&amp;YEAR($B646)&amp;"-"&amp;TEXT(MONTH($B646),"00")&amp;"-"&amp;TEXT(DAY($B646),"00")&amp;"_"&amp;$D646,"فتح الصور ("&amp;$J646&amp;")"))</f>
        <v/>
      </c>
      <c r="Q646" s="24">
        <f>IF($B646="","",MONTH($B646))</f>
        <v/>
      </c>
      <c r="R646" s="24">
        <f>IF($B646="","",YEAR($B646))</f>
        <v/>
      </c>
      <c r="S646" s="25">
        <f>IF($B646="","",$B646-WEEKDAY($B646,3))</f>
        <v/>
      </c>
      <c r="T646" s="24">
        <f>IF($B646="",0,IF(COUNTIFS($B$5:$B646,$B646,$D$5:$D646,$D646)=1,1,0))</f>
        <v/>
      </c>
      <c r="U646" s="24">
        <f>IF($B646="",0,IF(COUNTIFS($B$5:$B646,$B646,$C$5:$C646,$C646)=1,1,0))</f>
        <v/>
      </c>
      <c r="V646" s="24">
        <f>IF(OR($B646="",$G646="",$G646="لا توجد مشاهدات"),0,1)</f>
        <v/>
      </c>
      <c r="W646" s="24">
        <f>IF(AND($B646&lt;&gt;"",$I646="تم تحرير مخالفة"),1,0)</f>
        <v/>
      </c>
      <c r="X646" s="24">
        <f>IF($B646="","",IF($S646=WkStart,COUNTIF($S$5:$S646,WkStart),""))</f>
        <v/>
      </c>
    </row>
    <row r="647">
      <c r="A647" s="16">
        <f>IF($B647="","",ROW()-4)</f>
        <v/>
      </c>
      <c r="B647" s="17" t="n"/>
      <c r="C647" s="18" t="n"/>
      <c r="D647" s="18" t="n"/>
      <c r="E647" s="19" t="n"/>
      <c r="F647" s="19" t="n"/>
      <c r="G647" s="18" t="n"/>
      <c r="H647" s="18" t="n"/>
      <c r="I647" s="18" t="n"/>
      <c r="J647" s="20" t="n"/>
      <c r="K647" s="21" t="n"/>
      <c r="L647" s="21" t="n"/>
      <c r="M647" s="18" t="n"/>
      <c r="N647" s="22">
        <f>IF($B647="","",CHOOSE(WEEKDAY($B647),"الأحد","الاثنين","الثلاثاء","الأربعاء","الخميس","الجمعة","السبت"))</f>
        <v/>
      </c>
      <c r="O647" s="23">
        <f>IF(OR($K647="",$L647=""),"",HYPERLINK("https://maps.google.com/?q="&amp;$K647&amp;","&amp;$L647,"عرض الموقع"))</f>
        <v/>
      </c>
      <c r="P647" s="23">
        <f>IF(OR($B647="",N($J647)=0),"",HYPERLINK(PhotoDir&amp;"/"&amp;YEAR($B647)&amp;"-"&amp;TEXT(MONTH($B647),"00")&amp;"-"&amp;TEXT(DAY($B647),"00")&amp;"_"&amp;$D647,"فتح الصور ("&amp;$J647&amp;")"))</f>
        <v/>
      </c>
      <c r="Q647" s="24">
        <f>IF($B647="","",MONTH($B647))</f>
        <v/>
      </c>
      <c r="R647" s="24">
        <f>IF($B647="","",YEAR($B647))</f>
        <v/>
      </c>
      <c r="S647" s="25">
        <f>IF($B647="","",$B647-WEEKDAY($B647,3))</f>
        <v/>
      </c>
      <c r="T647" s="24">
        <f>IF($B647="",0,IF(COUNTIFS($B$5:$B647,$B647,$D$5:$D647,$D647)=1,1,0))</f>
        <v/>
      </c>
      <c r="U647" s="24">
        <f>IF($B647="",0,IF(COUNTIFS($B$5:$B647,$B647,$C$5:$C647,$C647)=1,1,0))</f>
        <v/>
      </c>
      <c r="V647" s="24">
        <f>IF(OR($B647="",$G647="",$G647="لا توجد مشاهدات"),0,1)</f>
        <v/>
      </c>
      <c r="W647" s="24">
        <f>IF(AND($B647&lt;&gt;"",$I647="تم تحرير مخالفة"),1,0)</f>
        <v/>
      </c>
      <c r="X647" s="24">
        <f>IF($B647="","",IF($S647=WkStart,COUNTIF($S$5:$S647,WkStart),""))</f>
        <v/>
      </c>
    </row>
    <row r="648">
      <c r="A648" s="16">
        <f>IF($B648="","",ROW()-4)</f>
        <v/>
      </c>
      <c r="B648" s="17" t="n"/>
      <c r="C648" s="18" t="n"/>
      <c r="D648" s="18" t="n"/>
      <c r="E648" s="19" t="n"/>
      <c r="F648" s="19" t="n"/>
      <c r="G648" s="18" t="n"/>
      <c r="H648" s="18" t="n"/>
      <c r="I648" s="18" t="n"/>
      <c r="J648" s="20" t="n"/>
      <c r="K648" s="21" t="n"/>
      <c r="L648" s="21" t="n"/>
      <c r="M648" s="18" t="n"/>
      <c r="N648" s="22">
        <f>IF($B648="","",CHOOSE(WEEKDAY($B648),"الأحد","الاثنين","الثلاثاء","الأربعاء","الخميس","الجمعة","السبت"))</f>
        <v/>
      </c>
      <c r="O648" s="23">
        <f>IF(OR($K648="",$L648=""),"",HYPERLINK("https://maps.google.com/?q="&amp;$K648&amp;","&amp;$L648,"عرض الموقع"))</f>
        <v/>
      </c>
      <c r="P648" s="23">
        <f>IF(OR($B648="",N($J648)=0),"",HYPERLINK(PhotoDir&amp;"/"&amp;YEAR($B648)&amp;"-"&amp;TEXT(MONTH($B648),"00")&amp;"-"&amp;TEXT(DAY($B648),"00")&amp;"_"&amp;$D648,"فتح الصور ("&amp;$J648&amp;")"))</f>
        <v/>
      </c>
      <c r="Q648" s="24">
        <f>IF($B648="","",MONTH($B648))</f>
        <v/>
      </c>
      <c r="R648" s="24">
        <f>IF($B648="","",YEAR($B648))</f>
        <v/>
      </c>
      <c r="S648" s="25">
        <f>IF($B648="","",$B648-WEEKDAY($B648,3))</f>
        <v/>
      </c>
      <c r="T648" s="24">
        <f>IF($B648="",0,IF(COUNTIFS($B$5:$B648,$B648,$D$5:$D648,$D648)=1,1,0))</f>
        <v/>
      </c>
      <c r="U648" s="24">
        <f>IF($B648="",0,IF(COUNTIFS($B$5:$B648,$B648,$C$5:$C648,$C648)=1,1,0))</f>
        <v/>
      </c>
      <c r="V648" s="24">
        <f>IF(OR($B648="",$G648="",$G648="لا توجد مشاهدات"),0,1)</f>
        <v/>
      </c>
      <c r="W648" s="24">
        <f>IF(AND($B648&lt;&gt;"",$I648="تم تحرير مخالفة"),1,0)</f>
        <v/>
      </c>
      <c r="X648" s="24">
        <f>IF($B648="","",IF($S648=WkStart,COUNTIF($S$5:$S648,WkStart),""))</f>
        <v/>
      </c>
    </row>
    <row r="649">
      <c r="A649" s="16">
        <f>IF($B649="","",ROW()-4)</f>
        <v/>
      </c>
      <c r="B649" s="17" t="n"/>
      <c r="C649" s="18" t="n"/>
      <c r="D649" s="18" t="n"/>
      <c r="E649" s="19" t="n"/>
      <c r="F649" s="19" t="n"/>
      <c r="G649" s="18" t="n"/>
      <c r="H649" s="18" t="n"/>
      <c r="I649" s="18" t="n"/>
      <c r="J649" s="20" t="n"/>
      <c r="K649" s="21" t="n"/>
      <c r="L649" s="21" t="n"/>
      <c r="M649" s="18" t="n"/>
      <c r="N649" s="22">
        <f>IF($B649="","",CHOOSE(WEEKDAY($B649),"الأحد","الاثنين","الثلاثاء","الأربعاء","الخميس","الجمعة","السبت"))</f>
        <v/>
      </c>
      <c r="O649" s="23">
        <f>IF(OR($K649="",$L649=""),"",HYPERLINK("https://maps.google.com/?q="&amp;$K649&amp;","&amp;$L649,"عرض الموقع"))</f>
        <v/>
      </c>
      <c r="P649" s="23">
        <f>IF(OR($B649="",N($J649)=0),"",HYPERLINK(PhotoDir&amp;"/"&amp;YEAR($B649)&amp;"-"&amp;TEXT(MONTH($B649),"00")&amp;"-"&amp;TEXT(DAY($B649),"00")&amp;"_"&amp;$D649,"فتح الصور ("&amp;$J649&amp;")"))</f>
        <v/>
      </c>
      <c r="Q649" s="24">
        <f>IF($B649="","",MONTH($B649))</f>
        <v/>
      </c>
      <c r="R649" s="24">
        <f>IF($B649="","",YEAR($B649))</f>
        <v/>
      </c>
      <c r="S649" s="25">
        <f>IF($B649="","",$B649-WEEKDAY($B649,3))</f>
        <v/>
      </c>
      <c r="T649" s="24">
        <f>IF($B649="",0,IF(COUNTIFS($B$5:$B649,$B649,$D$5:$D649,$D649)=1,1,0))</f>
        <v/>
      </c>
      <c r="U649" s="24">
        <f>IF($B649="",0,IF(COUNTIFS($B$5:$B649,$B649,$C$5:$C649,$C649)=1,1,0))</f>
        <v/>
      </c>
      <c r="V649" s="24">
        <f>IF(OR($B649="",$G649="",$G649="لا توجد مشاهدات"),0,1)</f>
        <v/>
      </c>
      <c r="W649" s="24">
        <f>IF(AND($B649&lt;&gt;"",$I649="تم تحرير مخالفة"),1,0)</f>
        <v/>
      </c>
      <c r="X649" s="24">
        <f>IF($B649="","",IF($S649=WkStart,COUNTIF($S$5:$S649,WkStart),""))</f>
        <v/>
      </c>
    </row>
    <row r="650">
      <c r="A650" s="16">
        <f>IF($B650="","",ROW()-4)</f>
        <v/>
      </c>
      <c r="B650" s="17" t="n"/>
      <c r="C650" s="18" t="n"/>
      <c r="D650" s="18" t="n"/>
      <c r="E650" s="19" t="n"/>
      <c r="F650" s="19" t="n"/>
      <c r="G650" s="18" t="n"/>
      <c r="H650" s="18" t="n"/>
      <c r="I650" s="18" t="n"/>
      <c r="J650" s="20" t="n"/>
      <c r="K650" s="21" t="n"/>
      <c r="L650" s="21" t="n"/>
      <c r="M650" s="18" t="n"/>
      <c r="N650" s="22">
        <f>IF($B650="","",CHOOSE(WEEKDAY($B650),"الأحد","الاثنين","الثلاثاء","الأربعاء","الخميس","الجمعة","السبت"))</f>
        <v/>
      </c>
      <c r="O650" s="23">
        <f>IF(OR($K650="",$L650=""),"",HYPERLINK("https://maps.google.com/?q="&amp;$K650&amp;","&amp;$L650,"عرض الموقع"))</f>
        <v/>
      </c>
      <c r="P650" s="23">
        <f>IF(OR($B650="",N($J650)=0),"",HYPERLINK(PhotoDir&amp;"/"&amp;YEAR($B650)&amp;"-"&amp;TEXT(MONTH($B650),"00")&amp;"-"&amp;TEXT(DAY($B650),"00")&amp;"_"&amp;$D650,"فتح الصور ("&amp;$J650&amp;")"))</f>
        <v/>
      </c>
      <c r="Q650" s="24">
        <f>IF($B650="","",MONTH($B650))</f>
        <v/>
      </c>
      <c r="R650" s="24">
        <f>IF($B650="","",YEAR($B650))</f>
        <v/>
      </c>
      <c r="S650" s="25">
        <f>IF($B650="","",$B650-WEEKDAY($B650,3))</f>
        <v/>
      </c>
      <c r="T650" s="24">
        <f>IF($B650="",0,IF(COUNTIFS($B$5:$B650,$B650,$D$5:$D650,$D650)=1,1,0))</f>
        <v/>
      </c>
      <c r="U650" s="24">
        <f>IF($B650="",0,IF(COUNTIFS($B$5:$B650,$B650,$C$5:$C650,$C650)=1,1,0))</f>
        <v/>
      </c>
      <c r="V650" s="24">
        <f>IF(OR($B650="",$G650="",$G650="لا توجد مشاهدات"),0,1)</f>
        <v/>
      </c>
      <c r="W650" s="24">
        <f>IF(AND($B650&lt;&gt;"",$I650="تم تحرير مخالفة"),1,0)</f>
        <v/>
      </c>
      <c r="X650" s="24">
        <f>IF($B650="","",IF($S650=WkStart,COUNTIF($S$5:$S650,WkStart),""))</f>
        <v/>
      </c>
    </row>
    <row r="651">
      <c r="A651" s="16">
        <f>IF($B651="","",ROW()-4)</f>
        <v/>
      </c>
      <c r="B651" s="17" t="n"/>
      <c r="C651" s="18" t="n"/>
      <c r="D651" s="18" t="n"/>
      <c r="E651" s="19" t="n"/>
      <c r="F651" s="19" t="n"/>
      <c r="G651" s="18" t="n"/>
      <c r="H651" s="18" t="n"/>
      <c r="I651" s="18" t="n"/>
      <c r="J651" s="20" t="n"/>
      <c r="K651" s="21" t="n"/>
      <c r="L651" s="21" t="n"/>
      <c r="M651" s="18" t="n"/>
      <c r="N651" s="22">
        <f>IF($B651="","",CHOOSE(WEEKDAY($B651),"الأحد","الاثنين","الثلاثاء","الأربعاء","الخميس","الجمعة","السبت"))</f>
        <v/>
      </c>
      <c r="O651" s="23">
        <f>IF(OR($K651="",$L651=""),"",HYPERLINK("https://maps.google.com/?q="&amp;$K651&amp;","&amp;$L651,"عرض الموقع"))</f>
        <v/>
      </c>
      <c r="P651" s="23">
        <f>IF(OR($B651="",N($J651)=0),"",HYPERLINK(PhotoDir&amp;"/"&amp;YEAR($B651)&amp;"-"&amp;TEXT(MONTH($B651),"00")&amp;"-"&amp;TEXT(DAY($B651),"00")&amp;"_"&amp;$D651,"فتح الصور ("&amp;$J651&amp;")"))</f>
        <v/>
      </c>
      <c r="Q651" s="24">
        <f>IF($B651="","",MONTH($B651))</f>
        <v/>
      </c>
      <c r="R651" s="24">
        <f>IF($B651="","",YEAR($B651))</f>
        <v/>
      </c>
      <c r="S651" s="25">
        <f>IF($B651="","",$B651-WEEKDAY($B651,3))</f>
        <v/>
      </c>
      <c r="T651" s="24">
        <f>IF($B651="",0,IF(COUNTIFS($B$5:$B651,$B651,$D$5:$D651,$D651)=1,1,0))</f>
        <v/>
      </c>
      <c r="U651" s="24">
        <f>IF($B651="",0,IF(COUNTIFS($B$5:$B651,$B651,$C$5:$C651,$C651)=1,1,0))</f>
        <v/>
      </c>
      <c r="V651" s="24">
        <f>IF(OR($B651="",$G651="",$G651="لا توجد مشاهدات"),0,1)</f>
        <v/>
      </c>
      <c r="W651" s="24">
        <f>IF(AND($B651&lt;&gt;"",$I651="تم تحرير مخالفة"),1,0)</f>
        <v/>
      </c>
      <c r="X651" s="24">
        <f>IF($B651="","",IF($S651=WkStart,COUNTIF($S$5:$S651,WkStart),""))</f>
        <v/>
      </c>
    </row>
    <row r="652">
      <c r="A652" s="16">
        <f>IF($B652="","",ROW()-4)</f>
        <v/>
      </c>
      <c r="B652" s="17" t="n"/>
      <c r="C652" s="18" t="n"/>
      <c r="D652" s="18" t="n"/>
      <c r="E652" s="19" t="n"/>
      <c r="F652" s="19" t="n"/>
      <c r="G652" s="18" t="n"/>
      <c r="H652" s="18" t="n"/>
      <c r="I652" s="18" t="n"/>
      <c r="J652" s="20" t="n"/>
      <c r="K652" s="21" t="n"/>
      <c r="L652" s="21" t="n"/>
      <c r="M652" s="18" t="n"/>
      <c r="N652" s="22">
        <f>IF($B652="","",CHOOSE(WEEKDAY($B652),"الأحد","الاثنين","الثلاثاء","الأربعاء","الخميس","الجمعة","السبت"))</f>
        <v/>
      </c>
      <c r="O652" s="23">
        <f>IF(OR($K652="",$L652=""),"",HYPERLINK("https://maps.google.com/?q="&amp;$K652&amp;","&amp;$L652,"عرض الموقع"))</f>
        <v/>
      </c>
      <c r="P652" s="23">
        <f>IF(OR($B652="",N($J652)=0),"",HYPERLINK(PhotoDir&amp;"/"&amp;YEAR($B652)&amp;"-"&amp;TEXT(MONTH($B652),"00")&amp;"-"&amp;TEXT(DAY($B652),"00")&amp;"_"&amp;$D652,"فتح الصور ("&amp;$J652&amp;")"))</f>
        <v/>
      </c>
      <c r="Q652" s="24">
        <f>IF($B652="","",MONTH($B652))</f>
        <v/>
      </c>
      <c r="R652" s="24">
        <f>IF($B652="","",YEAR($B652))</f>
        <v/>
      </c>
      <c r="S652" s="25">
        <f>IF($B652="","",$B652-WEEKDAY($B652,3))</f>
        <v/>
      </c>
      <c r="T652" s="24">
        <f>IF($B652="",0,IF(COUNTIFS($B$5:$B652,$B652,$D$5:$D652,$D652)=1,1,0))</f>
        <v/>
      </c>
      <c r="U652" s="24">
        <f>IF($B652="",0,IF(COUNTIFS($B$5:$B652,$B652,$C$5:$C652,$C652)=1,1,0))</f>
        <v/>
      </c>
      <c r="V652" s="24">
        <f>IF(OR($B652="",$G652="",$G652="لا توجد مشاهدات"),0,1)</f>
        <v/>
      </c>
      <c r="W652" s="24">
        <f>IF(AND($B652&lt;&gt;"",$I652="تم تحرير مخالفة"),1,0)</f>
        <v/>
      </c>
      <c r="X652" s="24">
        <f>IF($B652="","",IF($S652=WkStart,COUNTIF($S$5:$S652,WkStart),""))</f>
        <v/>
      </c>
    </row>
    <row r="653">
      <c r="A653" s="16">
        <f>IF($B653="","",ROW()-4)</f>
        <v/>
      </c>
      <c r="B653" s="17" t="n"/>
      <c r="C653" s="18" t="n"/>
      <c r="D653" s="18" t="n"/>
      <c r="E653" s="19" t="n"/>
      <c r="F653" s="19" t="n"/>
      <c r="G653" s="18" t="n"/>
      <c r="H653" s="18" t="n"/>
      <c r="I653" s="18" t="n"/>
      <c r="J653" s="20" t="n"/>
      <c r="K653" s="21" t="n"/>
      <c r="L653" s="21" t="n"/>
      <c r="M653" s="18" t="n"/>
      <c r="N653" s="22">
        <f>IF($B653="","",CHOOSE(WEEKDAY($B653),"الأحد","الاثنين","الثلاثاء","الأربعاء","الخميس","الجمعة","السبت"))</f>
        <v/>
      </c>
      <c r="O653" s="23">
        <f>IF(OR($K653="",$L653=""),"",HYPERLINK("https://maps.google.com/?q="&amp;$K653&amp;","&amp;$L653,"عرض الموقع"))</f>
        <v/>
      </c>
      <c r="P653" s="23">
        <f>IF(OR($B653="",N($J653)=0),"",HYPERLINK(PhotoDir&amp;"/"&amp;YEAR($B653)&amp;"-"&amp;TEXT(MONTH($B653),"00")&amp;"-"&amp;TEXT(DAY($B653),"00")&amp;"_"&amp;$D653,"فتح الصور ("&amp;$J653&amp;")"))</f>
        <v/>
      </c>
      <c r="Q653" s="24">
        <f>IF($B653="","",MONTH($B653))</f>
        <v/>
      </c>
      <c r="R653" s="24">
        <f>IF($B653="","",YEAR($B653))</f>
        <v/>
      </c>
      <c r="S653" s="25">
        <f>IF($B653="","",$B653-WEEKDAY($B653,3))</f>
        <v/>
      </c>
      <c r="T653" s="24">
        <f>IF($B653="",0,IF(COUNTIFS($B$5:$B653,$B653,$D$5:$D653,$D653)=1,1,0))</f>
        <v/>
      </c>
      <c r="U653" s="24">
        <f>IF($B653="",0,IF(COUNTIFS($B$5:$B653,$B653,$C$5:$C653,$C653)=1,1,0))</f>
        <v/>
      </c>
      <c r="V653" s="24">
        <f>IF(OR($B653="",$G653="",$G653="لا توجد مشاهدات"),0,1)</f>
        <v/>
      </c>
      <c r="W653" s="24">
        <f>IF(AND($B653&lt;&gt;"",$I653="تم تحرير مخالفة"),1,0)</f>
        <v/>
      </c>
      <c r="X653" s="24">
        <f>IF($B653="","",IF($S653=WkStart,COUNTIF($S$5:$S653,WkStart),""))</f>
        <v/>
      </c>
    </row>
    <row r="654">
      <c r="A654" s="16">
        <f>IF($B654="","",ROW()-4)</f>
        <v/>
      </c>
      <c r="B654" s="17" t="n"/>
      <c r="C654" s="18" t="n"/>
      <c r="D654" s="18" t="n"/>
      <c r="E654" s="19" t="n"/>
      <c r="F654" s="19" t="n"/>
      <c r="G654" s="18" t="n"/>
      <c r="H654" s="18" t="n"/>
      <c r="I654" s="18" t="n"/>
      <c r="J654" s="20" t="n"/>
      <c r="K654" s="21" t="n"/>
      <c r="L654" s="21" t="n"/>
      <c r="M654" s="18" t="n"/>
      <c r="N654" s="22">
        <f>IF($B654="","",CHOOSE(WEEKDAY($B654),"الأحد","الاثنين","الثلاثاء","الأربعاء","الخميس","الجمعة","السبت"))</f>
        <v/>
      </c>
      <c r="O654" s="23">
        <f>IF(OR($K654="",$L654=""),"",HYPERLINK("https://maps.google.com/?q="&amp;$K654&amp;","&amp;$L654,"عرض الموقع"))</f>
        <v/>
      </c>
      <c r="P654" s="23">
        <f>IF(OR($B654="",N($J654)=0),"",HYPERLINK(PhotoDir&amp;"/"&amp;YEAR($B654)&amp;"-"&amp;TEXT(MONTH($B654),"00")&amp;"-"&amp;TEXT(DAY($B654),"00")&amp;"_"&amp;$D654,"فتح الصور ("&amp;$J654&amp;")"))</f>
        <v/>
      </c>
      <c r="Q654" s="24">
        <f>IF($B654="","",MONTH($B654))</f>
        <v/>
      </c>
      <c r="R654" s="24">
        <f>IF($B654="","",YEAR($B654))</f>
        <v/>
      </c>
      <c r="S654" s="25">
        <f>IF($B654="","",$B654-WEEKDAY($B654,3))</f>
        <v/>
      </c>
      <c r="T654" s="24">
        <f>IF($B654="",0,IF(COUNTIFS($B$5:$B654,$B654,$D$5:$D654,$D654)=1,1,0))</f>
        <v/>
      </c>
      <c r="U654" s="24">
        <f>IF($B654="",0,IF(COUNTIFS($B$5:$B654,$B654,$C$5:$C654,$C654)=1,1,0))</f>
        <v/>
      </c>
      <c r="V654" s="24">
        <f>IF(OR($B654="",$G654="",$G654="لا توجد مشاهدات"),0,1)</f>
        <v/>
      </c>
      <c r="W654" s="24">
        <f>IF(AND($B654&lt;&gt;"",$I654="تم تحرير مخالفة"),1,0)</f>
        <v/>
      </c>
      <c r="X654" s="24">
        <f>IF($B654="","",IF($S654=WkStart,COUNTIF($S$5:$S654,WkStart),""))</f>
        <v/>
      </c>
    </row>
    <row r="655">
      <c r="A655" s="16">
        <f>IF($B655="","",ROW()-4)</f>
        <v/>
      </c>
      <c r="B655" s="17" t="n"/>
      <c r="C655" s="18" t="n"/>
      <c r="D655" s="18" t="n"/>
      <c r="E655" s="19" t="n"/>
      <c r="F655" s="19" t="n"/>
      <c r="G655" s="18" t="n"/>
      <c r="H655" s="18" t="n"/>
      <c r="I655" s="18" t="n"/>
      <c r="J655" s="20" t="n"/>
      <c r="K655" s="21" t="n"/>
      <c r="L655" s="21" t="n"/>
      <c r="M655" s="18" t="n"/>
      <c r="N655" s="22">
        <f>IF($B655="","",CHOOSE(WEEKDAY($B655),"الأحد","الاثنين","الثلاثاء","الأربعاء","الخميس","الجمعة","السبت"))</f>
        <v/>
      </c>
      <c r="O655" s="23">
        <f>IF(OR($K655="",$L655=""),"",HYPERLINK("https://maps.google.com/?q="&amp;$K655&amp;","&amp;$L655,"عرض الموقع"))</f>
        <v/>
      </c>
      <c r="P655" s="23">
        <f>IF(OR($B655="",N($J655)=0),"",HYPERLINK(PhotoDir&amp;"/"&amp;YEAR($B655)&amp;"-"&amp;TEXT(MONTH($B655),"00")&amp;"-"&amp;TEXT(DAY($B655),"00")&amp;"_"&amp;$D655,"فتح الصور ("&amp;$J655&amp;")"))</f>
        <v/>
      </c>
      <c r="Q655" s="24">
        <f>IF($B655="","",MONTH($B655))</f>
        <v/>
      </c>
      <c r="R655" s="24">
        <f>IF($B655="","",YEAR($B655))</f>
        <v/>
      </c>
      <c r="S655" s="25">
        <f>IF($B655="","",$B655-WEEKDAY($B655,3))</f>
        <v/>
      </c>
      <c r="T655" s="24">
        <f>IF($B655="",0,IF(COUNTIFS($B$5:$B655,$B655,$D$5:$D655,$D655)=1,1,0))</f>
        <v/>
      </c>
      <c r="U655" s="24">
        <f>IF($B655="",0,IF(COUNTIFS($B$5:$B655,$B655,$C$5:$C655,$C655)=1,1,0))</f>
        <v/>
      </c>
      <c r="V655" s="24">
        <f>IF(OR($B655="",$G655="",$G655="لا توجد مشاهدات"),0,1)</f>
        <v/>
      </c>
      <c r="W655" s="24">
        <f>IF(AND($B655&lt;&gt;"",$I655="تم تحرير مخالفة"),1,0)</f>
        <v/>
      </c>
      <c r="X655" s="24">
        <f>IF($B655="","",IF($S655=WkStart,COUNTIF($S$5:$S655,WkStart),""))</f>
        <v/>
      </c>
    </row>
    <row r="656">
      <c r="A656" s="16">
        <f>IF($B656="","",ROW()-4)</f>
        <v/>
      </c>
      <c r="B656" s="17" t="n"/>
      <c r="C656" s="18" t="n"/>
      <c r="D656" s="18" t="n"/>
      <c r="E656" s="19" t="n"/>
      <c r="F656" s="19" t="n"/>
      <c r="G656" s="18" t="n"/>
      <c r="H656" s="18" t="n"/>
      <c r="I656" s="18" t="n"/>
      <c r="J656" s="20" t="n"/>
      <c r="K656" s="21" t="n"/>
      <c r="L656" s="21" t="n"/>
      <c r="M656" s="18" t="n"/>
      <c r="N656" s="22">
        <f>IF($B656="","",CHOOSE(WEEKDAY($B656),"الأحد","الاثنين","الثلاثاء","الأربعاء","الخميس","الجمعة","السبت"))</f>
        <v/>
      </c>
      <c r="O656" s="23">
        <f>IF(OR($K656="",$L656=""),"",HYPERLINK("https://maps.google.com/?q="&amp;$K656&amp;","&amp;$L656,"عرض الموقع"))</f>
        <v/>
      </c>
      <c r="P656" s="23">
        <f>IF(OR($B656="",N($J656)=0),"",HYPERLINK(PhotoDir&amp;"/"&amp;YEAR($B656)&amp;"-"&amp;TEXT(MONTH($B656),"00")&amp;"-"&amp;TEXT(DAY($B656),"00")&amp;"_"&amp;$D656,"فتح الصور ("&amp;$J656&amp;")"))</f>
        <v/>
      </c>
      <c r="Q656" s="24">
        <f>IF($B656="","",MONTH($B656))</f>
        <v/>
      </c>
      <c r="R656" s="24">
        <f>IF($B656="","",YEAR($B656))</f>
        <v/>
      </c>
      <c r="S656" s="25">
        <f>IF($B656="","",$B656-WEEKDAY($B656,3))</f>
        <v/>
      </c>
      <c r="T656" s="24">
        <f>IF($B656="",0,IF(COUNTIFS($B$5:$B656,$B656,$D$5:$D656,$D656)=1,1,0))</f>
        <v/>
      </c>
      <c r="U656" s="24">
        <f>IF($B656="",0,IF(COUNTIFS($B$5:$B656,$B656,$C$5:$C656,$C656)=1,1,0))</f>
        <v/>
      </c>
      <c r="V656" s="24">
        <f>IF(OR($B656="",$G656="",$G656="لا توجد مشاهدات"),0,1)</f>
        <v/>
      </c>
      <c r="W656" s="24">
        <f>IF(AND($B656&lt;&gt;"",$I656="تم تحرير مخالفة"),1,0)</f>
        <v/>
      </c>
      <c r="X656" s="24">
        <f>IF($B656="","",IF($S656=WkStart,COUNTIF($S$5:$S656,WkStart),""))</f>
        <v/>
      </c>
    </row>
    <row r="657">
      <c r="A657" s="16">
        <f>IF($B657="","",ROW()-4)</f>
        <v/>
      </c>
      <c r="B657" s="17" t="n"/>
      <c r="C657" s="18" t="n"/>
      <c r="D657" s="18" t="n"/>
      <c r="E657" s="19" t="n"/>
      <c r="F657" s="19" t="n"/>
      <c r="G657" s="18" t="n"/>
      <c r="H657" s="18" t="n"/>
      <c r="I657" s="18" t="n"/>
      <c r="J657" s="20" t="n"/>
      <c r="K657" s="21" t="n"/>
      <c r="L657" s="21" t="n"/>
      <c r="M657" s="18" t="n"/>
      <c r="N657" s="22">
        <f>IF($B657="","",CHOOSE(WEEKDAY($B657),"الأحد","الاثنين","الثلاثاء","الأربعاء","الخميس","الجمعة","السبت"))</f>
        <v/>
      </c>
      <c r="O657" s="23">
        <f>IF(OR($K657="",$L657=""),"",HYPERLINK("https://maps.google.com/?q="&amp;$K657&amp;","&amp;$L657,"عرض الموقع"))</f>
        <v/>
      </c>
      <c r="P657" s="23">
        <f>IF(OR($B657="",N($J657)=0),"",HYPERLINK(PhotoDir&amp;"/"&amp;YEAR($B657)&amp;"-"&amp;TEXT(MONTH($B657),"00")&amp;"-"&amp;TEXT(DAY($B657),"00")&amp;"_"&amp;$D657,"فتح الصور ("&amp;$J657&amp;")"))</f>
        <v/>
      </c>
      <c r="Q657" s="24">
        <f>IF($B657="","",MONTH($B657))</f>
        <v/>
      </c>
      <c r="R657" s="24">
        <f>IF($B657="","",YEAR($B657))</f>
        <v/>
      </c>
      <c r="S657" s="25">
        <f>IF($B657="","",$B657-WEEKDAY($B657,3))</f>
        <v/>
      </c>
      <c r="T657" s="24">
        <f>IF($B657="",0,IF(COUNTIFS($B$5:$B657,$B657,$D$5:$D657,$D657)=1,1,0))</f>
        <v/>
      </c>
      <c r="U657" s="24">
        <f>IF($B657="",0,IF(COUNTIFS($B$5:$B657,$B657,$C$5:$C657,$C657)=1,1,0))</f>
        <v/>
      </c>
      <c r="V657" s="24">
        <f>IF(OR($B657="",$G657="",$G657="لا توجد مشاهدات"),0,1)</f>
        <v/>
      </c>
      <c r="W657" s="24">
        <f>IF(AND($B657&lt;&gt;"",$I657="تم تحرير مخالفة"),1,0)</f>
        <v/>
      </c>
      <c r="X657" s="24">
        <f>IF($B657="","",IF($S657=WkStart,COUNTIF($S$5:$S657,WkStart),""))</f>
        <v/>
      </c>
    </row>
    <row r="658">
      <c r="A658" s="16">
        <f>IF($B658="","",ROW()-4)</f>
        <v/>
      </c>
      <c r="B658" s="17" t="n"/>
      <c r="C658" s="18" t="n"/>
      <c r="D658" s="18" t="n"/>
      <c r="E658" s="19" t="n"/>
      <c r="F658" s="19" t="n"/>
      <c r="G658" s="18" t="n"/>
      <c r="H658" s="18" t="n"/>
      <c r="I658" s="18" t="n"/>
      <c r="J658" s="20" t="n"/>
      <c r="K658" s="21" t="n"/>
      <c r="L658" s="21" t="n"/>
      <c r="M658" s="18" t="n"/>
      <c r="N658" s="22">
        <f>IF($B658="","",CHOOSE(WEEKDAY($B658),"الأحد","الاثنين","الثلاثاء","الأربعاء","الخميس","الجمعة","السبت"))</f>
        <v/>
      </c>
      <c r="O658" s="23">
        <f>IF(OR($K658="",$L658=""),"",HYPERLINK("https://maps.google.com/?q="&amp;$K658&amp;","&amp;$L658,"عرض الموقع"))</f>
        <v/>
      </c>
      <c r="P658" s="23">
        <f>IF(OR($B658="",N($J658)=0),"",HYPERLINK(PhotoDir&amp;"/"&amp;YEAR($B658)&amp;"-"&amp;TEXT(MONTH($B658),"00")&amp;"-"&amp;TEXT(DAY($B658),"00")&amp;"_"&amp;$D658,"فتح الصور ("&amp;$J658&amp;")"))</f>
        <v/>
      </c>
      <c r="Q658" s="24">
        <f>IF($B658="","",MONTH($B658))</f>
        <v/>
      </c>
      <c r="R658" s="24">
        <f>IF($B658="","",YEAR($B658))</f>
        <v/>
      </c>
      <c r="S658" s="25">
        <f>IF($B658="","",$B658-WEEKDAY($B658,3))</f>
        <v/>
      </c>
      <c r="T658" s="24">
        <f>IF($B658="",0,IF(COUNTIFS($B$5:$B658,$B658,$D$5:$D658,$D658)=1,1,0))</f>
        <v/>
      </c>
      <c r="U658" s="24">
        <f>IF($B658="",0,IF(COUNTIFS($B$5:$B658,$B658,$C$5:$C658,$C658)=1,1,0))</f>
        <v/>
      </c>
      <c r="V658" s="24">
        <f>IF(OR($B658="",$G658="",$G658="لا توجد مشاهدات"),0,1)</f>
        <v/>
      </c>
      <c r="W658" s="24">
        <f>IF(AND($B658&lt;&gt;"",$I658="تم تحرير مخالفة"),1,0)</f>
        <v/>
      </c>
      <c r="X658" s="24">
        <f>IF($B658="","",IF($S658=WkStart,COUNTIF($S$5:$S658,WkStart),""))</f>
        <v/>
      </c>
    </row>
    <row r="659">
      <c r="A659" s="16">
        <f>IF($B659="","",ROW()-4)</f>
        <v/>
      </c>
      <c r="B659" s="17" t="n"/>
      <c r="C659" s="18" t="n"/>
      <c r="D659" s="18" t="n"/>
      <c r="E659" s="19" t="n"/>
      <c r="F659" s="19" t="n"/>
      <c r="G659" s="18" t="n"/>
      <c r="H659" s="18" t="n"/>
      <c r="I659" s="18" t="n"/>
      <c r="J659" s="20" t="n"/>
      <c r="K659" s="21" t="n"/>
      <c r="L659" s="21" t="n"/>
      <c r="M659" s="18" t="n"/>
      <c r="N659" s="22">
        <f>IF($B659="","",CHOOSE(WEEKDAY($B659),"الأحد","الاثنين","الثلاثاء","الأربعاء","الخميس","الجمعة","السبت"))</f>
        <v/>
      </c>
      <c r="O659" s="23">
        <f>IF(OR($K659="",$L659=""),"",HYPERLINK("https://maps.google.com/?q="&amp;$K659&amp;","&amp;$L659,"عرض الموقع"))</f>
        <v/>
      </c>
      <c r="P659" s="23">
        <f>IF(OR($B659="",N($J659)=0),"",HYPERLINK(PhotoDir&amp;"/"&amp;YEAR($B659)&amp;"-"&amp;TEXT(MONTH($B659),"00")&amp;"-"&amp;TEXT(DAY($B659),"00")&amp;"_"&amp;$D659,"فتح الصور ("&amp;$J659&amp;")"))</f>
        <v/>
      </c>
      <c r="Q659" s="24">
        <f>IF($B659="","",MONTH($B659))</f>
        <v/>
      </c>
      <c r="R659" s="24">
        <f>IF($B659="","",YEAR($B659))</f>
        <v/>
      </c>
      <c r="S659" s="25">
        <f>IF($B659="","",$B659-WEEKDAY($B659,3))</f>
        <v/>
      </c>
      <c r="T659" s="24">
        <f>IF($B659="",0,IF(COUNTIFS($B$5:$B659,$B659,$D$5:$D659,$D659)=1,1,0))</f>
        <v/>
      </c>
      <c r="U659" s="24">
        <f>IF($B659="",0,IF(COUNTIFS($B$5:$B659,$B659,$C$5:$C659,$C659)=1,1,0))</f>
        <v/>
      </c>
      <c r="V659" s="24">
        <f>IF(OR($B659="",$G659="",$G659="لا توجد مشاهدات"),0,1)</f>
        <v/>
      </c>
      <c r="W659" s="24">
        <f>IF(AND($B659&lt;&gt;"",$I659="تم تحرير مخالفة"),1,0)</f>
        <v/>
      </c>
      <c r="X659" s="24">
        <f>IF($B659="","",IF($S659=WkStart,COUNTIF($S$5:$S659,WkStart),""))</f>
        <v/>
      </c>
    </row>
    <row r="660">
      <c r="A660" s="16">
        <f>IF($B660="","",ROW()-4)</f>
        <v/>
      </c>
      <c r="B660" s="17" t="n"/>
      <c r="C660" s="18" t="n"/>
      <c r="D660" s="18" t="n"/>
      <c r="E660" s="19" t="n"/>
      <c r="F660" s="19" t="n"/>
      <c r="G660" s="18" t="n"/>
      <c r="H660" s="18" t="n"/>
      <c r="I660" s="18" t="n"/>
      <c r="J660" s="20" t="n"/>
      <c r="K660" s="21" t="n"/>
      <c r="L660" s="21" t="n"/>
      <c r="M660" s="18" t="n"/>
      <c r="N660" s="22">
        <f>IF($B660="","",CHOOSE(WEEKDAY($B660),"الأحد","الاثنين","الثلاثاء","الأربعاء","الخميس","الجمعة","السبت"))</f>
        <v/>
      </c>
      <c r="O660" s="23">
        <f>IF(OR($K660="",$L660=""),"",HYPERLINK("https://maps.google.com/?q="&amp;$K660&amp;","&amp;$L660,"عرض الموقع"))</f>
        <v/>
      </c>
      <c r="P660" s="23">
        <f>IF(OR($B660="",N($J660)=0),"",HYPERLINK(PhotoDir&amp;"/"&amp;YEAR($B660)&amp;"-"&amp;TEXT(MONTH($B660),"00")&amp;"-"&amp;TEXT(DAY($B660),"00")&amp;"_"&amp;$D660,"فتح الصور ("&amp;$J660&amp;")"))</f>
        <v/>
      </c>
      <c r="Q660" s="24">
        <f>IF($B660="","",MONTH($B660))</f>
        <v/>
      </c>
      <c r="R660" s="24">
        <f>IF($B660="","",YEAR($B660))</f>
        <v/>
      </c>
      <c r="S660" s="25">
        <f>IF($B660="","",$B660-WEEKDAY($B660,3))</f>
        <v/>
      </c>
      <c r="T660" s="24">
        <f>IF($B660="",0,IF(COUNTIFS($B$5:$B660,$B660,$D$5:$D660,$D660)=1,1,0))</f>
        <v/>
      </c>
      <c r="U660" s="24">
        <f>IF($B660="",0,IF(COUNTIFS($B$5:$B660,$B660,$C$5:$C660,$C660)=1,1,0))</f>
        <v/>
      </c>
      <c r="V660" s="24">
        <f>IF(OR($B660="",$G660="",$G660="لا توجد مشاهدات"),0,1)</f>
        <v/>
      </c>
      <c r="W660" s="24">
        <f>IF(AND($B660&lt;&gt;"",$I660="تم تحرير مخالفة"),1,0)</f>
        <v/>
      </c>
      <c r="X660" s="24">
        <f>IF($B660="","",IF($S660=WkStart,COUNTIF($S$5:$S660,WkStart),""))</f>
        <v/>
      </c>
    </row>
    <row r="661">
      <c r="A661" s="16">
        <f>IF($B661="","",ROW()-4)</f>
        <v/>
      </c>
      <c r="B661" s="17" t="n"/>
      <c r="C661" s="18" t="n"/>
      <c r="D661" s="18" t="n"/>
      <c r="E661" s="19" t="n"/>
      <c r="F661" s="19" t="n"/>
      <c r="G661" s="18" t="n"/>
      <c r="H661" s="18" t="n"/>
      <c r="I661" s="18" t="n"/>
      <c r="J661" s="20" t="n"/>
      <c r="K661" s="21" t="n"/>
      <c r="L661" s="21" t="n"/>
      <c r="M661" s="18" t="n"/>
      <c r="N661" s="22">
        <f>IF($B661="","",CHOOSE(WEEKDAY($B661),"الأحد","الاثنين","الثلاثاء","الأربعاء","الخميس","الجمعة","السبت"))</f>
        <v/>
      </c>
      <c r="O661" s="23">
        <f>IF(OR($K661="",$L661=""),"",HYPERLINK("https://maps.google.com/?q="&amp;$K661&amp;","&amp;$L661,"عرض الموقع"))</f>
        <v/>
      </c>
      <c r="P661" s="23">
        <f>IF(OR($B661="",N($J661)=0),"",HYPERLINK(PhotoDir&amp;"/"&amp;YEAR($B661)&amp;"-"&amp;TEXT(MONTH($B661),"00")&amp;"-"&amp;TEXT(DAY($B661),"00")&amp;"_"&amp;$D661,"فتح الصور ("&amp;$J661&amp;")"))</f>
        <v/>
      </c>
      <c r="Q661" s="24">
        <f>IF($B661="","",MONTH($B661))</f>
        <v/>
      </c>
      <c r="R661" s="24">
        <f>IF($B661="","",YEAR($B661))</f>
        <v/>
      </c>
      <c r="S661" s="25">
        <f>IF($B661="","",$B661-WEEKDAY($B661,3))</f>
        <v/>
      </c>
      <c r="T661" s="24">
        <f>IF($B661="",0,IF(COUNTIFS($B$5:$B661,$B661,$D$5:$D661,$D661)=1,1,0))</f>
        <v/>
      </c>
      <c r="U661" s="24">
        <f>IF($B661="",0,IF(COUNTIFS($B$5:$B661,$B661,$C$5:$C661,$C661)=1,1,0))</f>
        <v/>
      </c>
      <c r="V661" s="24">
        <f>IF(OR($B661="",$G661="",$G661="لا توجد مشاهدات"),0,1)</f>
        <v/>
      </c>
      <c r="W661" s="24">
        <f>IF(AND($B661&lt;&gt;"",$I661="تم تحرير مخالفة"),1,0)</f>
        <v/>
      </c>
      <c r="X661" s="24">
        <f>IF($B661="","",IF($S661=WkStart,COUNTIF($S$5:$S661,WkStart),""))</f>
        <v/>
      </c>
    </row>
    <row r="662">
      <c r="A662" s="16">
        <f>IF($B662="","",ROW()-4)</f>
        <v/>
      </c>
      <c r="B662" s="17" t="n"/>
      <c r="C662" s="18" t="n"/>
      <c r="D662" s="18" t="n"/>
      <c r="E662" s="19" t="n"/>
      <c r="F662" s="19" t="n"/>
      <c r="G662" s="18" t="n"/>
      <c r="H662" s="18" t="n"/>
      <c r="I662" s="18" t="n"/>
      <c r="J662" s="20" t="n"/>
      <c r="K662" s="21" t="n"/>
      <c r="L662" s="21" t="n"/>
      <c r="M662" s="18" t="n"/>
      <c r="N662" s="22">
        <f>IF($B662="","",CHOOSE(WEEKDAY($B662),"الأحد","الاثنين","الثلاثاء","الأربعاء","الخميس","الجمعة","السبت"))</f>
        <v/>
      </c>
      <c r="O662" s="23">
        <f>IF(OR($K662="",$L662=""),"",HYPERLINK("https://maps.google.com/?q="&amp;$K662&amp;","&amp;$L662,"عرض الموقع"))</f>
        <v/>
      </c>
      <c r="P662" s="23">
        <f>IF(OR($B662="",N($J662)=0),"",HYPERLINK(PhotoDir&amp;"/"&amp;YEAR($B662)&amp;"-"&amp;TEXT(MONTH($B662),"00")&amp;"-"&amp;TEXT(DAY($B662),"00")&amp;"_"&amp;$D662,"فتح الصور ("&amp;$J662&amp;")"))</f>
        <v/>
      </c>
      <c r="Q662" s="24">
        <f>IF($B662="","",MONTH($B662))</f>
        <v/>
      </c>
      <c r="R662" s="24">
        <f>IF($B662="","",YEAR($B662))</f>
        <v/>
      </c>
      <c r="S662" s="25">
        <f>IF($B662="","",$B662-WEEKDAY($B662,3))</f>
        <v/>
      </c>
      <c r="T662" s="24">
        <f>IF($B662="",0,IF(COUNTIFS($B$5:$B662,$B662,$D$5:$D662,$D662)=1,1,0))</f>
        <v/>
      </c>
      <c r="U662" s="24">
        <f>IF($B662="",0,IF(COUNTIFS($B$5:$B662,$B662,$C$5:$C662,$C662)=1,1,0))</f>
        <v/>
      </c>
      <c r="V662" s="24">
        <f>IF(OR($B662="",$G662="",$G662="لا توجد مشاهدات"),0,1)</f>
        <v/>
      </c>
      <c r="W662" s="24">
        <f>IF(AND($B662&lt;&gt;"",$I662="تم تحرير مخالفة"),1,0)</f>
        <v/>
      </c>
      <c r="X662" s="24">
        <f>IF($B662="","",IF($S662=WkStart,COUNTIF($S$5:$S662,WkStart),""))</f>
        <v/>
      </c>
    </row>
    <row r="663">
      <c r="A663" s="16">
        <f>IF($B663="","",ROW()-4)</f>
        <v/>
      </c>
      <c r="B663" s="17" t="n"/>
      <c r="C663" s="18" t="n"/>
      <c r="D663" s="18" t="n"/>
      <c r="E663" s="19" t="n"/>
      <c r="F663" s="19" t="n"/>
      <c r="G663" s="18" t="n"/>
      <c r="H663" s="18" t="n"/>
      <c r="I663" s="18" t="n"/>
      <c r="J663" s="20" t="n"/>
      <c r="K663" s="21" t="n"/>
      <c r="L663" s="21" t="n"/>
      <c r="M663" s="18" t="n"/>
      <c r="N663" s="22">
        <f>IF($B663="","",CHOOSE(WEEKDAY($B663),"الأحد","الاثنين","الثلاثاء","الأربعاء","الخميس","الجمعة","السبت"))</f>
        <v/>
      </c>
      <c r="O663" s="23">
        <f>IF(OR($K663="",$L663=""),"",HYPERLINK("https://maps.google.com/?q="&amp;$K663&amp;","&amp;$L663,"عرض الموقع"))</f>
        <v/>
      </c>
      <c r="P663" s="23">
        <f>IF(OR($B663="",N($J663)=0),"",HYPERLINK(PhotoDir&amp;"/"&amp;YEAR($B663)&amp;"-"&amp;TEXT(MONTH($B663),"00")&amp;"-"&amp;TEXT(DAY($B663),"00")&amp;"_"&amp;$D663,"فتح الصور ("&amp;$J663&amp;")"))</f>
        <v/>
      </c>
      <c r="Q663" s="24">
        <f>IF($B663="","",MONTH($B663))</f>
        <v/>
      </c>
      <c r="R663" s="24">
        <f>IF($B663="","",YEAR($B663))</f>
        <v/>
      </c>
      <c r="S663" s="25">
        <f>IF($B663="","",$B663-WEEKDAY($B663,3))</f>
        <v/>
      </c>
      <c r="T663" s="24">
        <f>IF($B663="",0,IF(COUNTIFS($B$5:$B663,$B663,$D$5:$D663,$D663)=1,1,0))</f>
        <v/>
      </c>
      <c r="U663" s="24">
        <f>IF($B663="",0,IF(COUNTIFS($B$5:$B663,$B663,$C$5:$C663,$C663)=1,1,0))</f>
        <v/>
      </c>
      <c r="V663" s="24">
        <f>IF(OR($B663="",$G663="",$G663="لا توجد مشاهدات"),0,1)</f>
        <v/>
      </c>
      <c r="W663" s="24">
        <f>IF(AND($B663&lt;&gt;"",$I663="تم تحرير مخالفة"),1,0)</f>
        <v/>
      </c>
      <c r="X663" s="24">
        <f>IF($B663="","",IF($S663=WkStart,COUNTIF($S$5:$S663,WkStart),""))</f>
        <v/>
      </c>
    </row>
    <row r="664">
      <c r="A664" s="16">
        <f>IF($B664="","",ROW()-4)</f>
        <v/>
      </c>
      <c r="B664" s="17" t="n"/>
      <c r="C664" s="18" t="n"/>
      <c r="D664" s="18" t="n"/>
      <c r="E664" s="19" t="n"/>
      <c r="F664" s="19" t="n"/>
      <c r="G664" s="18" t="n"/>
      <c r="H664" s="18" t="n"/>
      <c r="I664" s="18" t="n"/>
      <c r="J664" s="20" t="n"/>
      <c r="K664" s="21" t="n"/>
      <c r="L664" s="21" t="n"/>
      <c r="M664" s="18" t="n"/>
      <c r="N664" s="22">
        <f>IF($B664="","",CHOOSE(WEEKDAY($B664),"الأحد","الاثنين","الثلاثاء","الأربعاء","الخميس","الجمعة","السبت"))</f>
        <v/>
      </c>
      <c r="O664" s="23">
        <f>IF(OR($K664="",$L664=""),"",HYPERLINK("https://maps.google.com/?q="&amp;$K664&amp;","&amp;$L664,"عرض الموقع"))</f>
        <v/>
      </c>
      <c r="P664" s="23">
        <f>IF(OR($B664="",N($J664)=0),"",HYPERLINK(PhotoDir&amp;"/"&amp;YEAR($B664)&amp;"-"&amp;TEXT(MONTH($B664),"00")&amp;"-"&amp;TEXT(DAY($B664),"00")&amp;"_"&amp;$D664,"فتح الصور ("&amp;$J664&amp;")"))</f>
        <v/>
      </c>
      <c r="Q664" s="24">
        <f>IF($B664="","",MONTH($B664))</f>
        <v/>
      </c>
      <c r="R664" s="24">
        <f>IF($B664="","",YEAR($B664))</f>
        <v/>
      </c>
      <c r="S664" s="25">
        <f>IF($B664="","",$B664-WEEKDAY($B664,3))</f>
        <v/>
      </c>
      <c r="T664" s="24">
        <f>IF($B664="",0,IF(COUNTIFS($B$5:$B664,$B664,$D$5:$D664,$D664)=1,1,0))</f>
        <v/>
      </c>
      <c r="U664" s="24">
        <f>IF($B664="",0,IF(COUNTIFS($B$5:$B664,$B664,$C$5:$C664,$C664)=1,1,0))</f>
        <v/>
      </c>
      <c r="V664" s="24">
        <f>IF(OR($B664="",$G664="",$G664="لا توجد مشاهدات"),0,1)</f>
        <v/>
      </c>
      <c r="W664" s="24">
        <f>IF(AND($B664&lt;&gt;"",$I664="تم تحرير مخالفة"),1,0)</f>
        <v/>
      </c>
      <c r="X664" s="24">
        <f>IF($B664="","",IF($S664=WkStart,COUNTIF($S$5:$S664,WkStart),""))</f>
        <v/>
      </c>
    </row>
    <row r="665">
      <c r="A665" s="16">
        <f>IF($B665="","",ROW()-4)</f>
        <v/>
      </c>
      <c r="B665" s="17" t="n"/>
      <c r="C665" s="18" t="n"/>
      <c r="D665" s="18" t="n"/>
      <c r="E665" s="19" t="n"/>
      <c r="F665" s="19" t="n"/>
      <c r="G665" s="18" t="n"/>
      <c r="H665" s="18" t="n"/>
      <c r="I665" s="18" t="n"/>
      <c r="J665" s="20" t="n"/>
      <c r="K665" s="21" t="n"/>
      <c r="L665" s="21" t="n"/>
      <c r="M665" s="18" t="n"/>
      <c r="N665" s="22">
        <f>IF($B665="","",CHOOSE(WEEKDAY($B665),"الأحد","الاثنين","الثلاثاء","الأربعاء","الخميس","الجمعة","السبت"))</f>
        <v/>
      </c>
      <c r="O665" s="23">
        <f>IF(OR($K665="",$L665=""),"",HYPERLINK("https://maps.google.com/?q="&amp;$K665&amp;","&amp;$L665,"عرض الموقع"))</f>
        <v/>
      </c>
      <c r="P665" s="23">
        <f>IF(OR($B665="",N($J665)=0),"",HYPERLINK(PhotoDir&amp;"/"&amp;YEAR($B665)&amp;"-"&amp;TEXT(MONTH($B665),"00")&amp;"-"&amp;TEXT(DAY($B665),"00")&amp;"_"&amp;$D665,"فتح الصور ("&amp;$J665&amp;")"))</f>
        <v/>
      </c>
      <c r="Q665" s="24">
        <f>IF($B665="","",MONTH($B665))</f>
        <v/>
      </c>
      <c r="R665" s="24">
        <f>IF($B665="","",YEAR($B665))</f>
        <v/>
      </c>
      <c r="S665" s="25">
        <f>IF($B665="","",$B665-WEEKDAY($B665,3))</f>
        <v/>
      </c>
      <c r="T665" s="24">
        <f>IF($B665="",0,IF(COUNTIFS($B$5:$B665,$B665,$D$5:$D665,$D665)=1,1,0))</f>
        <v/>
      </c>
      <c r="U665" s="24">
        <f>IF($B665="",0,IF(COUNTIFS($B$5:$B665,$B665,$C$5:$C665,$C665)=1,1,0))</f>
        <v/>
      </c>
      <c r="V665" s="24">
        <f>IF(OR($B665="",$G665="",$G665="لا توجد مشاهدات"),0,1)</f>
        <v/>
      </c>
      <c r="W665" s="24">
        <f>IF(AND($B665&lt;&gt;"",$I665="تم تحرير مخالفة"),1,0)</f>
        <v/>
      </c>
      <c r="X665" s="24">
        <f>IF($B665="","",IF($S665=WkStart,COUNTIF($S$5:$S665,WkStart),""))</f>
        <v/>
      </c>
    </row>
    <row r="666">
      <c r="A666" s="16">
        <f>IF($B666="","",ROW()-4)</f>
        <v/>
      </c>
      <c r="B666" s="17" t="n"/>
      <c r="C666" s="18" t="n"/>
      <c r="D666" s="18" t="n"/>
      <c r="E666" s="19" t="n"/>
      <c r="F666" s="19" t="n"/>
      <c r="G666" s="18" t="n"/>
      <c r="H666" s="18" t="n"/>
      <c r="I666" s="18" t="n"/>
      <c r="J666" s="20" t="n"/>
      <c r="K666" s="21" t="n"/>
      <c r="L666" s="21" t="n"/>
      <c r="M666" s="18" t="n"/>
      <c r="N666" s="22">
        <f>IF($B666="","",CHOOSE(WEEKDAY($B666),"الأحد","الاثنين","الثلاثاء","الأربعاء","الخميس","الجمعة","السبت"))</f>
        <v/>
      </c>
      <c r="O666" s="23">
        <f>IF(OR($K666="",$L666=""),"",HYPERLINK("https://maps.google.com/?q="&amp;$K666&amp;","&amp;$L666,"عرض الموقع"))</f>
        <v/>
      </c>
      <c r="P666" s="23">
        <f>IF(OR($B666="",N($J666)=0),"",HYPERLINK(PhotoDir&amp;"/"&amp;YEAR($B666)&amp;"-"&amp;TEXT(MONTH($B666),"00")&amp;"-"&amp;TEXT(DAY($B666),"00")&amp;"_"&amp;$D666,"فتح الصور ("&amp;$J666&amp;")"))</f>
        <v/>
      </c>
      <c r="Q666" s="24">
        <f>IF($B666="","",MONTH($B666))</f>
        <v/>
      </c>
      <c r="R666" s="24">
        <f>IF($B666="","",YEAR($B666))</f>
        <v/>
      </c>
      <c r="S666" s="25">
        <f>IF($B666="","",$B666-WEEKDAY($B666,3))</f>
        <v/>
      </c>
      <c r="T666" s="24">
        <f>IF($B666="",0,IF(COUNTIFS($B$5:$B666,$B666,$D$5:$D666,$D666)=1,1,0))</f>
        <v/>
      </c>
      <c r="U666" s="24">
        <f>IF($B666="",0,IF(COUNTIFS($B$5:$B666,$B666,$C$5:$C666,$C666)=1,1,0))</f>
        <v/>
      </c>
      <c r="V666" s="24">
        <f>IF(OR($B666="",$G666="",$G666="لا توجد مشاهدات"),0,1)</f>
        <v/>
      </c>
      <c r="W666" s="24">
        <f>IF(AND($B666&lt;&gt;"",$I666="تم تحرير مخالفة"),1,0)</f>
        <v/>
      </c>
      <c r="X666" s="24">
        <f>IF($B666="","",IF($S666=WkStart,COUNTIF($S$5:$S666,WkStart),""))</f>
        <v/>
      </c>
    </row>
    <row r="667">
      <c r="A667" s="16">
        <f>IF($B667="","",ROW()-4)</f>
        <v/>
      </c>
      <c r="B667" s="17" t="n"/>
      <c r="C667" s="18" t="n"/>
      <c r="D667" s="18" t="n"/>
      <c r="E667" s="19" t="n"/>
      <c r="F667" s="19" t="n"/>
      <c r="G667" s="18" t="n"/>
      <c r="H667" s="18" t="n"/>
      <c r="I667" s="18" t="n"/>
      <c r="J667" s="20" t="n"/>
      <c r="K667" s="21" t="n"/>
      <c r="L667" s="21" t="n"/>
      <c r="M667" s="18" t="n"/>
      <c r="N667" s="22">
        <f>IF($B667="","",CHOOSE(WEEKDAY($B667),"الأحد","الاثنين","الثلاثاء","الأربعاء","الخميس","الجمعة","السبت"))</f>
        <v/>
      </c>
      <c r="O667" s="23">
        <f>IF(OR($K667="",$L667=""),"",HYPERLINK("https://maps.google.com/?q="&amp;$K667&amp;","&amp;$L667,"عرض الموقع"))</f>
        <v/>
      </c>
      <c r="P667" s="23">
        <f>IF(OR($B667="",N($J667)=0),"",HYPERLINK(PhotoDir&amp;"/"&amp;YEAR($B667)&amp;"-"&amp;TEXT(MONTH($B667),"00")&amp;"-"&amp;TEXT(DAY($B667),"00")&amp;"_"&amp;$D667,"فتح الصور ("&amp;$J667&amp;")"))</f>
        <v/>
      </c>
      <c r="Q667" s="24">
        <f>IF($B667="","",MONTH($B667))</f>
        <v/>
      </c>
      <c r="R667" s="24">
        <f>IF($B667="","",YEAR($B667))</f>
        <v/>
      </c>
      <c r="S667" s="25">
        <f>IF($B667="","",$B667-WEEKDAY($B667,3))</f>
        <v/>
      </c>
      <c r="T667" s="24">
        <f>IF($B667="",0,IF(COUNTIFS($B$5:$B667,$B667,$D$5:$D667,$D667)=1,1,0))</f>
        <v/>
      </c>
      <c r="U667" s="24">
        <f>IF($B667="",0,IF(COUNTIFS($B$5:$B667,$B667,$C$5:$C667,$C667)=1,1,0))</f>
        <v/>
      </c>
      <c r="V667" s="24">
        <f>IF(OR($B667="",$G667="",$G667="لا توجد مشاهدات"),0,1)</f>
        <v/>
      </c>
      <c r="W667" s="24">
        <f>IF(AND($B667&lt;&gt;"",$I667="تم تحرير مخالفة"),1,0)</f>
        <v/>
      </c>
      <c r="X667" s="24">
        <f>IF($B667="","",IF($S667=WkStart,COUNTIF($S$5:$S667,WkStart),""))</f>
        <v/>
      </c>
    </row>
    <row r="668">
      <c r="A668" s="16">
        <f>IF($B668="","",ROW()-4)</f>
        <v/>
      </c>
      <c r="B668" s="17" t="n"/>
      <c r="C668" s="18" t="n"/>
      <c r="D668" s="18" t="n"/>
      <c r="E668" s="19" t="n"/>
      <c r="F668" s="19" t="n"/>
      <c r="G668" s="18" t="n"/>
      <c r="H668" s="18" t="n"/>
      <c r="I668" s="18" t="n"/>
      <c r="J668" s="20" t="n"/>
      <c r="K668" s="21" t="n"/>
      <c r="L668" s="21" t="n"/>
      <c r="M668" s="18" t="n"/>
      <c r="N668" s="22">
        <f>IF($B668="","",CHOOSE(WEEKDAY($B668),"الأحد","الاثنين","الثلاثاء","الأربعاء","الخميس","الجمعة","السبت"))</f>
        <v/>
      </c>
      <c r="O668" s="23">
        <f>IF(OR($K668="",$L668=""),"",HYPERLINK("https://maps.google.com/?q="&amp;$K668&amp;","&amp;$L668,"عرض الموقع"))</f>
        <v/>
      </c>
      <c r="P668" s="23">
        <f>IF(OR($B668="",N($J668)=0),"",HYPERLINK(PhotoDir&amp;"/"&amp;YEAR($B668)&amp;"-"&amp;TEXT(MONTH($B668),"00")&amp;"-"&amp;TEXT(DAY($B668),"00")&amp;"_"&amp;$D668,"فتح الصور ("&amp;$J668&amp;")"))</f>
        <v/>
      </c>
      <c r="Q668" s="24">
        <f>IF($B668="","",MONTH($B668))</f>
        <v/>
      </c>
      <c r="R668" s="24">
        <f>IF($B668="","",YEAR($B668))</f>
        <v/>
      </c>
      <c r="S668" s="25">
        <f>IF($B668="","",$B668-WEEKDAY($B668,3))</f>
        <v/>
      </c>
      <c r="T668" s="24">
        <f>IF($B668="",0,IF(COUNTIFS($B$5:$B668,$B668,$D$5:$D668,$D668)=1,1,0))</f>
        <v/>
      </c>
      <c r="U668" s="24">
        <f>IF($B668="",0,IF(COUNTIFS($B$5:$B668,$B668,$C$5:$C668,$C668)=1,1,0))</f>
        <v/>
      </c>
      <c r="V668" s="24">
        <f>IF(OR($B668="",$G668="",$G668="لا توجد مشاهدات"),0,1)</f>
        <v/>
      </c>
      <c r="W668" s="24">
        <f>IF(AND($B668&lt;&gt;"",$I668="تم تحرير مخالفة"),1,0)</f>
        <v/>
      </c>
      <c r="X668" s="24">
        <f>IF($B668="","",IF($S668=WkStart,COUNTIF($S$5:$S668,WkStart),""))</f>
        <v/>
      </c>
    </row>
    <row r="669">
      <c r="A669" s="16">
        <f>IF($B669="","",ROW()-4)</f>
        <v/>
      </c>
      <c r="B669" s="17" t="n"/>
      <c r="C669" s="18" t="n"/>
      <c r="D669" s="18" t="n"/>
      <c r="E669" s="19" t="n"/>
      <c r="F669" s="19" t="n"/>
      <c r="G669" s="18" t="n"/>
      <c r="H669" s="18" t="n"/>
      <c r="I669" s="18" t="n"/>
      <c r="J669" s="20" t="n"/>
      <c r="K669" s="21" t="n"/>
      <c r="L669" s="21" t="n"/>
      <c r="M669" s="18" t="n"/>
      <c r="N669" s="22">
        <f>IF($B669="","",CHOOSE(WEEKDAY($B669),"الأحد","الاثنين","الثلاثاء","الأربعاء","الخميس","الجمعة","السبت"))</f>
        <v/>
      </c>
      <c r="O669" s="23">
        <f>IF(OR($K669="",$L669=""),"",HYPERLINK("https://maps.google.com/?q="&amp;$K669&amp;","&amp;$L669,"عرض الموقع"))</f>
        <v/>
      </c>
      <c r="P669" s="23">
        <f>IF(OR($B669="",N($J669)=0),"",HYPERLINK(PhotoDir&amp;"/"&amp;YEAR($B669)&amp;"-"&amp;TEXT(MONTH($B669),"00")&amp;"-"&amp;TEXT(DAY($B669),"00")&amp;"_"&amp;$D669,"فتح الصور ("&amp;$J669&amp;")"))</f>
        <v/>
      </c>
      <c r="Q669" s="24">
        <f>IF($B669="","",MONTH($B669))</f>
        <v/>
      </c>
      <c r="R669" s="24">
        <f>IF($B669="","",YEAR($B669))</f>
        <v/>
      </c>
      <c r="S669" s="25">
        <f>IF($B669="","",$B669-WEEKDAY($B669,3))</f>
        <v/>
      </c>
      <c r="T669" s="24">
        <f>IF($B669="",0,IF(COUNTIFS($B$5:$B669,$B669,$D$5:$D669,$D669)=1,1,0))</f>
        <v/>
      </c>
      <c r="U669" s="24">
        <f>IF($B669="",0,IF(COUNTIFS($B$5:$B669,$B669,$C$5:$C669,$C669)=1,1,0))</f>
        <v/>
      </c>
      <c r="V669" s="24">
        <f>IF(OR($B669="",$G669="",$G669="لا توجد مشاهدات"),0,1)</f>
        <v/>
      </c>
      <c r="W669" s="24">
        <f>IF(AND($B669&lt;&gt;"",$I669="تم تحرير مخالفة"),1,0)</f>
        <v/>
      </c>
      <c r="X669" s="24">
        <f>IF($B669="","",IF($S669=WkStart,COUNTIF($S$5:$S669,WkStart),""))</f>
        <v/>
      </c>
    </row>
    <row r="670">
      <c r="A670" s="16">
        <f>IF($B670="","",ROW()-4)</f>
        <v/>
      </c>
      <c r="B670" s="17" t="n"/>
      <c r="C670" s="18" t="n"/>
      <c r="D670" s="18" t="n"/>
      <c r="E670" s="19" t="n"/>
      <c r="F670" s="19" t="n"/>
      <c r="G670" s="18" t="n"/>
      <c r="H670" s="18" t="n"/>
      <c r="I670" s="18" t="n"/>
      <c r="J670" s="20" t="n"/>
      <c r="K670" s="21" t="n"/>
      <c r="L670" s="21" t="n"/>
      <c r="M670" s="18" t="n"/>
      <c r="N670" s="22">
        <f>IF($B670="","",CHOOSE(WEEKDAY($B670),"الأحد","الاثنين","الثلاثاء","الأربعاء","الخميس","الجمعة","السبت"))</f>
        <v/>
      </c>
      <c r="O670" s="23">
        <f>IF(OR($K670="",$L670=""),"",HYPERLINK("https://maps.google.com/?q="&amp;$K670&amp;","&amp;$L670,"عرض الموقع"))</f>
        <v/>
      </c>
      <c r="P670" s="23">
        <f>IF(OR($B670="",N($J670)=0),"",HYPERLINK(PhotoDir&amp;"/"&amp;YEAR($B670)&amp;"-"&amp;TEXT(MONTH($B670),"00")&amp;"-"&amp;TEXT(DAY($B670),"00")&amp;"_"&amp;$D670,"فتح الصور ("&amp;$J670&amp;")"))</f>
        <v/>
      </c>
      <c r="Q670" s="24">
        <f>IF($B670="","",MONTH($B670))</f>
        <v/>
      </c>
      <c r="R670" s="24">
        <f>IF($B670="","",YEAR($B670))</f>
        <v/>
      </c>
      <c r="S670" s="25">
        <f>IF($B670="","",$B670-WEEKDAY($B670,3))</f>
        <v/>
      </c>
      <c r="T670" s="24">
        <f>IF($B670="",0,IF(COUNTIFS($B$5:$B670,$B670,$D$5:$D670,$D670)=1,1,0))</f>
        <v/>
      </c>
      <c r="U670" s="24">
        <f>IF($B670="",0,IF(COUNTIFS($B$5:$B670,$B670,$C$5:$C670,$C670)=1,1,0))</f>
        <v/>
      </c>
      <c r="V670" s="24">
        <f>IF(OR($B670="",$G670="",$G670="لا توجد مشاهدات"),0,1)</f>
        <v/>
      </c>
      <c r="W670" s="24">
        <f>IF(AND($B670&lt;&gt;"",$I670="تم تحرير مخالفة"),1,0)</f>
        <v/>
      </c>
      <c r="X670" s="24">
        <f>IF($B670="","",IF($S670=WkStart,COUNTIF($S$5:$S670,WkStart),""))</f>
        <v/>
      </c>
    </row>
    <row r="671">
      <c r="A671" s="16">
        <f>IF($B671="","",ROW()-4)</f>
        <v/>
      </c>
      <c r="B671" s="17" t="n"/>
      <c r="C671" s="18" t="n"/>
      <c r="D671" s="18" t="n"/>
      <c r="E671" s="19" t="n"/>
      <c r="F671" s="19" t="n"/>
      <c r="G671" s="18" t="n"/>
      <c r="H671" s="18" t="n"/>
      <c r="I671" s="18" t="n"/>
      <c r="J671" s="20" t="n"/>
      <c r="K671" s="21" t="n"/>
      <c r="L671" s="21" t="n"/>
      <c r="M671" s="18" t="n"/>
      <c r="N671" s="22">
        <f>IF($B671="","",CHOOSE(WEEKDAY($B671),"الأحد","الاثنين","الثلاثاء","الأربعاء","الخميس","الجمعة","السبت"))</f>
        <v/>
      </c>
      <c r="O671" s="23">
        <f>IF(OR($K671="",$L671=""),"",HYPERLINK("https://maps.google.com/?q="&amp;$K671&amp;","&amp;$L671,"عرض الموقع"))</f>
        <v/>
      </c>
      <c r="P671" s="23">
        <f>IF(OR($B671="",N($J671)=0),"",HYPERLINK(PhotoDir&amp;"/"&amp;YEAR($B671)&amp;"-"&amp;TEXT(MONTH($B671),"00")&amp;"-"&amp;TEXT(DAY($B671),"00")&amp;"_"&amp;$D671,"فتح الصور ("&amp;$J671&amp;")"))</f>
        <v/>
      </c>
      <c r="Q671" s="24">
        <f>IF($B671="","",MONTH($B671))</f>
        <v/>
      </c>
      <c r="R671" s="24">
        <f>IF($B671="","",YEAR($B671))</f>
        <v/>
      </c>
      <c r="S671" s="25">
        <f>IF($B671="","",$B671-WEEKDAY($B671,3))</f>
        <v/>
      </c>
      <c r="T671" s="24">
        <f>IF($B671="",0,IF(COUNTIFS($B$5:$B671,$B671,$D$5:$D671,$D671)=1,1,0))</f>
        <v/>
      </c>
      <c r="U671" s="24">
        <f>IF($B671="",0,IF(COUNTIFS($B$5:$B671,$B671,$C$5:$C671,$C671)=1,1,0))</f>
        <v/>
      </c>
      <c r="V671" s="24">
        <f>IF(OR($B671="",$G671="",$G671="لا توجد مشاهدات"),0,1)</f>
        <v/>
      </c>
      <c r="W671" s="24">
        <f>IF(AND($B671&lt;&gt;"",$I671="تم تحرير مخالفة"),1,0)</f>
        <v/>
      </c>
      <c r="X671" s="24">
        <f>IF($B671="","",IF($S671=WkStart,COUNTIF($S$5:$S671,WkStart),""))</f>
        <v/>
      </c>
    </row>
    <row r="672">
      <c r="A672" s="16">
        <f>IF($B672="","",ROW()-4)</f>
        <v/>
      </c>
      <c r="B672" s="17" t="n"/>
      <c r="C672" s="18" t="n"/>
      <c r="D672" s="18" t="n"/>
      <c r="E672" s="19" t="n"/>
      <c r="F672" s="19" t="n"/>
      <c r="G672" s="18" t="n"/>
      <c r="H672" s="18" t="n"/>
      <c r="I672" s="18" t="n"/>
      <c r="J672" s="20" t="n"/>
      <c r="K672" s="21" t="n"/>
      <c r="L672" s="21" t="n"/>
      <c r="M672" s="18" t="n"/>
      <c r="N672" s="22">
        <f>IF($B672="","",CHOOSE(WEEKDAY($B672),"الأحد","الاثنين","الثلاثاء","الأربعاء","الخميس","الجمعة","السبت"))</f>
        <v/>
      </c>
      <c r="O672" s="23">
        <f>IF(OR($K672="",$L672=""),"",HYPERLINK("https://maps.google.com/?q="&amp;$K672&amp;","&amp;$L672,"عرض الموقع"))</f>
        <v/>
      </c>
      <c r="P672" s="23">
        <f>IF(OR($B672="",N($J672)=0),"",HYPERLINK(PhotoDir&amp;"/"&amp;YEAR($B672)&amp;"-"&amp;TEXT(MONTH($B672),"00")&amp;"-"&amp;TEXT(DAY($B672),"00")&amp;"_"&amp;$D672,"فتح الصور ("&amp;$J672&amp;")"))</f>
        <v/>
      </c>
      <c r="Q672" s="24">
        <f>IF($B672="","",MONTH($B672))</f>
        <v/>
      </c>
      <c r="R672" s="24">
        <f>IF($B672="","",YEAR($B672))</f>
        <v/>
      </c>
      <c r="S672" s="25">
        <f>IF($B672="","",$B672-WEEKDAY($B672,3))</f>
        <v/>
      </c>
      <c r="T672" s="24">
        <f>IF($B672="",0,IF(COUNTIFS($B$5:$B672,$B672,$D$5:$D672,$D672)=1,1,0))</f>
        <v/>
      </c>
      <c r="U672" s="24">
        <f>IF($B672="",0,IF(COUNTIFS($B$5:$B672,$B672,$C$5:$C672,$C672)=1,1,0))</f>
        <v/>
      </c>
      <c r="V672" s="24">
        <f>IF(OR($B672="",$G672="",$G672="لا توجد مشاهدات"),0,1)</f>
        <v/>
      </c>
      <c r="W672" s="24">
        <f>IF(AND($B672&lt;&gt;"",$I672="تم تحرير مخالفة"),1,0)</f>
        <v/>
      </c>
      <c r="X672" s="24">
        <f>IF($B672="","",IF($S672=WkStart,COUNTIF($S$5:$S672,WkStart),""))</f>
        <v/>
      </c>
    </row>
    <row r="673">
      <c r="A673" s="16">
        <f>IF($B673="","",ROW()-4)</f>
        <v/>
      </c>
      <c r="B673" s="17" t="n"/>
      <c r="C673" s="18" t="n"/>
      <c r="D673" s="18" t="n"/>
      <c r="E673" s="19" t="n"/>
      <c r="F673" s="19" t="n"/>
      <c r="G673" s="18" t="n"/>
      <c r="H673" s="18" t="n"/>
      <c r="I673" s="18" t="n"/>
      <c r="J673" s="20" t="n"/>
      <c r="K673" s="21" t="n"/>
      <c r="L673" s="21" t="n"/>
      <c r="M673" s="18" t="n"/>
      <c r="N673" s="22">
        <f>IF($B673="","",CHOOSE(WEEKDAY($B673),"الأحد","الاثنين","الثلاثاء","الأربعاء","الخميس","الجمعة","السبت"))</f>
        <v/>
      </c>
      <c r="O673" s="23">
        <f>IF(OR($K673="",$L673=""),"",HYPERLINK("https://maps.google.com/?q="&amp;$K673&amp;","&amp;$L673,"عرض الموقع"))</f>
        <v/>
      </c>
      <c r="P673" s="23">
        <f>IF(OR($B673="",N($J673)=0),"",HYPERLINK(PhotoDir&amp;"/"&amp;YEAR($B673)&amp;"-"&amp;TEXT(MONTH($B673),"00")&amp;"-"&amp;TEXT(DAY($B673),"00")&amp;"_"&amp;$D673,"فتح الصور ("&amp;$J673&amp;")"))</f>
        <v/>
      </c>
      <c r="Q673" s="24">
        <f>IF($B673="","",MONTH($B673))</f>
        <v/>
      </c>
      <c r="R673" s="24">
        <f>IF($B673="","",YEAR($B673))</f>
        <v/>
      </c>
      <c r="S673" s="25">
        <f>IF($B673="","",$B673-WEEKDAY($B673,3))</f>
        <v/>
      </c>
      <c r="T673" s="24">
        <f>IF($B673="",0,IF(COUNTIFS($B$5:$B673,$B673,$D$5:$D673,$D673)=1,1,0))</f>
        <v/>
      </c>
      <c r="U673" s="24">
        <f>IF($B673="",0,IF(COUNTIFS($B$5:$B673,$B673,$C$5:$C673,$C673)=1,1,0))</f>
        <v/>
      </c>
      <c r="V673" s="24">
        <f>IF(OR($B673="",$G673="",$G673="لا توجد مشاهدات"),0,1)</f>
        <v/>
      </c>
      <c r="W673" s="24">
        <f>IF(AND($B673&lt;&gt;"",$I673="تم تحرير مخالفة"),1,0)</f>
        <v/>
      </c>
      <c r="X673" s="24">
        <f>IF($B673="","",IF($S673=WkStart,COUNTIF($S$5:$S673,WkStart),""))</f>
        <v/>
      </c>
    </row>
    <row r="674">
      <c r="A674" s="16">
        <f>IF($B674="","",ROW()-4)</f>
        <v/>
      </c>
      <c r="B674" s="17" t="n"/>
      <c r="C674" s="18" t="n"/>
      <c r="D674" s="18" t="n"/>
      <c r="E674" s="19" t="n"/>
      <c r="F674" s="19" t="n"/>
      <c r="G674" s="18" t="n"/>
      <c r="H674" s="18" t="n"/>
      <c r="I674" s="18" t="n"/>
      <c r="J674" s="20" t="n"/>
      <c r="K674" s="21" t="n"/>
      <c r="L674" s="21" t="n"/>
      <c r="M674" s="18" t="n"/>
      <c r="N674" s="22">
        <f>IF($B674="","",CHOOSE(WEEKDAY($B674),"الأحد","الاثنين","الثلاثاء","الأربعاء","الخميس","الجمعة","السبت"))</f>
        <v/>
      </c>
      <c r="O674" s="23">
        <f>IF(OR($K674="",$L674=""),"",HYPERLINK("https://maps.google.com/?q="&amp;$K674&amp;","&amp;$L674,"عرض الموقع"))</f>
        <v/>
      </c>
      <c r="P674" s="23">
        <f>IF(OR($B674="",N($J674)=0),"",HYPERLINK(PhotoDir&amp;"/"&amp;YEAR($B674)&amp;"-"&amp;TEXT(MONTH($B674),"00")&amp;"-"&amp;TEXT(DAY($B674),"00")&amp;"_"&amp;$D674,"فتح الصور ("&amp;$J674&amp;")"))</f>
        <v/>
      </c>
      <c r="Q674" s="24">
        <f>IF($B674="","",MONTH($B674))</f>
        <v/>
      </c>
      <c r="R674" s="24">
        <f>IF($B674="","",YEAR($B674))</f>
        <v/>
      </c>
      <c r="S674" s="25">
        <f>IF($B674="","",$B674-WEEKDAY($B674,3))</f>
        <v/>
      </c>
      <c r="T674" s="24">
        <f>IF($B674="",0,IF(COUNTIFS($B$5:$B674,$B674,$D$5:$D674,$D674)=1,1,0))</f>
        <v/>
      </c>
      <c r="U674" s="24">
        <f>IF($B674="",0,IF(COUNTIFS($B$5:$B674,$B674,$C$5:$C674,$C674)=1,1,0))</f>
        <v/>
      </c>
      <c r="V674" s="24">
        <f>IF(OR($B674="",$G674="",$G674="لا توجد مشاهدات"),0,1)</f>
        <v/>
      </c>
      <c r="W674" s="24">
        <f>IF(AND($B674&lt;&gt;"",$I674="تم تحرير مخالفة"),1,0)</f>
        <v/>
      </c>
      <c r="X674" s="24">
        <f>IF($B674="","",IF($S674=WkStart,COUNTIF($S$5:$S674,WkStart),""))</f>
        <v/>
      </c>
    </row>
    <row r="675">
      <c r="A675" s="16">
        <f>IF($B675="","",ROW()-4)</f>
        <v/>
      </c>
      <c r="B675" s="17" t="n"/>
      <c r="C675" s="18" t="n"/>
      <c r="D675" s="18" t="n"/>
      <c r="E675" s="19" t="n"/>
      <c r="F675" s="19" t="n"/>
      <c r="G675" s="18" t="n"/>
      <c r="H675" s="18" t="n"/>
      <c r="I675" s="18" t="n"/>
      <c r="J675" s="20" t="n"/>
      <c r="K675" s="21" t="n"/>
      <c r="L675" s="21" t="n"/>
      <c r="M675" s="18" t="n"/>
      <c r="N675" s="22">
        <f>IF($B675="","",CHOOSE(WEEKDAY($B675),"الأحد","الاثنين","الثلاثاء","الأربعاء","الخميس","الجمعة","السبت"))</f>
        <v/>
      </c>
      <c r="O675" s="23">
        <f>IF(OR($K675="",$L675=""),"",HYPERLINK("https://maps.google.com/?q="&amp;$K675&amp;","&amp;$L675,"عرض الموقع"))</f>
        <v/>
      </c>
      <c r="P675" s="23">
        <f>IF(OR($B675="",N($J675)=0),"",HYPERLINK(PhotoDir&amp;"/"&amp;YEAR($B675)&amp;"-"&amp;TEXT(MONTH($B675),"00")&amp;"-"&amp;TEXT(DAY($B675),"00")&amp;"_"&amp;$D675,"فتح الصور ("&amp;$J675&amp;")"))</f>
        <v/>
      </c>
      <c r="Q675" s="24">
        <f>IF($B675="","",MONTH($B675))</f>
        <v/>
      </c>
      <c r="R675" s="24">
        <f>IF($B675="","",YEAR($B675))</f>
        <v/>
      </c>
      <c r="S675" s="25">
        <f>IF($B675="","",$B675-WEEKDAY($B675,3))</f>
        <v/>
      </c>
      <c r="T675" s="24">
        <f>IF($B675="",0,IF(COUNTIFS($B$5:$B675,$B675,$D$5:$D675,$D675)=1,1,0))</f>
        <v/>
      </c>
      <c r="U675" s="24">
        <f>IF($B675="",0,IF(COUNTIFS($B$5:$B675,$B675,$C$5:$C675,$C675)=1,1,0))</f>
        <v/>
      </c>
      <c r="V675" s="24">
        <f>IF(OR($B675="",$G675="",$G675="لا توجد مشاهدات"),0,1)</f>
        <v/>
      </c>
      <c r="W675" s="24">
        <f>IF(AND($B675&lt;&gt;"",$I675="تم تحرير مخالفة"),1,0)</f>
        <v/>
      </c>
      <c r="X675" s="24">
        <f>IF($B675="","",IF($S675=WkStart,COUNTIF($S$5:$S675,WkStart),""))</f>
        <v/>
      </c>
    </row>
    <row r="676">
      <c r="A676" s="16">
        <f>IF($B676="","",ROW()-4)</f>
        <v/>
      </c>
      <c r="B676" s="17" t="n"/>
      <c r="C676" s="18" t="n"/>
      <c r="D676" s="18" t="n"/>
      <c r="E676" s="19" t="n"/>
      <c r="F676" s="19" t="n"/>
      <c r="G676" s="18" t="n"/>
      <c r="H676" s="18" t="n"/>
      <c r="I676" s="18" t="n"/>
      <c r="J676" s="20" t="n"/>
      <c r="K676" s="21" t="n"/>
      <c r="L676" s="21" t="n"/>
      <c r="M676" s="18" t="n"/>
      <c r="N676" s="22">
        <f>IF($B676="","",CHOOSE(WEEKDAY($B676),"الأحد","الاثنين","الثلاثاء","الأربعاء","الخميس","الجمعة","السبت"))</f>
        <v/>
      </c>
      <c r="O676" s="23">
        <f>IF(OR($K676="",$L676=""),"",HYPERLINK("https://maps.google.com/?q="&amp;$K676&amp;","&amp;$L676,"عرض الموقع"))</f>
        <v/>
      </c>
      <c r="P676" s="23">
        <f>IF(OR($B676="",N($J676)=0),"",HYPERLINK(PhotoDir&amp;"/"&amp;YEAR($B676)&amp;"-"&amp;TEXT(MONTH($B676),"00")&amp;"-"&amp;TEXT(DAY($B676),"00")&amp;"_"&amp;$D676,"فتح الصور ("&amp;$J676&amp;")"))</f>
        <v/>
      </c>
      <c r="Q676" s="24">
        <f>IF($B676="","",MONTH($B676))</f>
        <v/>
      </c>
      <c r="R676" s="24">
        <f>IF($B676="","",YEAR($B676))</f>
        <v/>
      </c>
      <c r="S676" s="25">
        <f>IF($B676="","",$B676-WEEKDAY($B676,3))</f>
        <v/>
      </c>
      <c r="T676" s="24">
        <f>IF($B676="",0,IF(COUNTIFS($B$5:$B676,$B676,$D$5:$D676,$D676)=1,1,0))</f>
        <v/>
      </c>
      <c r="U676" s="24">
        <f>IF($B676="",0,IF(COUNTIFS($B$5:$B676,$B676,$C$5:$C676,$C676)=1,1,0))</f>
        <v/>
      </c>
      <c r="V676" s="24">
        <f>IF(OR($B676="",$G676="",$G676="لا توجد مشاهدات"),0,1)</f>
        <v/>
      </c>
      <c r="W676" s="24">
        <f>IF(AND($B676&lt;&gt;"",$I676="تم تحرير مخالفة"),1,0)</f>
        <v/>
      </c>
      <c r="X676" s="24">
        <f>IF($B676="","",IF($S676=WkStart,COUNTIF($S$5:$S676,WkStart),""))</f>
        <v/>
      </c>
    </row>
    <row r="677">
      <c r="A677" s="16">
        <f>IF($B677="","",ROW()-4)</f>
        <v/>
      </c>
      <c r="B677" s="17" t="n"/>
      <c r="C677" s="18" t="n"/>
      <c r="D677" s="18" t="n"/>
      <c r="E677" s="19" t="n"/>
      <c r="F677" s="19" t="n"/>
      <c r="G677" s="18" t="n"/>
      <c r="H677" s="18" t="n"/>
      <c r="I677" s="18" t="n"/>
      <c r="J677" s="20" t="n"/>
      <c r="K677" s="21" t="n"/>
      <c r="L677" s="21" t="n"/>
      <c r="M677" s="18" t="n"/>
      <c r="N677" s="22">
        <f>IF($B677="","",CHOOSE(WEEKDAY($B677),"الأحد","الاثنين","الثلاثاء","الأربعاء","الخميس","الجمعة","السبت"))</f>
        <v/>
      </c>
      <c r="O677" s="23">
        <f>IF(OR($K677="",$L677=""),"",HYPERLINK("https://maps.google.com/?q="&amp;$K677&amp;","&amp;$L677,"عرض الموقع"))</f>
        <v/>
      </c>
      <c r="P677" s="23">
        <f>IF(OR($B677="",N($J677)=0),"",HYPERLINK(PhotoDir&amp;"/"&amp;YEAR($B677)&amp;"-"&amp;TEXT(MONTH($B677),"00")&amp;"-"&amp;TEXT(DAY($B677),"00")&amp;"_"&amp;$D677,"فتح الصور ("&amp;$J677&amp;")"))</f>
        <v/>
      </c>
      <c r="Q677" s="24">
        <f>IF($B677="","",MONTH($B677))</f>
        <v/>
      </c>
      <c r="R677" s="24">
        <f>IF($B677="","",YEAR($B677))</f>
        <v/>
      </c>
      <c r="S677" s="25">
        <f>IF($B677="","",$B677-WEEKDAY($B677,3))</f>
        <v/>
      </c>
      <c r="T677" s="24">
        <f>IF($B677="",0,IF(COUNTIFS($B$5:$B677,$B677,$D$5:$D677,$D677)=1,1,0))</f>
        <v/>
      </c>
      <c r="U677" s="24">
        <f>IF($B677="",0,IF(COUNTIFS($B$5:$B677,$B677,$C$5:$C677,$C677)=1,1,0))</f>
        <v/>
      </c>
      <c r="V677" s="24">
        <f>IF(OR($B677="",$G677="",$G677="لا توجد مشاهدات"),0,1)</f>
        <v/>
      </c>
      <c r="W677" s="24">
        <f>IF(AND($B677&lt;&gt;"",$I677="تم تحرير مخالفة"),1,0)</f>
        <v/>
      </c>
      <c r="X677" s="24">
        <f>IF($B677="","",IF($S677=WkStart,COUNTIF($S$5:$S677,WkStart),""))</f>
        <v/>
      </c>
    </row>
    <row r="678">
      <c r="A678" s="16">
        <f>IF($B678="","",ROW()-4)</f>
        <v/>
      </c>
      <c r="B678" s="17" t="n"/>
      <c r="C678" s="18" t="n"/>
      <c r="D678" s="18" t="n"/>
      <c r="E678" s="19" t="n"/>
      <c r="F678" s="19" t="n"/>
      <c r="G678" s="18" t="n"/>
      <c r="H678" s="18" t="n"/>
      <c r="I678" s="18" t="n"/>
      <c r="J678" s="20" t="n"/>
      <c r="K678" s="21" t="n"/>
      <c r="L678" s="21" t="n"/>
      <c r="M678" s="18" t="n"/>
      <c r="N678" s="22">
        <f>IF($B678="","",CHOOSE(WEEKDAY($B678),"الأحد","الاثنين","الثلاثاء","الأربعاء","الخميس","الجمعة","السبت"))</f>
        <v/>
      </c>
      <c r="O678" s="23">
        <f>IF(OR($K678="",$L678=""),"",HYPERLINK("https://maps.google.com/?q="&amp;$K678&amp;","&amp;$L678,"عرض الموقع"))</f>
        <v/>
      </c>
      <c r="P678" s="23">
        <f>IF(OR($B678="",N($J678)=0),"",HYPERLINK(PhotoDir&amp;"/"&amp;YEAR($B678)&amp;"-"&amp;TEXT(MONTH($B678),"00")&amp;"-"&amp;TEXT(DAY($B678),"00")&amp;"_"&amp;$D678,"فتح الصور ("&amp;$J678&amp;")"))</f>
        <v/>
      </c>
      <c r="Q678" s="24">
        <f>IF($B678="","",MONTH($B678))</f>
        <v/>
      </c>
      <c r="R678" s="24">
        <f>IF($B678="","",YEAR($B678))</f>
        <v/>
      </c>
      <c r="S678" s="25">
        <f>IF($B678="","",$B678-WEEKDAY($B678,3))</f>
        <v/>
      </c>
      <c r="T678" s="24">
        <f>IF($B678="",0,IF(COUNTIFS($B$5:$B678,$B678,$D$5:$D678,$D678)=1,1,0))</f>
        <v/>
      </c>
      <c r="U678" s="24">
        <f>IF($B678="",0,IF(COUNTIFS($B$5:$B678,$B678,$C$5:$C678,$C678)=1,1,0))</f>
        <v/>
      </c>
      <c r="V678" s="24">
        <f>IF(OR($B678="",$G678="",$G678="لا توجد مشاهدات"),0,1)</f>
        <v/>
      </c>
      <c r="W678" s="24">
        <f>IF(AND($B678&lt;&gt;"",$I678="تم تحرير مخالفة"),1,0)</f>
        <v/>
      </c>
      <c r="X678" s="24">
        <f>IF($B678="","",IF($S678=WkStart,COUNTIF($S$5:$S678,WkStart),""))</f>
        <v/>
      </c>
    </row>
    <row r="679">
      <c r="A679" s="16">
        <f>IF($B679="","",ROW()-4)</f>
        <v/>
      </c>
      <c r="B679" s="17" t="n"/>
      <c r="C679" s="18" t="n"/>
      <c r="D679" s="18" t="n"/>
      <c r="E679" s="19" t="n"/>
      <c r="F679" s="19" t="n"/>
      <c r="G679" s="18" t="n"/>
      <c r="H679" s="18" t="n"/>
      <c r="I679" s="18" t="n"/>
      <c r="J679" s="20" t="n"/>
      <c r="K679" s="21" t="n"/>
      <c r="L679" s="21" t="n"/>
      <c r="M679" s="18" t="n"/>
      <c r="N679" s="22">
        <f>IF($B679="","",CHOOSE(WEEKDAY($B679),"الأحد","الاثنين","الثلاثاء","الأربعاء","الخميس","الجمعة","السبت"))</f>
        <v/>
      </c>
      <c r="O679" s="23">
        <f>IF(OR($K679="",$L679=""),"",HYPERLINK("https://maps.google.com/?q="&amp;$K679&amp;","&amp;$L679,"عرض الموقع"))</f>
        <v/>
      </c>
      <c r="P679" s="23">
        <f>IF(OR($B679="",N($J679)=0),"",HYPERLINK(PhotoDir&amp;"/"&amp;YEAR($B679)&amp;"-"&amp;TEXT(MONTH($B679),"00")&amp;"-"&amp;TEXT(DAY($B679),"00")&amp;"_"&amp;$D679,"فتح الصور ("&amp;$J679&amp;")"))</f>
        <v/>
      </c>
      <c r="Q679" s="24">
        <f>IF($B679="","",MONTH($B679))</f>
        <v/>
      </c>
      <c r="R679" s="24">
        <f>IF($B679="","",YEAR($B679))</f>
        <v/>
      </c>
      <c r="S679" s="25">
        <f>IF($B679="","",$B679-WEEKDAY($B679,3))</f>
        <v/>
      </c>
      <c r="T679" s="24">
        <f>IF($B679="",0,IF(COUNTIFS($B$5:$B679,$B679,$D$5:$D679,$D679)=1,1,0))</f>
        <v/>
      </c>
      <c r="U679" s="24">
        <f>IF($B679="",0,IF(COUNTIFS($B$5:$B679,$B679,$C$5:$C679,$C679)=1,1,0))</f>
        <v/>
      </c>
      <c r="V679" s="24">
        <f>IF(OR($B679="",$G679="",$G679="لا توجد مشاهدات"),0,1)</f>
        <v/>
      </c>
      <c r="W679" s="24">
        <f>IF(AND($B679&lt;&gt;"",$I679="تم تحرير مخالفة"),1,0)</f>
        <v/>
      </c>
      <c r="X679" s="24">
        <f>IF($B679="","",IF($S679=WkStart,COUNTIF($S$5:$S679,WkStart),""))</f>
        <v/>
      </c>
    </row>
    <row r="680">
      <c r="A680" s="16">
        <f>IF($B680="","",ROW()-4)</f>
        <v/>
      </c>
      <c r="B680" s="17" t="n"/>
      <c r="C680" s="18" t="n"/>
      <c r="D680" s="18" t="n"/>
      <c r="E680" s="19" t="n"/>
      <c r="F680" s="19" t="n"/>
      <c r="G680" s="18" t="n"/>
      <c r="H680" s="18" t="n"/>
      <c r="I680" s="18" t="n"/>
      <c r="J680" s="20" t="n"/>
      <c r="K680" s="21" t="n"/>
      <c r="L680" s="21" t="n"/>
      <c r="M680" s="18" t="n"/>
      <c r="N680" s="22">
        <f>IF($B680="","",CHOOSE(WEEKDAY($B680),"الأحد","الاثنين","الثلاثاء","الأربعاء","الخميس","الجمعة","السبت"))</f>
        <v/>
      </c>
      <c r="O680" s="23">
        <f>IF(OR($K680="",$L680=""),"",HYPERLINK("https://maps.google.com/?q="&amp;$K680&amp;","&amp;$L680,"عرض الموقع"))</f>
        <v/>
      </c>
      <c r="P680" s="23">
        <f>IF(OR($B680="",N($J680)=0),"",HYPERLINK(PhotoDir&amp;"/"&amp;YEAR($B680)&amp;"-"&amp;TEXT(MONTH($B680),"00")&amp;"-"&amp;TEXT(DAY($B680),"00")&amp;"_"&amp;$D680,"فتح الصور ("&amp;$J680&amp;")"))</f>
        <v/>
      </c>
      <c r="Q680" s="24">
        <f>IF($B680="","",MONTH($B680))</f>
        <v/>
      </c>
      <c r="R680" s="24">
        <f>IF($B680="","",YEAR($B680))</f>
        <v/>
      </c>
      <c r="S680" s="25">
        <f>IF($B680="","",$B680-WEEKDAY($B680,3))</f>
        <v/>
      </c>
      <c r="T680" s="24">
        <f>IF($B680="",0,IF(COUNTIFS($B$5:$B680,$B680,$D$5:$D680,$D680)=1,1,0))</f>
        <v/>
      </c>
      <c r="U680" s="24">
        <f>IF($B680="",0,IF(COUNTIFS($B$5:$B680,$B680,$C$5:$C680,$C680)=1,1,0))</f>
        <v/>
      </c>
      <c r="V680" s="24">
        <f>IF(OR($B680="",$G680="",$G680="لا توجد مشاهدات"),0,1)</f>
        <v/>
      </c>
      <c r="W680" s="24">
        <f>IF(AND($B680&lt;&gt;"",$I680="تم تحرير مخالفة"),1,0)</f>
        <v/>
      </c>
      <c r="X680" s="24">
        <f>IF($B680="","",IF($S680=WkStart,COUNTIF($S$5:$S680,WkStart),""))</f>
        <v/>
      </c>
    </row>
    <row r="681">
      <c r="A681" s="16">
        <f>IF($B681="","",ROW()-4)</f>
        <v/>
      </c>
      <c r="B681" s="17" t="n"/>
      <c r="C681" s="18" t="n"/>
      <c r="D681" s="18" t="n"/>
      <c r="E681" s="19" t="n"/>
      <c r="F681" s="19" t="n"/>
      <c r="G681" s="18" t="n"/>
      <c r="H681" s="18" t="n"/>
      <c r="I681" s="18" t="n"/>
      <c r="J681" s="20" t="n"/>
      <c r="K681" s="21" t="n"/>
      <c r="L681" s="21" t="n"/>
      <c r="M681" s="18" t="n"/>
      <c r="N681" s="22">
        <f>IF($B681="","",CHOOSE(WEEKDAY($B681),"الأحد","الاثنين","الثلاثاء","الأربعاء","الخميس","الجمعة","السبت"))</f>
        <v/>
      </c>
      <c r="O681" s="23">
        <f>IF(OR($K681="",$L681=""),"",HYPERLINK("https://maps.google.com/?q="&amp;$K681&amp;","&amp;$L681,"عرض الموقع"))</f>
        <v/>
      </c>
      <c r="P681" s="23">
        <f>IF(OR($B681="",N($J681)=0),"",HYPERLINK(PhotoDir&amp;"/"&amp;YEAR($B681)&amp;"-"&amp;TEXT(MONTH($B681),"00")&amp;"-"&amp;TEXT(DAY($B681),"00")&amp;"_"&amp;$D681,"فتح الصور ("&amp;$J681&amp;")"))</f>
        <v/>
      </c>
      <c r="Q681" s="24">
        <f>IF($B681="","",MONTH($B681))</f>
        <v/>
      </c>
      <c r="R681" s="24">
        <f>IF($B681="","",YEAR($B681))</f>
        <v/>
      </c>
      <c r="S681" s="25">
        <f>IF($B681="","",$B681-WEEKDAY($B681,3))</f>
        <v/>
      </c>
      <c r="T681" s="24">
        <f>IF($B681="",0,IF(COUNTIFS($B$5:$B681,$B681,$D$5:$D681,$D681)=1,1,0))</f>
        <v/>
      </c>
      <c r="U681" s="24">
        <f>IF($B681="",0,IF(COUNTIFS($B$5:$B681,$B681,$C$5:$C681,$C681)=1,1,0))</f>
        <v/>
      </c>
      <c r="V681" s="24">
        <f>IF(OR($B681="",$G681="",$G681="لا توجد مشاهدات"),0,1)</f>
        <v/>
      </c>
      <c r="W681" s="24">
        <f>IF(AND($B681&lt;&gt;"",$I681="تم تحرير مخالفة"),1,0)</f>
        <v/>
      </c>
      <c r="X681" s="24">
        <f>IF($B681="","",IF($S681=WkStart,COUNTIF($S$5:$S681,WkStart),""))</f>
        <v/>
      </c>
    </row>
    <row r="682">
      <c r="A682" s="16">
        <f>IF($B682="","",ROW()-4)</f>
        <v/>
      </c>
      <c r="B682" s="17" t="n"/>
      <c r="C682" s="18" t="n"/>
      <c r="D682" s="18" t="n"/>
      <c r="E682" s="19" t="n"/>
      <c r="F682" s="19" t="n"/>
      <c r="G682" s="18" t="n"/>
      <c r="H682" s="18" t="n"/>
      <c r="I682" s="18" t="n"/>
      <c r="J682" s="20" t="n"/>
      <c r="K682" s="21" t="n"/>
      <c r="L682" s="21" t="n"/>
      <c r="M682" s="18" t="n"/>
      <c r="N682" s="22">
        <f>IF($B682="","",CHOOSE(WEEKDAY($B682),"الأحد","الاثنين","الثلاثاء","الأربعاء","الخميس","الجمعة","السبت"))</f>
        <v/>
      </c>
      <c r="O682" s="23">
        <f>IF(OR($K682="",$L682=""),"",HYPERLINK("https://maps.google.com/?q="&amp;$K682&amp;","&amp;$L682,"عرض الموقع"))</f>
        <v/>
      </c>
      <c r="P682" s="23">
        <f>IF(OR($B682="",N($J682)=0),"",HYPERLINK(PhotoDir&amp;"/"&amp;YEAR($B682)&amp;"-"&amp;TEXT(MONTH($B682),"00")&amp;"-"&amp;TEXT(DAY($B682),"00")&amp;"_"&amp;$D682,"فتح الصور ("&amp;$J682&amp;")"))</f>
        <v/>
      </c>
      <c r="Q682" s="24">
        <f>IF($B682="","",MONTH($B682))</f>
        <v/>
      </c>
      <c r="R682" s="24">
        <f>IF($B682="","",YEAR($B682))</f>
        <v/>
      </c>
      <c r="S682" s="25">
        <f>IF($B682="","",$B682-WEEKDAY($B682,3))</f>
        <v/>
      </c>
      <c r="T682" s="24">
        <f>IF($B682="",0,IF(COUNTIFS($B$5:$B682,$B682,$D$5:$D682,$D682)=1,1,0))</f>
        <v/>
      </c>
      <c r="U682" s="24">
        <f>IF($B682="",0,IF(COUNTIFS($B$5:$B682,$B682,$C$5:$C682,$C682)=1,1,0))</f>
        <v/>
      </c>
      <c r="V682" s="24">
        <f>IF(OR($B682="",$G682="",$G682="لا توجد مشاهدات"),0,1)</f>
        <v/>
      </c>
      <c r="W682" s="24">
        <f>IF(AND($B682&lt;&gt;"",$I682="تم تحرير مخالفة"),1,0)</f>
        <v/>
      </c>
      <c r="X682" s="24">
        <f>IF($B682="","",IF($S682=WkStart,COUNTIF($S$5:$S682,WkStart),""))</f>
        <v/>
      </c>
    </row>
    <row r="683">
      <c r="A683" s="16">
        <f>IF($B683="","",ROW()-4)</f>
        <v/>
      </c>
      <c r="B683" s="17" t="n"/>
      <c r="C683" s="18" t="n"/>
      <c r="D683" s="18" t="n"/>
      <c r="E683" s="19" t="n"/>
      <c r="F683" s="19" t="n"/>
      <c r="G683" s="18" t="n"/>
      <c r="H683" s="18" t="n"/>
      <c r="I683" s="18" t="n"/>
      <c r="J683" s="20" t="n"/>
      <c r="K683" s="21" t="n"/>
      <c r="L683" s="21" t="n"/>
      <c r="M683" s="18" t="n"/>
      <c r="N683" s="22">
        <f>IF($B683="","",CHOOSE(WEEKDAY($B683),"الأحد","الاثنين","الثلاثاء","الأربعاء","الخميس","الجمعة","السبت"))</f>
        <v/>
      </c>
      <c r="O683" s="23">
        <f>IF(OR($K683="",$L683=""),"",HYPERLINK("https://maps.google.com/?q="&amp;$K683&amp;","&amp;$L683,"عرض الموقع"))</f>
        <v/>
      </c>
      <c r="P683" s="23">
        <f>IF(OR($B683="",N($J683)=0),"",HYPERLINK(PhotoDir&amp;"/"&amp;YEAR($B683)&amp;"-"&amp;TEXT(MONTH($B683),"00")&amp;"-"&amp;TEXT(DAY($B683),"00")&amp;"_"&amp;$D683,"فتح الصور ("&amp;$J683&amp;")"))</f>
        <v/>
      </c>
      <c r="Q683" s="24">
        <f>IF($B683="","",MONTH($B683))</f>
        <v/>
      </c>
      <c r="R683" s="24">
        <f>IF($B683="","",YEAR($B683))</f>
        <v/>
      </c>
      <c r="S683" s="25">
        <f>IF($B683="","",$B683-WEEKDAY($B683,3))</f>
        <v/>
      </c>
      <c r="T683" s="24">
        <f>IF($B683="",0,IF(COUNTIFS($B$5:$B683,$B683,$D$5:$D683,$D683)=1,1,0))</f>
        <v/>
      </c>
      <c r="U683" s="24">
        <f>IF($B683="",0,IF(COUNTIFS($B$5:$B683,$B683,$C$5:$C683,$C683)=1,1,0))</f>
        <v/>
      </c>
      <c r="V683" s="24">
        <f>IF(OR($B683="",$G683="",$G683="لا توجد مشاهدات"),0,1)</f>
        <v/>
      </c>
      <c r="W683" s="24">
        <f>IF(AND($B683&lt;&gt;"",$I683="تم تحرير مخالفة"),1,0)</f>
        <v/>
      </c>
      <c r="X683" s="24">
        <f>IF($B683="","",IF($S683=WkStart,COUNTIF($S$5:$S683,WkStart),""))</f>
        <v/>
      </c>
    </row>
    <row r="684">
      <c r="A684" s="16">
        <f>IF($B684="","",ROW()-4)</f>
        <v/>
      </c>
      <c r="B684" s="17" t="n"/>
      <c r="C684" s="18" t="n"/>
      <c r="D684" s="18" t="n"/>
      <c r="E684" s="19" t="n"/>
      <c r="F684" s="19" t="n"/>
      <c r="G684" s="18" t="n"/>
      <c r="H684" s="18" t="n"/>
      <c r="I684" s="18" t="n"/>
      <c r="J684" s="20" t="n"/>
      <c r="K684" s="21" t="n"/>
      <c r="L684" s="21" t="n"/>
      <c r="M684" s="18" t="n"/>
      <c r="N684" s="22">
        <f>IF($B684="","",CHOOSE(WEEKDAY($B684),"الأحد","الاثنين","الثلاثاء","الأربعاء","الخميس","الجمعة","السبت"))</f>
        <v/>
      </c>
      <c r="O684" s="23">
        <f>IF(OR($K684="",$L684=""),"",HYPERLINK("https://maps.google.com/?q="&amp;$K684&amp;","&amp;$L684,"عرض الموقع"))</f>
        <v/>
      </c>
      <c r="P684" s="23">
        <f>IF(OR($B684="",N($J684)=0),"",HYPERLINK(PhotoDir&amp;"/"&amp;YEAR($B684)&amp;"-"&amp;TEXT(MONTH($B684),"00")&amp;"-"&amp;TEXT(DAY($B684),"00")&amp;"_"&amp;$D684,"فتح الصور ("&amp;$J684&amp;")"))</f>
        <v/>
      </c>
      <c r="Q684" s="24">
        <f>IF($B684="","",MONTH($B684))</f>
        <v/>
      </c>
      <c r="R684" s="24">
        <f>IF($B684="","",YEAR($B684))</f>
        <v/>
      </c>
      <c r="S684" s="25">
        <f>IF($B684="","",$B684-WEEKDAY($B684,3))</f>
        <v/>
      </c>
      <c r="T684" s="24">
        <f>IF($B684="",0,IF(COUNTIFS($B$5:$B684,$B684,$D$5:$D684,$D684)=1,1,0))</f>
        <v/>
      </c>
      <c r="U684" s="24">
        <f>IF($B684="",0,IF(COUNTIFS($B$5:$B684,$B684,$C$5:$C684,$C684)=1,1,0))</f>
        <v/>
      </c>
      <c r="V684" s="24">
        <f>IF(OR($B684="",$G684="",$G684="لا توجد مشاهدات"),0,1)</f>
        <v/>
      </c>
      <c r="W684" s="24">
        <f>IF(AND($B684&lt;&gt;"",$I684="تم تحرير مخالفة"),1,0)</f>
        <v/>
      </c>
      <c r="X684" s="24">
        <f>IF($B684="","",IF($S684=WkStart,COUNTIF($S$5:$S684,WkStart),""))</f>
        <v/>
      </c>
    </row>
    <row r="685">
      <c r="A685" s="16">
        <f>IF($B685="","",ROW()-4)</f>
        <v/>
      </c>
      <c r="B685" s="17" t="n"/>
      <c r="C685" s="18" t="n"/>
      <c r="D685" s="18" t="n"/>
      <c r="E685" s="19" t="n"/>
      <c r="F685" s="19" t="n"/>
      <c r="G685" s="18" t="n"/>
      <c r="H685" s="18" t="n"/>
      <c r="I685" s="18" t="n"/>
      <c r="J685" s="20" t="n"/>
      <c r="K685" s="21" t="n"/>
      <c r="L685" s="21" t="n"/>
      <c r="M685" s="18" t="n"/>
      <c r="N685" s="22">
        <f>IF($B685="","",CHOOSE(WEEKDAY($B685),"الأحد","الاثنين","الثلاثاء","الأربعاء","الخميس","الجمعة","السبت"))</f>
        <v/>
      </c>
      <c r="O685" s="23">
        <f>IF(OR($K685="",$L685=""),"",HYPERLINK("https://maps.google.com/?q="&amp;$K685&amp;","&amp;$L685,"عرض الموقع"))</f>
        <v/>
      </c>
      <c r="P685" s="23">
        <f>IF(OR($B685="",N($J685)=0),"",HYPERLINK(PhotoDir&amp;"/"&amp;YEAR($B685)&amp;"-"&amp;TEXT(MONTH($B685),"00")&amp;"-"&amp;TEXT(DAY($B685),"00")&amp;"_"&amp;$D685,"فتح الصور ("&amp;$J685&amp;")"))</f>
        <v/>
      </c>
      <c r="Q685" s="24">
        <f>IF($B685="","",MONTH($B685))</f>
        <v/>
      </c>
      <c r="R685" s="24">
        <f>IF($B685="","",YEAR($B685))</f>
        <v/>
      </c>
      <c r="S685" s="25">
        <f>IF($B685="","",$B685-WEEKDAY($B685,3))</f>
        <v/>
      </c>
      <c r="T685" s="24">
        <f>IF($B685="",0,IF(COUNTIFS($B$5:$B685,$B685,$D$5:$D685,$D685)=1,1,0))</f>
        <v/>
      </c>
      <c r="U685" s="24">
        <f>IF($B685="",0,IF(COUNTIFS($B$5:$B685,$B685,$C$5:$C685,$C685)=1,1,0))</f>
        <v/>
      </c>
      <c r="V685" s="24">
        <f>IF(OR($B685="",$G685="",$G685="لا توجد مشاهدات"),0,1)</f>
        <v/>
      </c>
      <c r="W685" s="24">
        <f>IF(AND($B685&lt;&gt;"",$I685="تم تحرير مخالفة"),1,0)</f>
        <v/>
      </c>
      <c r="X685" s="24">
        <f>IF($B685="","",IF($S685=WkStart,COUNTIF($S$5:$S685,WkStart),""))</f>
        <v/>
      </c>
    </row>
    <row r="686">
      <c r="A686" s="16">
        <f>IF($B686="","",ROW()-4)</f>
        <v/>
      </c>
      <c r="B686" s="17" t="n"/>
      <c r="C686" s="18" t="n"/>
      <c r="D686" s="18" t="n"/>
      <c r="E686" s="19" t="n"/>
      <c r="F686" s="19" t="n"/>
      <c r="G686" s="18" t="n"/>
      <c r="H686" s="18" t="n"/>
      <c r="I686" s="18" t="n"/>
      <c r="J686" s="20" t="n"/>
      <c r="K686" s="21" t="n"/>
      <c r="L686" s="21" t="n"/>
      <c r="M686" s="18" t="n"/>
      <c r="N686" s="22">
        <f>IF($B686="","",CHOOSE(WEEKDAY($B686),"الأحد","الاثنين","الثلاثاء","الأربعاء","الخميس","الجمعة","السبت"))</f>
        <v/>
      </c>
      <c r="O686" s="23">
        <f>IF(OR($K686="",$L686=""),"",HYPERLINK("https://maps.google.com/?q="&amp;$K686&amp;","&amp;$L686,"عرض الموقع"))</f>
        <v/>
      </c>
      <c r="P686" s="23">
        <f>IF(OR($B686="",N($J686)=0),"",HYPERLINK(PhotoDir&amp;"/"&amp;YEAR($B686)&amp;"-"&amp;TEXT(MONTH($B686),"00")&amp;"-"&amp;TEXT(DAY($B686),"00")&amp;"_"&amp;$D686,"فتح الصور ("&amp;$J686&amp;")"))</f>
        <v/>
      </c>
      <c r="Q686" s="24">
        <f>IF($B686="","",MONTH($B686))</f>
        <v/>
      </c>
      <c r="R686" s="24">
        <f>IF($B686="","",YEAR($B686))</f>
        <v/>
      </c>
      <c r="S686" s="25">
        <f>IF($B686="","",$B686-WEEKDAY($B686,3))</f>
        <v/>
      </c>
      <c r="T686" s="24">
        <f>IF($B686="",0,IF(COUNTIFS($B$5:$B686,$B686,$D$5:$D686,$D686)=1,1,0))</f>
        <v/>
      </c>
      <c r="U686" s="24">
        <f>IF($B686="",0,IF(COUNTIFS($B$5:$B686,$B686,$C$5:$C686,$C686)=1,1,0))</f>
        <v/>
      </c>
      <c r="V686" s="24">
        <f>IF(OR($B686="",$G686="",$G686="لا توجد مشاهدات"),0,1)</f>
        <v/>
      </c>
      <c r="W686" s="24">
        <f>IF(AND($B686&lt;&gt;"",$I686="تم تحرير مخالفة"),1,0)</f>
        <v/>
      </c>
      <c r="X686" s="24">
        <f>IF($B686="","",IF($S686=WkStart,COUNTIF($S$5:$S686,WkStart),""))</f>
        <v/>
      </c>
    </row>
    <row r="687">
      <c r="A687" s="16">
        <f>IF($B687="","",ROW()-4)</f>
        <v/>
      </c>
      <c r="B687" s="17" t="n"/>
      <c r="C687" s="18" t="n"/>
      <c r="D687" s="18" t="n"/>
      <c r="E687" s="19" t="n"/>
      <c r="F687" s="19" t="n"/>
      <c r="G687" s="18" t="n"/>
      <c r="H687" s="18" t="n"/>
      <c r="I687" s="18" t="n"/>
      <c r="J687" s="20" t="n"/>
      <c r="K687" s="21" t="n"/>
      <c r="L687" s="21" t="n"/>
      <c r="M687" s="18" t="n"/>
      <c r="N687" s="22">
        <f>IF($B687="","",CHOOSE(WEEKDAY($B687),"الأحد","الاثنين","الثلاثاء","الأربعاء","الخميس","الجمعة","السبت"))</f>
        <v/>
      </c>
      <c r="O687" s="23">
        <f>IF(OR($K687="",$L687=""),"",HYPERLINK("https://maps.google.com/?q="&amp;$K687&amp;","&amp;$L687,"عرض الموقع"))</f>
        <v/>
      </c>
      <c r="P687" s="23">
        <f>IF(OR($B687="",N($J687)=0),"",HYPERLINK(PhotoDir&amp;"/"&amp;YEAR($B687)&amp;"-"&amp;TEXT(MONTH($B687),"00")&amp;"-"&amp;TEXT(DAY($B687),"00")&amp;"_"&amp;$D687,"فتح الصور ("&amp;$J687&amp;")"))</f>
        <v/>
      </c>
      <c r="Q687" s="24">
        <f>IF($B687="","",MONTH($B687))</f>
        <v/>
      </c>
      <c r="R687" s="24">
        <f>IF($B687="","",YEAR($B687))</f>
        <v/>
      </c>
      <c r="S687" s="25">
        <f>IF($B687="","",$B687-WEEKDAY($B687,3))</f>
        <v/>
      </c>
      <c r="T687" s="24">
        <f>IF($B687="",0,IF(COUNTIFS($B$5:$B687,$B687,$D$5:$D687,$D687)=1,1,0))</f>
        <v/>
      </c>
      <c r="U687" s="24">
        <f>IF($B687="",0,IF(COUNTIFS($B$5:$B687,$B687,$C$5:$C687,$C687)=1,1,0))</f>
        <v/>
      </c>
      <c r="V687" s="24">
        <f>IF(OR($B687="",$G687="",$G687="لا توجد مشاهدات"),0,1)</f>
        <v/>
      </c>
      <c r="W687" s="24">
        <f>IF(AND($B687&lt;&gt;"",$I687="تم تحرير مخالفة"),1,0)</f>
        <v/>
      </c>
      <c r="X687" s="24">
        <f>IF($B687="","",IF($S687=WkStart,COUNTIF($S$5:$S687,WkStart),""))</f>
        <v/>
      </c>
    </row>
    <row r="688">
      <c r="A688" s="16">
        <f>IF($B688="","",ROW()-4)</f>
        <v/>
      </c>
      <c r="B688" s="17" t="n"/>
      <c r="C688" s="18" t="n"/>
      <c r="D688" s="18" t="n"/>
      <c r="E688" s="19" t="n"/>
      <c r="F688" s="19" t="n"/>
      <c r="G688" s="18" t="n"/>
      <c r="H688" s="18" t="n"/>
      <c r="I688" s="18" t="n"/>
      <c r="J688" s="20" t="n"/>
      <c r="K688" s="21" t="n"/>
      <c r="L688" s="21" t="n"/>
      <c r="M688" s="18" t="n"/>
      <c r="N688" s="22">
        <f>IF($B688="","",CHOOSE(WEEKDAY($B688),"الأحد","الاثنين","الثلاثاء","الأربعاء","الخميس","الجمعة","السبت"))</f>
        <v/>
      </c>
      <c r="O688" s="23">
        <f>IF(OR($K688="",$L688=""),"",HYPERLINK("https://maps.google.com/?q="&amp;$K688&amp;","&amp;$L688,"عرض الموقع"))</f>
        <v/>
      </c>
      <c r="P688" s="23">
        <f>IF(OR($B688="",N($J688)=0),"",HYPERLINK(PhotoDir&amp;"/"&amp;YEAR($B688)&amp;"-"&amp;TEXT(MONTH($B688),"00")&amp;"-"&amp;TEXT(DAY($B688),"00")&amp;"_"&amp;$D688,"فتح الصور ("&amp;$J688&amp;")"))</f>
        <v/>
      </c>
      <c r="Q688" s="24">
        <f>IF($B688="","",MONTH($B688))</f>
        <v/>
      </c>
      <c r="R688" s="24">
        <f>IF($B688="","",YEAR($B688))</f>
        <v/>
      </c>
      <c r="S688" s="25">
        <f>IF($B688="","",$B688-WEEKDAY($B688,3))</f>
        <v/>
      </c>
      <c r="T688" s="24">
        <f>IF($B688="",0,IF(COUNTIFS($B$5:$B688,$B688,$D$5:$D688,$D688)=1,1,0))</f>
        <v/>
      </c>
      <c r="U688" s="24">
        <f>IF($B688="",0,IF(COUNTIFS($B$5:$B688,$B688,$C$5:$C688,$C688)=1,1,0))</f>
        <v/>
      </c>
      <c r="V688" s="24">
        <f>IF(OR($B688="",$G688="",$G688="لا توجد مشاهدات"),0,1)</f>
        <v/>
      </c>
      <c r="W688" s="24">
        <f>IF(AND($B688&lt;&gt;"",$I688="تم تحرير مخالفة"),1,0)</f>
        <v/>
      </c>
      <c r="X688" s="24">
        <f>IF($B688="","",IF($S688=WkStart,COUNTIF($S$5:$S688,WkStart),""))</f>
        <v/>
      </c>
    </row>
    <row r="689">
      <c r="A689" s="16">
        <f>IF($B689="","",ROW()-4)</f>
        <v/>
      </c>
      <c r="B689" s="17" t="n"/>
      <c r="C689" s="18" t="n"/>
      <c r="D689" s="18" t="n"/>
      <c r="E689" s="19" t="n"/>
      <c r="F689" s="19" t="n"/>
      <c r="G689" s="18" t="n"/>
      <c r="H689" s="18" t="n"/>
      <c r="I689" s="18" t="n"/>
      <c r="J689" s="20" t="n"/>
      <c r="K689" s="21" t="n"/>
      <c r="L689" s="21" t="n"/>
      <c r="M689" s="18" t="n"/>
      <c r="N689" s="22">
        <f>IF($B689="","",CHOOSE(WEEKDAY($B689),"الأحد","الاثنين","الثلاثاء","الأربعاء","الخميس","الجمعة","السبت"))</f>
        <v/>
      </c>
      <c r="O689" s="23">
        <f>IF(OR($K689="",$L689=""),"",HYPERLINK("https://maps.google.com/?q="&amp;$K689&amp;","&amp;$L689,"عرض الموقع"))</f>
        <v/>
      </c>
      <c r="P689" s="23">
        <f>IF(OR($B689="",N($J689)=0),"",HYPERLINK(PhotoDir&amp;"/"&amp;YEAR($B689)&amp;"-"&amp;TEXT(MONTH($B689),"00")&amp;"-"&amp;TEXT(DAY($B689),"00")&amp;"_"&amp;$D689,"فتح الصور ("&amp;$J689&amp;")"))</f>
        <v/>
      </c>
      <c r="Q689" s="24">
        <f>IF($B689="","",MONTH($B689))</f>
        <v/>
      </c>
      <c r="R689" s="24">
        <f>IF($B689="","",YEAR($B689))</f>
        <v/>
      </c>
      <c r="S689" s="25">
        <f>IF($B689="","",$B689-WEEKDAY($B689,3))</f>
        <v/>
      </c>
      <c r="T689" s="24">
        <f>IF($B689="",0,IF(COUNTIFS($B$5:$B689,$B689,$D$5:$D689,$D689)=1,1,0))</f>
        <v/>
      </c>
      <c r="U689" s="24">
        <f>IF($B689="",0,IF(COUNTIFS($B$5:$B689,$B689,$C$5:$C689,$C689)=1,1,0))</f>
        <v/>
      </c>
      <c r="V689" s="24">
        <f>IF(OR($B689="",$G689="",$G689="لا توجد مشاهدات"),0,1)</f>
        <v/>
      </c>
      <c r="W689" s="24">
        <f>IF(AND($B689&lt;&gt;"",$I689="تم تحرير مخالفة"),1,0)</f>
        <v/>
      </c>
      <c r="X689" s="24">
        <f>IF($B689="","",IF($S689=WkStart,COUNTIF($S$5:$S689,WkStart),""))</f>
        <v/>
      </c>
    </row>
    <row r="690">
      <c r="A690" s="16">
        <f>IF($B690="","",ROW()-4)</f>
        <v/>
      </c>
      <c r="B690" s="17" t="n"/>
      <c r="C690" s="18" t="n"/>
      <c r="D690" s="18" t="n"/>
      <c r="E690" s="19" t="n"/>
      <c r="F690" s="19" t="n"/>
      <c r="G690" s="18" t="n"/>
      <c r="H690" s="18" t="n"/>
      <c r="I690" s="18" t="n"/>
      <c r="J690" s="20" t="n"/>
      <c r="K690" s="21" t="n"/>
      <c r="L690" s="21" t="n"/>
      <c r="M690" s="18" t="n"/>
      <c r="N690" s="22">
        <f>IF($B690="","",CHOOSE(WEEKDAY($B690),"الأحد","الاثنين","الثلاثاء","الأربعاء","الخميس","الجمعة","السبت"))</f>
        <v/>
      </c>
      <c r="O690" s="23">
        <f>IF(OR($K690="",$L690=""),"",HYPERLINK("https://maps.google.com/?q="&amp;$K690&amp;","&amp;$L690,"عرض الموقع"))</f>
        <v/>
      </c>
      <c r="P690" s="23">
        <f>IF(OR($B690="",N($J690)=0),"",HYPERLINK(PhotoDir&amp;"/"&amp;YEAR($B690)&amp;"-"&amp;TEXT(MONTH($B690),"00")&amp;"-"&amp;TEXT(DAY($B690),"00")&amp;"_"&amp;$D690,"فتح الصور ("&amp;$J690&amp;")"))</f>
        <v/>
      </c>
      <c r="Q690" s="24">
        <f>IF($B690="","",MONTH($B690))</f>
        <v/>
      </c>
      <c r="R690" s="24">
        <f>IF($B690="","",YEAR($B690))</f>
        <v/>
      </c>
      <c r="S690" s="25">
        <f>IF($B690="","",$B690-WEEKDAY($B690,3))</f>
        <v/>
      </c>
      <c r="T690" s="24">
        <f>IF($B690="",0,IF(COUNTIFS($B$5:$B690,$B690,$D$5:$D690,$D690)=1,1,0))</f>
        <v/>
      </c>
      <c r="U690" s="24">
        <f>IF($B690="",0,IF(COUNTIFS($B$5:$B690,$B690,$C$5:$C690,$C690)=1,1,0))</f>
        <v/>
      </c>
      <c r="V690" s="24">
        <f>IF(OR($B690="",$G690="",$G690="لا توجد مشاهدات"),0,1)</f>
        <v/>
      </c>
      <c r="W690" s="24">
        <f>IF(AND($B690&lt;&gt;"",$I690="تم تحرير مخالفة"),1,0)</f>
        <v/>
      </c>
      <c r="X690" s="24">
        <f>IF($B690="","",IF($S690=WkStart,COUNTIF($S$5:$S690,WkStart),""))</f>
        <v/>
      </c>
    </row>
    <row r="691">
      <c r="A691" s="16">
        <f>IF($B691="","",ROW()-4)</f>
        <v/>
      </c>
      <c r="B691" s="17" t="n"/>
      <c r="C691" s="18" t="n"/>
      <c r="D691" s="18" t="n"/>
      <c r="E691" s="19" t="n"/>
      <c r="F691" s="19" t="n"/>
      <c r="G691" s="18" t="n"/>
      <c r="H691" s="18" t="n"/>
      <c r="I691" s="18" t="n"/>
      <c r="J691" s="20" t="n"/>
      <c r="K691" s="21" t="n"/>
      <c r="L691" s="21" t="n"/>
      <c r="M691" s="18" t="n"/>
      <c r="N691" s="22">
        <f>IF($B691="","",CHOOSE(WEEKDAY($B691),"الأحد","الاثنين","الثلاثاء","الأربعاء","الخميس","الجمعة","السبت"))</f>
        <v/>
      </c>
      <c r="O691" s="23">
        <f>IF(OR($K691="",$L691=""),"",HYPERLINK("https://maps.google.com/?q="&amp;$K691&amp;","&amp;$L691,"عرض الموقع"))</f>
        <v/>
      </c>
      <c r="P691" s="23">
        <f>IF(OR($B691="",N($J691)=0),"",HYPERLINK(PhotoDir&amp;"/"&amp;YEAR($B691)&amp;"-"&amp;TEXT(MONTH($B691),"00")&amp;"-"&amp;TEXT(DAY($B691),"00")&amp;"_"&amp;$D691,"فتح الصور ("&amp;$J691&amp;")"))</f>
        <v/>
      </c>
      <c r="Q691" s="24">
        <f>IF($B691="","",MONTH($B691))</f>
        <v/>
      </c>
      <c r="R691" s="24">
        <f>IF($B691="","",YEAR($B691))</f>
        <v/>
      </c>
      <c r="S691" s="25">
        <f>IF($B691="","",$B691-WEEKDAY($B691,3))</f>
        <v/>
      </c>
      <c r="T691" s="24">
        <f>IF($B691="",0,IF(COUNTIFS($B$5:$B691,$B691,$D$5:$D691,$D691)=1,1,0))</f>
        <v/>
      </c>
      <c r="U691" s="24">
        <f>IF($B691="",0,IF(COUNTIFS($B$5:$B691,$B691,$C$5:$C691,$C691)=1,1,0))</f>
        <v/>
      </c>
      <c r="V691" s="24">
        <f>IF(OR($B691="",$G691="",$G691="لا توجد مشاهدات"),0,1)</f>
        <v/>
      </c>
      <c r="W691" s="24">
        <f>IF(AND($B691&lt;&gt;"",$I691="تم تحرير مخالفة"),1,0)</f>
        <v/>
      </c>
      <c r="X691" s="24">
        <f>IF($B691="","",IF($S691=WkStart,COUNTIF($S$5:$S691,WkStart),""))</f>
        <v/>
      </c>
    </row>
    <row r="692">
      <c r="A692" s="16">
        <f>IF($B692="","",ROW()-4)</f>
        <v/>
      </c>
      <c r="B692" s="17" t="n"/>
      <c r="C692" s="18" t="n"/>
      <c r="D692" s="18" t="n"/>
      <c r="E692" s="19" t="n"/>
      <c r="F692" s="19" t="n"/>
      <c r="G692" s="18" t="n"/>
      <c r="H692" s="18" t="n"/>
      <c r="I692" s="18" t="n"/>
      <c r="J692" s="20" t="n"/>
      <c r="K692" s="21" t="n"/>
      <c r="L692" s="21" t="n"/>
      <c r="M692" s="18" t="n"/>
      <c r="N692" s="22">
        <f>IF($B692="","",CHOOSE(WEEKDAY($B692),"الأحد","الاثنين","الثلاثاء","الأربعاء","الخميس","الجمعة","السبت"))</f>
        <v/>
      </c>
      <c r="O692" s="23">
        <f>IF(OR($K692="",$L692=""),"",HYPERLINK("https://maps.google.com/?q="&amp;$K692&amp;","&amp;$L692,"عرض الموقع"))</f>
        <v/>
      </c>
      <c r="P692" s="23">
        <f>IF(OR($B692="",N($J692)=0),"",HYPERLINK(PhotoDir&amp;"/"&amp;YEAR($B692)&amp;"-"&amp;TEXT(MONTH($B692),"00")&amp;"-"&amp;TEXT(DAY($B692),"00")&amp;"_"&amp;$D692,"فتح الصور ("&amp;$J692&amp;")"))</f>
        <v/>
      </c>
      <c r="Q692" s="24">
        <f>IF($B692="","",MONTH($B692))</f>
        <v/>
      </c>
      <c r="R692" s="24">
        <f>IF($B692="","",YEAR($B692))</f>
        <v/>
      </c>
      <c r="S692" s="25">
        <f>IF($B692="","",$B692-WEEKDAY($B692,3))</f>
        <v/>
      </c>
      <c r="T692" s="24">
        <f>IF($B692="",0,IF(COUNTIFS($B$5:$B692,$B692,$D$5:$D692,$D692)=1,1,0))</f>
        <v/>
      </c>
      <c r="U692" s="24">
        <f>IF($B692="",0,IF(COUNTIFS($B$5:$B692,$B692,$C$5:$C692,$C692)=1,1,0))</f>
        <v/>
      </c>
      <c r="V692" s="24">
        <f>IF(OR($B692="",$G692="",$G692="لا توجد مشاهدات"),0,1)</f>
        <v/>
      </c>
      <c r="W692" s="24">
        <f>IF(AND($B692&lt;&gt;"",$I692="تم تحرير مخالفة"),1,0)</f>
        <v/>
      </c>
      <c r="X692" s="24">
        <f>IF($B692="","",IF($S692=WkStart,COUNTIF($S$5:$S692,WkStart),""))</f>
        <v/>
      </c>
    </row>
    <row r="693">
      <c r="A693" s="16">
        <f>IF($B693="","",ROW()-4)</f>
        <v/>
      </c>
      <c r="B693" s="17" t="n"/>
      <c r="C693" s="18" t="n"/>
      <c r="D693" s="18" t="n"/>
      <c r="E693" s="19" t="n"/>
      <c r="F693" s="19" t="n"/>
      <c r="G693" s="18" t="n"/>
      <c r="H693" s="18" t="n"/>
      <c r="I693" s="18" t="n"/>
      <c r="J693" s="20" t="n"/>
      <c r="K693" s="21" t="n"/>
      <c r="L693" s="21" t="n"/>
      <c r="M693" s="18" t="n"/>
      <c r="N693" s="22">
        <f>IF($B693="","",CHOOSE(WEEKDAY($B693),"الأحد","الاثنين","الثلاثاء","الأربعاء","الخميس","الجمعة","السبت"))</f>
        <v/>
      </c>
      <c r="O693" s="23">
        <f>IF(OR($K693="",$L693=""),"",HYPERLINK("https://maps.google.com/?q="&amp;$K693&amp;","&amp;$L693,"عرض الموقع"))</f>
        <v/>
      </c>
      <c r="P693" s="23">
        <f>IF(OR($B693="",N($J693)=0),"",HYPERLINK(PhotoDir&amp;"/"&amp;YEAR($B693)&amp;"-"&amp;TEXT(MONTH($B693),"00")&amp;"-"&amp;TEXT(DAY($B693),"00")&amp;"_"&amp;$D693,"فتح الصور ("&amp;$J693&amp;")"))</f>
        <v/>
      </c>
      <c r="Q693" s="24">
        <f>IF($B693="","",MONTH($B693))</f>
        <v/>
      </c>
      <c r="R693" s="24">
        <f>IF($B693="","",YEAR($B693))</f>
        <v/>
      </c>
      <c r="S693" s="25">
        <f>IF($B693="","",$B693-WEEKDAY($B693,3))</f>
        <v/>
      </c>
      <c r="T693" s="24">
        <f>IF($B693="",0,IF(COUNTIFS($B$5:$B693,$B693,$D$5:$D693,$D693)=1,1,0))</f>
        <v/>
      </c>
      <c r="U693" s="24">
        <f>IF($B693="",0,IF(COUNTIFS($B$5:$B693,$B693,$C$5:$C693,$C693)=1,1,0))</f>
        <v/>
      </c>
      <c r="V693" s="24">
        <f>IF(OR($B693="",$G693="",$G693="لا توجد مشاهدات"),0,1)</f>
        <v/>
      </c>
      <c r="W693" s="24">
        <f>IF(AND($B693&lt;&gt;"",$I693="تم تحرير مخالفة"),1,0)</f>
        <v/>
      </c>
      <c r="X693" s="24">
        <f>IF($B693="","",IF($S693=WkStart,COUNTIF($S$5:$S693,WkStart),""))</f>
        <v/>
      </c>
    </row>
    <row r="694">
      <c r="A694" s="16">
        <f>IF($B694="","",ROW()-4)</f>
        <v/>
      </c>
      <c r="B694" s="17" t="n"/>
      <c r="C694" s="18" t="n"/>
      <c r="D694" s="18" t="n"/>
      <c r="E694" s="19" t="n"/>
      <c r="F694" s="19" t="n"/>
      <c r="G694" s="18" t="n"/>
      <c r="H694" s="18" t="n"/>
      <c r="I694" s="18" t="n"/>
      <c r="J694" s="20" t="n"/>
      <c r="K694" s="21" t="n"/>
      <c r="L694" s="21" t="n"/>
      <c r="M694" s="18" t="n"/>
      <c r="N694" s="22">
        <f>IF($B694="","",CHOOSE(WEEKDAY($B694),"الأحد","الاثنين","الثلاثاء","الأربعاء","الخميس","الجمعة","السبت"))</f>
        <v/>
      </c>
      <c r="O694" s="23">
        <f>IF(OR($K694="",$L694=""),"",HYPERLINK("https://maps.google.com/?q="&amp;$K694&amp;","&amp;$L694,"عرض الموقع"))</f>
        <v/>
      </c>
      <c r="P694" s="23">
        <f>IF(OR($B694="",N($J694)=0),"",HYPERLINK(PhotoDir&amp;"/"&amp;YEAR($B694)&amp;"-"&amp;TEXT(MONTH($B694),"00")&amp;"-"&amp;TEXT(DAY($B694),"00")&amp;"_"&amp;$D694,"فتح الصور ("&amp;$J694&amp;")"))</f>
        <v/>
      </c>
      <c r="Q694" s="24">
        <f>IF($B694="","",MONTH($B694))</f>
        <v/>
      </c>
      <c r="R694" s="24">
        <f>IF($B694="","",YEAR($B694))</f>
        <v/>
      </c>
      <c r="S694" s="25">
        <f>IF($B694="","",$B694-WEEKDAY($B694,3))</f>
        <v/>
      </c>
      <c r="T694" s="24">
        <f>IF($B694="",0,IF(COUNTIFS($B$5:$B694,$B694,$D$5:$D694,$D694)=1,1,0))</f>
        <v/>
      </c>
      <c r="U694" s="24">
        <f>IF($B694="",0,IF(COUNTIFS($B$5:$B694,$B694,$C$5:$C694,$C694)=1,1,0))</f>
        <v/>
      </c>
      <c r="V694" s="24">
        <f>IF(OR($B694="",$G694="",$G694="لا توجد مشاهدات"),0,1)</f>
        <v/>
      </c>
      <c r="W694" s="24">
        <f>IF(AND($B694&lt;&gt;"",$I694="تم تحرير مخالفة"),1,0)</f>
        <v/>
      </c>
      <c r="X694" s="24">
        <f>IF($B694="","",IF($S694=WkStart,COUNTIF($S$5:$S694,WkStart),""))</f>
        <v/>
      </c>
    </row>
    <row r="695">
      <c r="A695" s="16">
        <f>IF($B695="","",ROW()-4)</f>
        <v/>
      </c>
      <c r="B695" s="17" t="n"/>
      <c r="C695" s="18" t="n"/>
      <c r="D695" s="18" t="n"/>
      <c r="E695" s="19" t="n"/>
      <c r="F695" s="19" t="n"/>
      <c r="G695" s="18" t="n"/>
      <c r="H695" s="18" t="n"/>
      <c r="I695" s="18" t="n"/>
      <c r="J695" s="20" t="n"/>
      <c r="K695" s="21" t="n"/>
      <c r="L695" s="21" t="n"/>
      <c r="M695" s="18" t="n"/>
      <c r="N695" s="22">
        <f>IF($B695="","",CHOOSE(WEEKDAY($B695),"الأحد","الاثنين","الثلاثاء","الأربعاء","الخميس","الجمعة","السبت"))</f>
        <v/>
      </c>
      <c r="O695" s="23">
        <f>IF(OR($K695="",$L695=""),"",HYPERLINK("https://maps.google.com/?q="&amp;$K695&amp;","&amp;$L695,"عرض الموقع"))</f>
        <v/>
      </c>
      <c r="P695" s="23">
        <f>IF(OR($B695="",N($J695)=0),"",HYPERLINK(PhotoDir&amp;"/"&amp;YEAR($B695)&amp;"-"&amp;TEXT(MONTH($B695),"00")&amp;"-"&amp;TEXT(DAY($B695),"00")&amp;"_"&amp;$D695,"فتح الصور ("&amp;$J695&amp;")"))</f>
        <v/>
      </c>
      <c r="Q695" s="24">
        <f>IF($B695="","",MONTH($B695))</f>
        <v/>
      </c>
      <c r="R695" s="24">
        <f>IF($B695="","",YEAR($B695))</f>
        <v/>
      </c>
      <c r="S695" s="25">
        <f>IF($B695="","",$B695-WEEKDAY($B695,3))</f>
        <v/>
      </c>
      <c r="T695" s="24">
        <f>IF($B695="",0,IF(COUNTIFS($B$5:$B695,$B695,$D$5:$D695,$D695)=1,1,0))</f>
        <v/>
      </c>
      <c r="U695" s="24">
        <f>IF($B695="",0,IF(COUNTIFS($B$5:$B695,$B695,$C$5:$C695,$C695)=1,1,0))</f>
        <v/>
      </c>
      <c r="V695" s="24">
        <f>IF(OR($B695="",$G695="",$G695="لا توجد مشاهدات"),0,1)</f>
        <v/>
      </c>
      <c r="W695" s="24">
        <f>IF(AND($B695&lt;&gt;"",$I695="تم تحرير مخالفة"),1,0)</f>
        <v/>
      </c>
      <c r="X695" s="24">
        <f>IF($B695="","",IF($S695=WkStart,COUNTIF($S$5:$S695,WkStart),""))</f>
        <v/>
      </c>
    </row>
    <row r="696">
      <c r="A696" s="16">
        <f>IF($B696="","",ROW()-4)</f>
        <v/>
      </c>
      <c r="B696" s="17" t="n"/>
      <c r="C696" s="18" t="n"/>
      <c r="D696" s="18" t="n"/>
      <c r="E696" s="19" t="n"/>
      <c r="F696" s="19" t="n"/>
      <c r="G696" s="18" t="n"/>
      <c r="H696" s="18" t="n"/>
      <c r="I696" s="18" t="n"/>
      <c r="J696" s="20" t="n"/>
      <c r="K696" s="21" t="n"/>
      <c r="L696" s="21" t="n"/>
      <c r="M696" s="18" t="n"/>
      <c r="N696" s="22">
        <f>IF($B696="","",CHOOSE(WEEKDAY($B696),"الأحد","الاثنين","الثلاثاء","الأربعاء","الخميس","الجمعة","السبت"))</f>
        <v/>
      </c>
      <c r="O696" s="23">
        <f>IF(OR($K696="",$L696=""),"",HYPERLINK("https://maps.google.com/?q="&amp;$K696&amp;","&amp;$L696,"عرض الموقع"))</f>
        <v/>
      </c>
      <c r="P696" s="23">
        <f>IF(OR($B696="",N($J696)=0),"",HYPERLINK(PhotoDir&amp;"/"&amp;YEAR($B696)&amp;"-"&amp;TEXT(MONTH($B696),"00")&amp;"-"&amp;TEXT(DAY($B696),"00")&amp;"_"&amp;$D696,"فتح الصور ("&amp;$J696&amp;")"))</f>
        <v/>
      </c>
      <c r="Q696" s="24">
        <f>IF($B696="","",MONTH($B696))</f>
        <v/>
      </c>
      <c r="R696" s="24">
        <f>IF($B696="","",YEAR($B696))</f>
        <v/>
      </c>
      <c r="S696" s="25">
        <f>IF($B696="","",$B696-WEEKDAY($B696,3))</f>
        <v/>
      </c>
      <c r="T696" s="24">
        <f>IF($B696="",0,IF(COUNTIFS($B$5:$B696,$B696,$D$5:$D696,$D696)=1,1,0))</f>
        <v/>
      </c>
      <c r="U696" s="24">
        <f>IF($B696="",0,IF(COUNTIFS($B$5:$B696,$B696,$C$5:$C696,$C696)=1,1,0))</f>
        <v/>
      </c>
      <c r="V696" s="24">
        <f>IF(OR($B696="",$G696="",$G696="لا توجد مشاهدات"),0,1)</f>
        <v/>
      </c>
      <c r="W696" s="24">
        <f>IF(AND($B696&lt;&gt;"",$I696="تم تحرير مخالفة"),1,0)</f>
        <v/>
      </c>
      <c r="X696" s="24">
        <f>IF($B696="","",IF($S696=WkStart,COUNTIF($S$5:$S696,WkStart),""))</f>
        <v/>
      </c>
    </row>
    <row r="697">
      <c r="A697" s="16">
        <f>IF($B697="","",ROW()-4)</f>
        <v/>
      </c>
      <c r="B697" s="17" t="n"/>
      <c r="C697" s="18" t="n"/>
      <c r="D697" s="18" t="n"/>
      <c r="E697" s="19" t="n"/>
      <c r="F697" s="19" t="n"/>
      <c r="G697" s="18" t="n"/>
      <c r="H697" s="18" t="n"/>
      <c r="I697" s="18" t="n"/>
      <c r="J697" s="20" t="n"/>
      <c r="K697" s="21" t="n"/>
      <c r="L697" s="21" t="n"/>
      <c r="M697" s="18" t="n"/>
      <c r="N697" s="22">
        <f>IF($B697="","",CHOOSE(WEEKDAY($B697),"الأحد","الاثنين","الثلاثاء","الأربعاء","الخميس","الجمعة","السبت"))</f>
        <v/>
      </c>
      <c r="O697" s="23">
        <f>IF(OR($K697="",$L697=""),"",HYPERLINK("https://maps.google.com/?q="&amp;$K697&amp;","&amp;$L697,"عرض الموقع"))</f>
        <v/>
      </c>
      <c r="P697" s="23">
        <f>IF(OR($B697="",N($J697)=0),"",HYPERLINK(PhotoDir&amp;"/"&amp;YEAR($B697)&amp;"-"&amp;TEXT(MONTH($B697),"00")&amp;"-"&amp;TEXT(DAY($B697),"00")&amp;"_"&amp;$D697,"فتح الصور ("&amp;$J697&amp;")"))</f>
        <v/>
      </c>
      <c r="Q697" s="24">
        <f>IF($B697="","",MONTH($B697))</f>
        <v/>
      </c>
      <c r="R697" s="24">
        <f>IF($B697="","",YEAR($B697))</f>
        <v/>
      </c>
      <c r="S697" s="25">
        <f>IF($B697="","",$B697-WEEKDAY($B697,3))</f>
        <v/>
      </c>
      <c r="T697" s="24">
        <f>IF($B697="",0,IF(COUNTIFS($B$5:$B697,$B697,$D$5:$D697,$D697)=1,1,0))</f>
        <v/>
      </c>
      <c r="U697" s="24">
        <f>IF($B697="",0,IF(COUNTIFS($B$5:$B697,$B697,$C$5:$C697,$C697)=1,1,0))</f>
        <v/>
      </c>
      <c r="V697" s="24">
        <f>IF(OR($B697="",$G697="",$G697="لا توجد مشاهدات"),0,1)</f>
        <v/>
      </c>
      <c r="W697" s="24">
        <f>IF(AND($B697&lt;&gt;"",$I697="تم تحرير مخالفة"),1,0)</f>
        <v/>
      </c>
      <c r="X697" s="24">
        <f>IF($B697="","",IF($S697=WkStart,COUNTIF($S$5:$S697,WkStart),""))</f>
        <v/>
      </c>
    </row>
    <row r="698">
      <c r="A698" s="16">
        <f>IF($B698="","",ROW()-4)</f>
        <v/>
      </c>
      <c r="B698" s="17" t="n"/>
      <c r="C698" s="18" t="n"/>
      <c r="D698" s="18" t="n"/>
      <c r="E698" s="19" t="n"/>
      <c r="F698" s="19" t="n"/>
      <c r="G698" s="18" t="n"/>
      <c r="H698" s="18" t="n"/>
      <c r="I698" s="18" t="n"/>
      <c r="J698" s="20" t="n"/>
      <c r="K698" s="21" t="n"/>
      <c r="L698" s="21" t="n"/>
      <c r="M698" s="18" t="n"/>
      <c r="N698" s="22">
        <f>IF($B698="","",CHOOSE(WEEKDAY($B698),"الأحد","الاثنين","الثلاثاء","الأربعاء","الخميس","الجمعة","السبت"))</f>
        <v/>
      </c>
      <c r="O698" s="23">
        <f>IF(OR($K698="",$L698=""),"",HYPERLINK("https://maps.google.com/?q="&amp;$K698&amp;","&amp;$L698,"عرض الموقع"))</f>
        <v/>
      </c>
      <c r="P698" s="23">
        <f>IF(OR($B698="",N($J698)=0),"",HYPERLINK(PhotoDir&amp;"/"&amp;YEAR($B698)&amp;"-"&amp;TEXT(MONTH($B698),"00")&amp;"-"&amp;TEXT(DAY($B698),"00")&amp;"_"&amp;$D698,"فتح الصور ("&amp;$J698&amp;")"))</f>
        <v/>
      </c>
      <c r="Q698" s="24">
        <f>IF($B698="","",MONTH($B698))</f>
        <v/>
      </c>
      <c r="R698" s="24">
        <f>IF($B698="","",YEAR($B698))</f>
        <v/>
      </c>
      <c r="S698" s="25">
        <f>IF($B698="","",$B698-WEEKDAY($B698,3))</f>
        <v/>
      </c>
      <c r="T698" s="24">
        <f>IF($B698="",0,IF(COUNTIFS($B$5:$B698,$B698,$D$5:$D698,$D698)=1,1,0))</f>
        <v/>
      </c>
      <c r="U698" s="24">
        <f>IF($B698="",0,IF(COUNTIFS($B$5:$B698,$B698,$C$5:$C698,$C698)=1,1,0))</f>
        <v/>
      </c>
      <c r="V698" s="24">
        <f>IF(OR($B698="",$G698="",$G698="لا توجد مشاهدات"),0,1)</f>
        <v/>
      </c>
      <c r="W698" s="24">
        <f>IF(AND($B698&lt;&gt;"",$I698="تم تحرير مخالفة"),1,0)</f>
        <v/>
      </c>
      <c r="X698" s="24">
        <f>IF($B698="","",IF($S698=WkStart,COUNTIF($S$5:$S698,WkStart),""))</f>
        <v/>
      </c>
    </row>
    <row r="699">
      <c r="A699" s="16">
        <f>IF($B699="","",ROW()-4)</f>
        <v/>
      </c>
      <c r="B699" s="17" t="n"/>
      <c r="C699" s="18" t="n"/>
      <c r="D699" s="18" t="n"/>
      <c r="E699" s="19" t="n"/>
      <c r="F699" s="19" t="n"/>
      <c r="G699" s="18" t="n"/>
      <c r="H699" s="18" t="n"/>
      <c r="I699" s="18" t="n"/>
      <c r="J699" s="20" t="n"/>
      <c r="K699" s="21" t="n"/>
      <c r="L699" s="21" t="n"/>
      <c r="M699" s="18" t="n"/>
      <c r="N699" s="22">
        <f>IF($B699="","",CHOOSE(WEEKDAY($B699),"الأحد","الاثنين","الثلاثاء","الأربعاء","الخميس","الجمعة","السبت"))</f>
        <v/>
      </c>
      <c r="O699" s="23">
        <f>IF(OR($K699="",$L699=""),"",HYPERLINK("https://maps.google.com/?q="&amp;$K699&amp;","&amp;$L699,"عرض الموقع"))</f>
        <v/>
      </c>
      <c r="P699" s="23">
        <f>IF(OR($B699="",N($J699)=0),"",HYPERLINK(PhotoDir&amp;"/"&amp;YEAR($B699)&amp;"-"&amp;TEXT(MONTH($B699),"00")&amp;"-"&amp;TEXT(DAY($B699),"00")&amp;"_"&amp;$D699,"فتح الصور ("&amp;$J699&amp;")"))</f>
        <v/>
      </c>
      <c r="Q699" s="24">
        <f>IF($B699="","",MONTH($B699))</f>
        <v/>
      </c>
      <c r="R699" s="24">
        <f>IF($B699="","",YEAR($B699))</f>
        <v/>
      </c>
      <c r="S699" s="25">
        <f>IF($B699="","",$B699-WEEKDAY($B699,3))</f>
        <v/>
      </c>
      <c r="T699" s="24">
        <f>IF($B699="",0,IF(COUNTIFS($B$5:$B699,$B699,$D$5:$D699,$D699)=1,1,0))</f>
        <v/>
      </c>
      <c r="U699" s="24">
        <f>IF($B699="",0,IF(COUNTIFS($B$5:$B699,$B699,$C$5:$C699,$C699)=1,1,0))</f>
        <v/>
      </c>
      <c r="V699" s="24">
        <f>IF(OR($B699="",$G699="",$G699="لا توجد مشاهدات"),0,1)</f>
        <v/>
      </c>
      <c r="W699" s="24">
        <f>IF(AND($B699&lt;&gt;"",$I699="تم تحرير مخالفة"),1,0)</f>
        <v/>
      </c>
      <c r="X699" s="24">
        <f>IF($B699="","",IF($S699=WkStart,COUNTIF($S$5:$S699,WkStart),""))</f>
        <v/>
      </c>
    </row>
    <row r="700">
      <c r="A700" s="16">
        <f>IF($B700="","",ROW()-4)</f>
        <v/>
      </c>
      <c r="B700" s="17" t="n"/>
      <c r="C700" s="18" t="n"/>
      <c r="D700" s="18" t="n"/>
      <c r="E700" s="19" t="n"/>
      <c r="F700" s="19" t="n"/>
      <c r="G700" s="18" t="n"/>
      <c r="H700" s="18" t="n"/>
      <c r="I700" s="18" t="n"/>
      <c r="J700" s="20" t="n"/>
      <c r="K700" s="21" t="n"/>
      <c r="L700" s="21" t="n"/>
      <c r="M700" s="18" t="n"/>
      <c r="N700" s="22">
        <f>IF($B700="","",CHOOSE(WEEKDAY($B700),"الأحد","الاثنين","الثلاثاء","الأربعاء","الخميس","الجمعة","السبت"))</f>
        <v/>
      </c>
      <c r="O700" s="23">
        <f>IF(OR($K700="",$L700=""),"",HYPERLINK("https://maps.google.com/?q="&amp;$K700&amp;","&amp;$L700,"عرض الموقع"))</f>
        <v/>
      </c>
      <c r="P700" s="23">
        <f>IF(OR($B700="",N($J700)=0),"",HYPERLINK(PhotoDir&amp;"/"&amp;YEAR($B700)&amp;"-"&amp;TEXT(MONTH($B700),"00")&amp;"-"&amp;TEXT(DAY($B700),"00")&amp;"_"&amp;$D700,"فتح الصور ("&amp;$J700&amp;")"))</f>
        <v/>
      </c>
      <c r="Q700" s="24">
        <f>IF($B700="","",MONTH($B700))</f>
        <v/>
      </c>
      <c r="R700" s="24">
        <f>IF($B700="","",YEAR($B700))</f>
        <v/>
      </c>
      <c r="S700" s="25">
        <f>IF($B700="","",$B700-WEEKDAY($B700,3))</f>
        <v/>
      </c>
      <c r="T700" s="24">
        <f>IF($B700="",0,IF(COUNTIFS($B$5:$B700,$B700,$D$5:$D700,$D700)=1,1,0))</f>
        <v/>
      </c>
      <c r="U700" s="24">
        <f>IF($B700="",0,IF(COUNTIFS($B$5:$B700,$B700,$C$5:$C700,$C700)=1,1,0))</f>
        <v/>
      </c>
      <c r="V700" s="24">
        <f>IF(OR($B700="",$G700="",$G700="لا توجد مشاهدات"),0,1)</f>
        <v/>
      </c>
      <c r="W700" s="24">
        <f>IF(AND($B700&lt;&gt;"",$I700="تم تحرير مخالفة"),1,0)</f>
        <v/>
      </c>
      <c r="X700" s="24">
        <f>IF($B700="","",IF($S700=WkStart,COUNTIF($S$5:$S700,WkStart),""))</f>
        <v/>
      </c>
    </row>
    <row r="701">
      <c r="A701" s="16">
        <f>IF($B701="","",ROW()-4)</f>
        <v/>
      </c>
      <c r="B701" s="17" t="n"/>
      <c r="C701" s="18" t="n"/>
      <c r="D701" s="18" t="n"/>
      <c r="E701" s="19" t="n"/>
      <c r="F701" s="19" t="n"/>
      <c r="G701" s="18" t="n"/>
      <c r="H701" s="18" t="n"/>
      <c r="I701" s="18" t="n"/>
      <c r="J701" s="20" t="n"/>
      <c r="K701" s="21" t="n"/>
      <c r="L701" s="21" t="n"/>
      <c r="M701" s="18" t="n"/>
      <c r="N701" s="22">
        <f>IF($B701="","",CHOOSE(WEEKDAY($B701),"الأحد","الاثنين","الثلاثاء","الأربعاء","الخميس","الجمعة","السبت"))</f>
        <v/>
      </c>
      <c r="O701" s="23">
        <f>IF(OR($K701="",$L701=""),"",HYPERLINK("https://maps.google.com/?q="&amp;$K701&amp;","&amp;$L701,"عرض الموقع"))</f>
        <v/>
      </c>
      <c r="P701" s="23">
        <f>IF(OR($B701="",N($J701)=0),"",HYPERLINK(PhotoDir&amp;"/"&amp;YEAR($B701)&amp;"-"&amp;TEXT(MONTH($B701),"00")&amp;"-"&amp;TEXT(DAY($B701),"00")&amp;"_"&amp;$D701,"فتح الصور ("&amp;$J701&amp;")"))</f>
        <v/>
      </c>
      <c r="Q701" s="24">
        <f>IF($B701="","",MONTH($B701))</f>
        <v/>
      </c>
      <c r="R701" s="24">
        <f>IF($B701="","",YEAR($B701))</f>
        <v/>
      </c>
      <c r="S701" s="25">
        <f>IF($B701="","",$B701-WEEKDAY($B701,3))</f>
        <v/>
      </c>
      <c r="T701" s="24">
        <f>IF($B701="",0,IF(COUNTIFS($B$5:$B701,$B701,$D$5:$D701,$D701)=1,1,0))</f>
        <v/>
      </c>
      <c r="U701" s="24">
        <f>IF($B701="",0,IF(COUNTIFS($B$5:$B701,$B701,$C$5:$C701,$C701)=1,1,0))</f>
        <v/>
      </c>
      <c r="V701" s="24">
        <f>IF(OR($B701="",$G701="",$G701="لا توجد مشاهدات"),0,1)</f>
        <v/>
      </c>
      <c r="W701" s="24">
        <f>IF(AND($B701&lt;&gt;"",$I701="تم تحرير مخالفة"),1,0)</f>
        <v/>
      </c>
      <c r="X701" s="24">
        <f>IF($B701="","",IF($S701=WkStart,COUNTIF($S$5:$S701,WkStart),""))</f>
        <v/>
      </c>
    </row>
    <row r="702">
      <c r="A702" s="16">
        <f>IF($B702="","",ROW()-4)</f>
        <v/>
      </c>
      <c r="B702" s="17" t="n"/>
      <c r="C702" s="18" t="n"/>
      <c r="D702" s="18" t="n"/>
      <c r="E702" s="19" t="n"/>
      <c r="F702" s="19" t="n"/>
      <c r="G702" s="18" t="n"/>
      <c r="H702" s="18" t="n"/>
      <c r="I702" s="18" t="n"/>
      <c r="J702" s="20" t="n"/>
      <c r="K702" s="21" t="n"/>
      <c r="L702" s="21" t="n"/>
      <c r="M702" s="18" t="n"/>
      <c r="N702" s="22">
        <f>IF($B702="","",CHOOSE(WEEKDAY($B702),"الأحد","الاثنين","الثلاثاء","الأربعاء","الخميس","الجمعة","السبت"))</f>
        <v/>
      </c>
      <c r="O702" s="23">
        <f>IF(OR($K702="",$L702=""),"",HYPERLINK("https://maps.google.com/?q="&amp;$K702&amp;","&amp;$L702,"عرض الموقع"))</f>
        <v/>
      </c>
      <c r="P702" s="23">
        <f>IF(OR($B702="",N($J702)=0),"",HYPERLINK(PhotoDir&amp;"/"&amp;YEAR($B702)&amp;"-"&amp;TEXT(MONTH($B702),"00")&amp;"-"&amp;TEXT(DAY($B702),"00")&amp;"_"&amp;$D702,"فتح الصور ("&amp;$J702&amp;")"))</f>
        <v/>
      </c>
      <c r="Q702" s="24">
        <f>IF($B702="","",MONTH($B702))</f>
        <v/>
      </c>
      <c r="R702" s="24">
        <f>IF($B702="","",YEAR($B702))</f>
        <v/>
      </c>
      <c r="S702" s="25">
        <f>IF($B702="","",$B702-WEEKDAY($B702,3))</f>
        <v/>
      </c>
      <c r="T702" s="24">
        <f>IF($B702="",0,IF(COUNTIFS($B$5:$B702,$B702,$D$5:$D702,$D702)=1,1,0))</f>
        <v/>
      </c>
      <c r="U702" s="24">
        <f>IF($B702="",0,IF(COUNTIFS($B$5:$B702,$B702,$C$5:$C702,$C702)=1,1,0))</f>
        <v/>
      </c>
      <c r="V702" s="24">
        <f>IF(OR($B702="",$G702="",$G702="لا توجد مشاهدات"),0,1)</f>
        <v/>
      </c>
      <c r="W702" s="24">
        <f>IF(AND($B702&lt;&gt;"",$I702="تم تحرير مخالفة"),1,0)</f>
        <v/>
      </c>
      <c r="X702" s="24">
        <f>IF($B702="","",IF($S702=WkStart,COUNTIF($S$5:$S702,WkStart),""))</f>
        <v/>
      </c>
    </row>
    <row r="703">
      <c r="A703" s="16">
        <f>IF($B703="","",ROW()-4)</f>
        <v/>
      </c>
      <c r="B703" s="17" t="n"/>
      <c r="C703" s="18" t="n"/>
      <c r="D703" s="18" t="n"/>
      <c r="E703" s="19" t="n"/>
      <c r="F703" s="19" t="n"/>
      <c r="G703" s="18" t="n"/>
      <c r="H703" s="18" t="n"/>
      <c r="I703" s="18" t="n"/>
      <c r="J703" s="20" t="n"/>
      <c r="K703" s="21" t="n"/>
      <c r="L703" s="21" t="n"/>
      <c r="M703" s="18" t="n"/>
      <c r="N703" s="22">
        <f>IF($B703="","",CHOOSE(WEEKDAY($B703),"الأحد","الاثنين","الثلاثاء","الأربعاء","الخميس","الجمعة","السبت"))</f>
        <v/>
      </c>
      <c r="O703" s="23">
        <f>IF(OR($K703="",$L703=""),"",HYPERLINK("https://maps.google.com/?q="&amp;$K703&amp;","&amp;$L703,"عرض الموقع"))</f>
        <v/>
      </c>
      <c r="P703" s="23">
        <f>IF(OR($B703="",N($J703)=0),"",HYPERLINK(PhotoDir&amp;"/"&amp;YEAR($B703)&amp;"-"&amp;TEXT(MONTH($B703),"00")&amp;"-"&amp;TEXT(DAY($B703),"00")&amp;"_"&amp;$D703,"فتح الصور ("&amp;$J703&amp;")"))</f>
        <v/>
      </c>
      <c r="Q703" s="24">
        <f>IF($B703="","",MONTH($B703))</f>
        <v/>
      </c>
      <c r="R703" s="24">
        <f>IF($B703="","",YEAR($B703))</f>
        <v/>
      </c>
      <c r="S703" s="25">
        <f>IF($B703="","",$B703-WEEKDAY($B703,3))</f>
        <v/>
      </c>
      <c r="T703" s="24">
        <f>IF($B703="",0,IF(COUNTIFS($B$5:$B703,$B703,$D$5:$D703,$D703)=1,1,0))</f>
        <v/>
      </c>
      <c r="U703" s="24">
        <f>IF($B703="",0,IF(COUNTIFS($B$5:$B703,$B703,$C$5:$C703,$C703)=1,1,0))</f>
        <v/>
      </c>
      <c r="V703" s="24">
        <f>IF(OR($B703="",$G703="",$G703="لا توجد مشاهدات"),0,1)</f>
        <v/>
      </c>
      <c r="W703" s="24">
        <f>IF(AND($B703&lt;&gt;"",$I703="تم تحرير مخالفة"),1,0)</f>
        <v/>
      </c>
      <c r="X703" s="24">
        <f>IF($B703="","",IF($S703=WkStart,COUNTIF($S$5:$S703,WkStart),""))</f>
        <v/>
      </c>
    </row>
    <row r="704">
      <c r="A704" s="16">
        <f>IF($B704="","",ROW()-4)</f>
        <v/>
      </c>
      <c r="B704" s="17" t="n"/>
      <c r="C704" s="18" t="n"/>
      <c r="D704" s="18" t="n"/>
      <c r="E704" s="19" t="n"/>
      <c r="F704" s="19" t="n"/>
      <c r="G704" s="18" t="n"/>
      <c r="H704" s="18" t="n"/>
      <c r="I704" s="18" t="n"/>
      <c r="J704" s="20" t="n"/>
      <c r="K704" s="21" t="n"/>
      <c r="L704" s="21" t="n"/>
      <c r="M704" s="18" t="n"/>
      <c r="N704" s="22">
        <f>IF($B704="","",CHOOSE(WEEKDAY($B704),"الأحد","الاثنين","الثلاثاء","الأربعاء","الخميس","الجمعة","السبت"))</f>
        <v/>
      </c>
      <c r="O704" s="23">
        <f>IF(OR($K704="",$L704=""),"",HYPERLINK("https://maps.google.com/?q="&amp;$K704&amp;","&amp;$L704,"عرض الموقع"))</f>
        <v/>
      </c>
      <c r="P704" s="23">
        <f>IF(OR($B704="",N($J704)=0),"",HYPERLINK(PhotoDir&amp;"/"&amp;YEAR($B704)&amp;"-"&amp;TEXT(MONTH($B704),"00")&amp;"-"&amp;TEXT(DAY($B704),"00")&amp;"_"&amp;$D704,"فتح الصور ("&amp;$J704&amp;")"))</f>
        <v/>
      </c>
      <c r="Q704" s="24">
        <f>IF($B704="","",MONTH($B704))</f>
        <v/>
      </c>
      <c r="R704" s="24">
        <f>IF($B704="","",YEAR($B704))</f>
        <v/>
      </c>
      <c r="S704" s="25">
        <f>IF($B704="","",$B704-WEEKDAY($B704,3))</f>
        <v/>
      </c>
      <c r="T704" s="24">
        <f>IF($B704="",0,IF(COUNTIFS($B$5:$B704,$B704,$D$5:$D704,$D704)=1,1,0))</f>
        <v/>
      </c>
      <c r="U704" s="24">
        <f>IF($B704="",0,IF(COUNTIFS($B$5:$B704,$B704,$C$5:$C704,$C704)=1,1,0))</f>
        <v/>
      </c>
      <c r="V704" s="24">
        <f>IF(OR($B704="",$G704="",$G704="لا توجد مشاهدات"),0,1)</f>
        <v/>
      </c>
      <c r="W704" s="24">
        <f>IF(AND($B704&lt;&gt;"",$I704="تم تحرير مخالفة"),1,0)</f>
        <v/>
      </c>
      <c r="X704" s="24">
        <f>IF($B704="","",IF($S704=WkStart,COUNTIF($S$5:$S704,WkStart),""))</f>
        <v/>
      </c>
    </row>
    <row r="705">
      <c r="A705" s="16">
        <f>IF($B705="","",ROW()-4)</f>
        <v/>
      </c>
      <c r="B705" s="17" t="n"/>
      <c r="C705" s="18" t="n"/>
      <c r="D705" s="18" t="n"/>
      <c r="E705" s="19" t="n"/>
      <c r="F705" s="19" t="n"/>
      <c r="G705" s="18" t="n"/>
      <c r="H705" s="18" t="n"/>
      <c r="I705" s="18" t="n"/>
      <c r="J705" s="20" t="n"/>
      <c r="K705" s="21" t="n"/>
      <c r="L705" s="21" t="n"/>
      <c r="M705" s="18" t="n"/>
      <c r="N705" s="22">
        <f>IF($B705="","",CHOOSE(WEEKDAY($B705),"الأحد","الاثنين","الثلاثاء","الأربعاء","الخميس","الجمعة","السبت"))</f>
        <v/>
      </c>
      <c r="O705" s="23">
        <f>IF(OR($K705="",$L705=""),"",HYPERLINK("https://maps.google.com/?q="&amp;$K705&amp;","&amp;$L705,"عرض الموقع"))</f>
        <v/>
      </c>
      <c r="P705" s="23">
        <f>IF(OR($B705="",N($J705)=0),"",HYPERLINK(PhotoDir&amp;"/"&amp;YEAR($B705)&amp;"-"&amp;TEXT(MONTH($B705),"00")&amp;"-"&amp;TEXT(DAY($B705),"00")&amp;"_"&amp;$D705,"فتح الصور ("&amp;$J705&amp;")"))</f>
        <v/>
      </c>
      <c r="Q705" s="24">
        <f>IF($B705="","",MONTH($B705))</f>
        <v/>
      </c>
      <c r="R705" s="24">
        <f>IF($B705="","",YEAR($B705))</f>
        <v/>
      </c>
      <c r="S705" s="25">
        <f>IF($B705="","",$B705-WEEKDAY($B705,3))</f>
        <v/>
      </c>
      <c r="T705" s="24">
        <f>IF($B705="",0,IF(COUNTIFS($B$5:$B705,$B705,$D$5:$D705,$D705)=1,1,0))</f>
        <v/>
      </c>
      <c r="U705" s="24">
        <f>IF($B705="",0,IF(COUNTIFS($B$5:$B705,$B705,$C$5:$C705,$C705)=1,1,0))</f>
        <v/>
      </c>
      <c r="V705" s="24">
        <f>IF(OR($B705="",$G705="",$G705="لا توجد مشاهدات"),0,1)</f>
        <v/>
      </c>
      <c r="W705" s="24">
        <f>IF(AND($B705&lt;&gt;"",$I705="تم تحرير مخالفة"),1,0)</f>
        <v/>
      </c>
      <c r="X705" s="24">
        <f>IF($B705="","",IF($S705=WkStart,COUNTIF($S$5:$S705,WkStart),""))</f>
        <v/>
      </c>
    </row>
    <row r="706">
      <c r="A706" s="16">
        <f>IF($B706="","",ROW()-4)</f>
        <v/>
      </c>
      <c r="B706" s="17" t="n"/>
      <c r="C706" s="18" t="n"/>
      <c r="D706" s="18" t="n"/>
      <c r="E706" s="19" t="n"/>
      <c r="F706" s="19" t="n"/>
      <c r="G706" s="18" t="n"/>
      <c r="H706" s="18" t="n"/>
      <c r="I706" s="18" t="n"/>
      <c r="J706" s="20" t="n"/>
      <c r="K706" s="21" t="n"/>
      <c r="L706" s="21" t="n"/>
      <c r="M706" s="18" t="n"/>
      <c r="N706" s="22">
        <f>IF($B706="","",CHOOSE(WEEKDAY($B706),"الأحد","الاثنين","الثلاثاء","الأربعاء","الخميس","الجمعة","السبت"))</f>
        <v/>
      </c>
      <c r="O706" s="23">
        <f>IF(OR($K706="",$L706=""),"",HYPERLINK("https://maps.google.com/?q="&amp;$K706&amp;","&amp;$L706,"عرض الموقع"))</f>
        <v/>
      </c>
      <c r="P706" s="23">
        <f>IF(OR($B706="",N($J706)=0),"",HYPERLINK(PhotoDir&amp;"/"&amp;YEAR($B706)&amp;"-"&amp;TEXT(MONTH($B706),"00")&amp;"-"&amp;TEXT(DAY($B706),"00")&amp;"_"&amp;$D706,"فتح الصور ("&amp;$J706&amp;")"))</f>
        <v/>
      </c>
      <c r="Q706" s="24">
        <f>IF($B706="","",MONTH($B706))</f>
        <v/>
      </c>
      <c r="R706" s="24">
        <f>IF($B706="","",YEAR($B706))</f>
        <v/>
      </c>
      <c r="S706" s="25">
        <f>IF($B706="","",$B706-WEEKDAY($B706,3))</f>
        <v/>
      </c>
      <c r="T706" s="24">
        <f>IF($B706="",0,IF(COUNTIFS($B$5:$B706,$B706,$D$5:$D706,$D706)=1,1,0))</f>
        <v/>
      </c>
      <c r="U706" s="24">
        <f>IF($B706="",0,IF(COUNTIFS($B$5:$B706,$B706,$C$5:$C706,$C706)=1,1,0))</f>
        <v/>
      </c>
      <c r="V706" s="24">
        <f>IF(OR($B706="",$G706="",$G706="لا توجد مشاهدات"),0,1)</f>
        <v/>
      </c>
      <c r="W706" s="24">
        <f>IF(AND($B706&lt;&gt;"",$I706="تم تحرير مخالفة"),1,0)</f>
        <v/>
      </c>
      <c r="X706" s="24">
        <f>IF($B706="","",IF($S706=WkStart,COUNTIF($S$5:$S706,WkStart),""))</f>
        <v/>
      </c>
    </row>
    <row r="707">
      <c r="A707" s="16">
        <f>IF($B707="","",ROW()-4)</f>
        <v/>
      </c>
      <c r="B707" s="17" t="n"/>
      <c r="C707" s="18" t="n"/>
      <c r="D707" s="18" t="n"/>
      <c r="E707" s="19" t="n"/>
      <c r="F707" s="19" t="n"/>
      <c r="G707" s="18" t="n"/>
      <c r="H707" s="18" t="n"/>
      <c r="I707" s="18" t="n"/>
      <c r="J707" s="20" t="n"/>
      <c r="K707" s="21" t="n"/>
      <c r="L707" s="21" t="n"/>
      <c r="M707" s="18" t="n"/>
      <c r="N707" s="22">
        <f>IF($B707="","",CHOOSE(WEEKDAY($B707),"الأحد","الاثنين","الثلاثاء","الأربعاء","الخميس","الجمعة","السبت"))</f>
        <v/>
      </c>
      <c r="O707" s="23">
        <f>IF(OR($K707="",$L707=""),"",HYPERLINK("https://maps.google.com/?q="&amp;$K707&amp;","&amp;$L707,"عرض الموقع"))</f>
        <v/>
      </c>
      <c r="P707" s="23">
        <f>IF(OR($B707="",N($J707)=0),"",HYPERLINK(PhotoDir&amp;"/"&amp;YEAR($B707)&amp;"-"&amp;TEXT(MONTH($B707),"00")&amp;"-"&amp;TEXT(DAY($B707),"00")&amp;"_"&amp;$D707,"فتح الصور ("&amp;$J707&amp;")"))</f>
        <v/>
      </c>
      <c r="Q707" s="24">
        <f>IF($B707="","",MONTH($B707))</f>
        <v/>
      </c>
      <c r="R707" s="24">
        <f>IF($B707="","",YEAR($B707))</f>
        <v/>
      </c>
      <c r="S707" s="25">
        <f>IF($B707="","",$B707-WEEKDAY($B707,3))</f>
        <v/>
      </c>
      <c r="T707" s="24">
        <f>IF($B707="",0,IF(COUNTIFS($B$5:$B707,$B707,$D$5:$D707,$D707)=1,1,0))</f>
        <v/>
      </c>
      <c r="U707" s="24">
        <f>IF($B707="",0,IF(COUNTIFS($B$5:$B707,$B707,$C$5:$C707,$C707)=1,1,0))</f>
        <v/>
      </c>
      <c r="V707" s="24">
        <f>IF(OR($B707="",$G707="",$G707="لا توجد مشاهدات"),0,1)</f>
        <v/>
      </c>
      <c r="W707" s="24">
        <f>IF(AND($B707&lt;&gt;"",$I707="تم تحرير مخالفة"),1,0)</f>
        <v/>
      </c>
      <c r="X707" s="24">
        <f>IF($B707="","",IF($S707=WkStart,COUNTIF($S$5:$S707,WkStart),""))</f>
        <v/>
      </c>
    </row>
    <row r="708">
      <c r="A708" s="16">
        <f>IF($B708="","",ROW()-4)</f>
        <v/>
      </c>
      <c r="B708" s="17" t="n"/>
      <c r="C708" s="18" t="n"/>
      <c r="D708" s="18" t="n"/>
      <c r="E708" s="19" t="n"/>
      <c r="F708" s="19" t="n"/>
      <c r="G708" s="18" t="n"/>
      <c r="H708" s="18" t="n"/>
      <c r="I708" s="18" t="n"/>
      <c r="J708" s="20" t="n"/>
      <c r="K708" s="21" t="n"/>
      <c r="L708" s="21" t="n"/>
      <c r="M708" s="18" t="n"/>
      <c r="N708" s="22">
        <f>IF($B708="","",CHOOSE(WEEKDAY($B708),"الأحد","الاثنين","الثلاثاء","الأربعاء","الخميس","الجمعة","السبت"))</f>
        <v/>
      </c>
      <c r="O708" s="23">
        <f>IF(OR($K708="",$L708=""),"",HYPERLINK("https://maps.google.com/?q="&amp;$K708&amp;","&amp;$L708,"عرض الموقع"))</f>
        <v/>
      </c>
      <c r="P708" s="23">
        <f>IF(OR($B708="",N($J708)=0),"",HYPERLINK(PhotoDir&amp;"/"&amp;YEAR($B708)&amp;"-"&amp;TEXT(MONTH($B708),"00")&amp;"-"&amp;TEXT(DAY($B708),"00")&amp;"_"&amp;$D708,"فتح الصور ("&amp;$J708&amp;")"))</f>
        <v/>
      </c>
      <c r="Q708" s="24">
        <f>IF($B708="","",MONTH($B708))</f>
        <v/>
      </c>
      <c r="R708" s="24">
        <f>IF($B708="","",YEAR($B708))</f>
        <v/>
      </c>
      <c r="S708" s="25">
        <f>IF($B708="","",$B708-WEEKDAY($B708,3))</f>
        <v/>
      </c>
      <c r="T708" s="24">
        <f>IF($B708="",0,IF(COUNTIFS($B$5:$B708,$B708,$D$5:$D708,$D708)=1,1,0))</f>
        <v/>
      </c>
      <c r="U708" s="24">
        <f>IF($B708="",0,IF(COUNTIFS($B$5:$B708,$B708,$C$5:$C708,$C708)=1,1,0))</f>
        <v/>
      </c>
      <c r="V708" s="24">
        <f>IF(OR($B708="",$G708="",$G708="لا توجد مشاهدات"),0,1)</f>
        <v/>
      </c>
      <c r="W708" s="24">
        <f>IF(AND($B708&lt;&gt;"",$I708="تم تحرير مخالفة"),1,0)</f>
        <v/>
      </c>
      <c r="X708" s="24">
        <f>IF($B708="","",IF($S708=WkStart,COUNTIF($S$5:$S708,WkStart),""))</f>
        <v/>
      </c>
    </row>
    <row r="709">
      <c r="A709" s="16">
        <f>IF($B709="","",ROW()-4)</f>
        <v/>
      </c>
      <c r="B709" s="17" t="n"/>
      <c r="C709" s="18" t="n"/>
      <c r="D709" s="18" t="n"/>
      <c r="E709" s="19" t="n"/>
      <c r="F709" s="19" t="n"/>
      <c r="G709" s="18" t="n"/>
      <c r="H709" s="18" t="n"/>
      <c r="I709" s="18" t="n"/>
      <c r="J709" s="20" t="n"/>
      <c r="K709" s="21" t="n"/>
      <c r="L709" s="21" t="n"/>
      <c r="M709" s="18" t="n"/>
      <c r="N709" s="22">
        <f>IF($B709="","",CHOOSE(WEEKDAY($B709),"الأحد","الاثنين","الثلاثاء","الأربعاء","الخميس","الجمعة","السبت"))</f>
        <v/>
      </c>
      <c r="O709" s="23">
        <f>IF(OR($K709="",$L709=""),"",HYPERLINK("https://maps.google.com/?q="&amp;$K709&amp;","&amp;$L709,"عرض الموقع"))</f>
        <v/>
      </c>
      <c r="P709" s="23">
        <f>IF(OR($B709="",N($J709)=0),"",HYPERLINK(PhotoDir&amp;"/"&amp;YEAR($B709)&amp;"-"&amp;TEXT(MONTH($B709),"00")&amp;"-"&amp;TEXT(DAY($B709),"00")&amp;"_"&amp;$D709,"فتح الصور ("&amp;$J709&amp;")"))</f>
        <v/>
      </c>
      <c r="Q709" s="24">
        <f>IF($B709="","",MONTH($B709))</f>
        <v/>
      </c>
      <c r="R709" s="24">
        <f>IF($B709="","",YEAR($B709))</f>
        <v/>
      </c>
      <c r="S709" s="25">
        <f>IF($B709="","",$B709-WEEKDAY($B709,3))</f>
        <v/>
      </c>
      <c r="T709" s="24">
        <f>IF($B709="",0,IF(COUNTIFS($B$5:$B709,$B709,$D$5:$D709,$D709)=1,1,0))</f>
        <v/>
      </c>
      <c r="U709" s="24">
        <f>IF($B709="",0,IF(COUNTIFS($B$5:$B709,$B709,$C$5:$C709,$C709)=1,1,0))</f>
        <v/>
      </c>
      <c r="V709" s="24">
        <f>IF(OR($B709="",$G709="",$G709="لا توجد مشاهدات"),0,1)</f>
        <v/>
      </c>
      <c r="W709" s="24">
        <f>IF(AND($B709&lt;&gt;"",$I709="تم تحرير مخالفة"),1,0)</f>
        <v/>
      </c>
      <c r="X709" s="24">
        <f>IF($B709="","",IF($S709=WkStart,COUNTIF($S$5:$S709,WkStart),""))</f>
        <v/>
      </c>
    </row>
    <row r="710">
      <c r="A710" s="16">
        <f>IF($B710="","",ROW()-4)</f>
        <v/>
      </c>
      <c r="B710" s="17" t="n"/>
      <c r="C710" s="18" t="n"/>
      <c r="D710" s="18" t="n"/>
      <c r="E710" s="19" t="n"/>
      <c r="F710" s="19" t="n"/>
      <c r="G710" s="18" t="n"/>
      <c r="H710" s="18" t="n"/>
      <c r="I710" s="18" t="n"/>
      <c r="J710" s="20" t="n"/>
      <c r="K710" s="21" t="n"/>
      <c r="L710" s="21" t="n"/>
      <c r="M710" s="18" t="n"/>
      <c r="N710" s="22">
        <f>IF($B710="","",CHOOSE(WEEKDAY($B710),"الأحد","الاثنين","الثلاثاء","الأربعاء","الخميس","الجمعة","السبت"))</f>
        <v/>
      </c>
      <c r="O710" s="23">
        <f>IF(OR($K710="",$L710=""),"",HYPERLINK("https://maps.google.com/?q="&amp;$K710&amp;","&amp;$L710,"عرض الموقع"))</f>
        <v/>
      </c>
      <c r="P710" s="23">
        <f>IF(OR($B710="",N($J710)=0),"",HYPERLINK(PhotoDir&amp;"/"&amp;YEAR($B710)&amp;"-"&amp;TEXT(MONTH($B710),"00")&amp;"-"&amp;TEXT(DAY($B710),"00")&amp;"_"&amp;$D710,"فتح الصور ("&amp;$J710&amp;")"))</f>
        <v/>
      </c>
      <c r="Q710" s="24">
        <f>IF($B710="","",MONTH($B710))</f>
        <v/>
      </c>
      <c r="R710" s="24">
        <f>IF($B710="","",YEAR($B710))</f>
        <v/>
      </c>
      <c r="S710" s="25">
        <f>IF($B710="","",$B710-WEEKDAY($B710,3))</f>
        <v/>
      </c>
      <c r="T710" s="24">
        <f>IF($B710="",0,IF(COUNTIFS($B$5:$B710,$B710,$D$5:$D710,$D710)=1,1,0))</f>
        <v/>
      </c>
      <c r="U710" s="24">
        <f>IF($B710="",0,IF(COUNTIFS($B$5:$B710,$B710,$C$5:$C710,$C710)=1,1,0))</f>
        <v/>
      </c>
      <c r="V710" s="24">
        <f>IF(OR($B710="",$G710="",$G710="لا توجد مشاهدات"),0,1)</f>
        <v/>
      </c>
      <c r="W710" s="24">
        <f>IF(AND($B710&lt;&gt;"",$I710="تم تحرير مخالفة"),1,0)</f>
        <v/>
      </c>
      <c r="X710" s="24">
        <f>IF($B710="","",IF($S710=WkStart,COUNTIF($S$5:$S710,WkStart),""))</f>
        <v/>
      </c>
    </row>
    <row r="711">
      <c r="A711" s="16">
        <f>IF($B711="","",ROW()-4)</f>
        <v/>
      </c>
      <c r="B711" s="17" t="n"/>
      <c r="C711" s="18" t="n"/>
      <c r="D711" s="18" t="n"/>
      <c r="E711" s="19" t="n"/>
      <c r="F711" s="19" t="n"/>
      <c r="G711" s="18" t="n"/>
      <c r="H711" s="18" t="n"/>
      <c r="I711" s="18" t="n"/>
      <c r="J711" s="20" t="n"/>
      <c r="K711" s="21" t="n"/>
      <c r="L711" s="21" t="n"/>
      <c r="M711" s="18" t="n"/>
      <c r="N711" s="22">
        <f>IF($B711="","",CHOOSE(WEEKDAY($B711),"الأحد","الاثنين","الثلاثاء","الأربعاء","الخميس","الجمعة","السبت"))</f>
        <v/>
      </c>
      <c r="O711" s="23">
        <f>IF(OR($K711="",$L711=""),"",HYPERLINK("https://maps.google.com/?q="&amp;$K711&amp;","&amp;$L711,"عرض الموقع"))</f>
        <v/>
      </c>
      <c r="P711" s="23">
        <f>IF(OR($B711="",N($J711)=0),"",HYPERLINK(PhotoDir&amp;"/"&amp;YEAR($B711)&amp;"-"&amp;TEXT(MONTH($B711),"00")&amp;"-"&amp;TEXT(DAY($B711),"00")&amp;"_"&amp;$D711,"فتح الصور ("&amp;$J711&amp;")"))</f>
        <v/>
      </c>
      <c r="Q711" s="24">
        <f>IF($B711="","",MONTH($B711))</f>
        <v/>
      </c>
      <c r="R711" s="24">
        <f>IF($B711="","",YEAR($B711))</f>
        <v/>
      </c>
      <c r="S711" s="25">
        <f>IF($B711="","",$B711-WEEKDAY($B711,3))</f>
        <v/>
      </c>
      <c r="T711" s="24">
        <f>IF($B711="",0,IF(COUNTIFS($B$5:$B711,$B711,$D$5:$D711,$D711)=1,1,0))</f>
        <v/>
      </c>
      <c r="U711" s="24">
        <f>IF($B711="",0,IF(COUNTIFS($B$5:$B711,$B711,$C$5:$C711,$C711)=1,1,0))</f>
        <v/>
      </c>
      <c r="V711" s="24">
        <f>IF(OR($B711="",$G711="",$G711="لا توجد مشاهدات"),0,1)</f>
        <v/>
      </c>
      <c r="W711" s="24">
        <f>IF(AND($B711&lt;&gt;"",$I711="تم تحرير مخالفة"),1,0)</f>
        <v/>
      </c>
      <c r="X711" s="24">
        <f>IF($B711="","",IF($S711=WkStart,COUNTIF($S$5:$S711,WkStart),""))</f>
        <v/>
      </c>
    </row>
    <row r="712">
      <c r="A712" s="16">
        <f>IF($B712="","",ROW()-4)</f>
        <v/>
      </c>
      <c r="B712" s="17" t="n"/>
      <c r="C712" s="18" t="n"/>
      <c r="D712" s="18" t="n"/>
      <c r="E712" s="19" t="n"/>
      <c r="F712" s="19" t="n"/>
      <c r="G712" s="18" t="n"/>
      <c r="H712" s="18" t="n"/>
      <c r="I712" s="18" t="n"/>
      <c r="J712" s="20" t="n"/>
      <c r="K712" s="21" t="n"/>
      <c r="L712" s="21" t="n"/>
      <c r="M712" s="18" t="n"/>
      <c r="N712" s="22">
        <f>IF($B712="","",CHOOSE(WEEKDAY($B712),"الأحد","الاثنين","الثلاثاء","الأربعاء","الخميس","الجمعة","السبت"))</f>
        <v/>
      </c>
      <c r="O712" s="23">
        <f>IF(OR($K712="",$L712=""),"",HYPERLINK("https://maps.google.com/?q="&amp;$K712&amp;","&amp;$L712,"عرض الموقع"))</f>
        <v/>
      </c>
      <c r="P712" s="23">
        <f>IF(OR($B712="",N($J712)=0),"",HYPERLINK(PhotoDir&amp;"/"&amp;YEAR($B712)&amp;"-"&amp;TEXT(MONTH($B712),"00")&amp;"-"&amp;TEXT(DAY($B712),"00")&amp;"_"&amp;$D712,"فتح الصور ("&amp;$J712&amp;")"))</f>
        <v/>
      </c>
      <c r="Q712" s="24">
        <f>IF($B712="","",MONTH($B712))</f>
        <v/>
      </c>
      <c r="R712" s="24">
        <f>IF($B712="","",YEAR($B712))</f>
        <v/>
      </c>
      <c r="S712" s="25">
        <f>IF($B712="","",$B712-WEEKDAY($B712,3))</f>
        <v/>
      </c>
      <c r="T712" s="24">
        <f>IF($B712="",0,IF(COUNTIFS($B$5:$B712,$B712,$D$5:$D712,$D712)=1,1,0))</f>
        <v/>
      </c>
      <c r="U712" s="24">
        <f>IF($B712="",0,IF(COUNTIFS($B$5:$B712,$B712,$C$5:$C712,$C712)=1,1,0))</f>
        <v/>
      </c>
      <c r="V712" s="24">
        <f>IF(OR($B712="",$G712="",$G712="لا توجد مشاهدات"),0,1)</f>
        <v/>
      </c>
      <c r="W712" s="24">
        <f>IF(AND($B712&lt;&gt;"",$I712="تم تحرير مخالفة"),1,0)</f>
        <v/>
      </c>
      <c r="X712" s="24">
        <f>IF($B712="","",IF($S712=WkStart,COUNTIF($S$5:$S712,WkStart),""))</f>
        <v/>
      </c>
    </row>
    <row r="713">
      <c r="A713" s="16">
        <f>IF($B713="","",ROW()-4)</f>
        <v/>
      </c>
      <c r="B713" s="17" t="n"/>
      <c r="C713" s="18" t="n"/>
      <c r="D713" s="18" t="n"/>
      <c r="E713" s="19" t="n"/>
      <c r="F713" s="19" t="n"/>
      <c r="G713" s="18" t="n"/>
      <c r="H713" s="18" t="n"/>
      <c r="I713" s="18" t="n"/>
      <c r="J713" s="20" t="n"/>
      <c r="K713" s="21" t="n"/>
      <c r="L713" s="21" t="n"/>
      <c r="M713" s="18" t="n"/>
      <c r="N713" s="22">
        <f>IF($B713="","",CHOOSE(WEEKDAY($B713),"الأحد","الاثنين","الثلاثاء","الأربعاء","الخميس","الجمعة","السبت"))</f>
        <v/>
      </c>
      <c r="O713" s="23">
        <f>IF(OR($K713="",$L713=""),"",HYPERLINK("https://maps.google.com/?q="&amp;$K713&amp;","&amp;$L713,"عرض الموقع"))</f>
        <v/>
      </c>
      <c r="P713" s="23">
        <f>IF(OR($B713="",N($J713)=0),"",HYPERLINK(PhotoDir&amp;"/"&amp;YEAR($B713)&amp;"-"&amp;TEXT(MONTH($B713),"00")&amp;"-"&amp;TEXT(DAY($B713),"00")&amp;"_"&amp;$D713,"فتح الصور ("&amp;$J713&amp;")"))</f>
        <v/>
      </c>
      <c r="Q713" s="24">
        <f>IF($B713="","",MONTH($B713))</f>
        <v/>
      </c>
      <c r="R713" s="24">
        <f>IF($B713="","",YEAR($B713))</f>
        <v/>
      </c>
      <c r="S713" s="25">
        <f>IF($B713="","",$B713-WEEKDAY($B713,3))</f>
        <v/>
      </c>
      <c r="T713" s="24">
        <f>IF($B713="",0,IF(COUNTIFS($B$5:$B713,$B713,$D$5:$D713,$D713)=1,1,0))</f>
        <v/>
      </c>
      <c r="U713" s="24">
        <f>IF($B713="",0,IF(COUNTIFS($B$5:$B713,$B713,$C$5:$C713,$C713)=1,1,0))</f>
        <v/>
      </c>
      <c r="V713" s="24">
        <f>IF(OR($B713="",$G713="",$G713="لا توجد مشاهدات"),0,1)</f>
        <v/>
      </c>
      <c r="W713" s="24">
        <f>IF(AND($B713&lt;&gt;"",$I713="تم تحرير مخالفة"),1,0)</f>
        <v/>
      </c>
      <c r="X713" s="24">
        <f>IF($B713="","",IF($S713=WkStart,COUNTIF($S$5:$S713,WkStart),""))</f>
        <v/>
      </c>
    </row>
    <row r="714">
      <c r="A714" s="16">
        <f>IF($B714="","",ROW()-4)</f>
        <v/>
      </c>
      <c r="B714" s="17" t="n"/>
      <c r="C714" s="18" t="n"/>
      <c r="D714" s="18" t="n"/>
      <c r="E714" s="19" t="n"/>
      <c r="F714" s="19" t="n"/>
      <c r="G714" s="18" t="n"/>
      <c r="H714" s="18" t="n"/>
      <c r="I714" s="18" t="n"/>
      <c r="J714" s="20" t="n"/>
      <c r="K714" s="21" t="n"/>
      <c r="L714" s="21" t="n"/>
      <c r="M714" s="18" t="n"/>
      <c r="N714" s="22">
        <f>IF($B714="","",CHOOSE(WEEKDAY($B714),"الأحد","الاثنين","الثلاثاء","الأربعاء","الخميس","الجمعة","السبت"))</f>
        <v/>
      </c>
      <c r="O714" s="23">
        <f>IF(OR($K714="",$L714=""),"",HYPERLINK("https://maps.google.com/?q="&amp;$K714&amp;","&amp;$L714,"عرض الموقع"))</f>
        <v/>
      </c>
      <c r="P714" s="23">
        <f>IF(OR($B714="",N($J714)=0),"",HYPERLINK(PhotoDir&amp;"/"&amp;YEAR($B714)&amp;"-"&amp;TEXT(MONTH($B714),"00")&amp;"-"&amp;TEXT(DAY($B714),"00")&amp;"_"&amp;$D714,"فتح الصور ("&amp;$J714&amp;")"))</f>
        <v/>
      </c>
      <c r="Q714" s="24">
        <f>IF($B714="","",MONTH($B714))</f>
        <v/>
      </c>
      <c r="R714" s="24">
        <f>IF($B714="","",YEAR($B714))</f>
        <v/>
      </c>
      <c r="S714" s="25">
        <f>IF($B714="","",$B714-WEEKDAY($B714,3))</f>
        <v/>
      </c>
      <c r="T714" s="24">
        <f>IF($B714="",0,IF(COUNTIFS($B$5:$B714,$B714,$D$5:$D714,$D714)=1,1,0))</f>
        <v/>
      </c>
      <c r="U714" s="24">
        <f>IF($B714="",0,IF(COUNTIFS($B$5:$B714,$B714,$C$5:$C714,$C714)=1,1,0))</f>
        <v/>
      </c>
      <c r="V714" s="24">
        <f>IF(OR($B714="",$G714="",$G714="لا توجد مشاهدات"),0,1)</f>
        <v/>
      </c>
      <c r="W714" s="24">
        <f>IF(AND($B714&lt;&gt;"",$I714="تم تحرير مخالفة"),1,0)</f>
        <v/>
      </c>
      <c r="X714" s="24">
        <f>IF($B714="","",IF($S714=WkStart,COUNTIF($S$5:$S714,WkStart),""))</f>
        <v/>
      </c>
    </row>
    <row r="715">
      <c r="A715" s="16">
        <f>IF($B715="","",ROW()-4)</f>
        <v/>
      </c>
      <c r="B715" s="17" t="n"/>
      <c r="C715" s="18" t="n"/>
      <c r="D715" s="18" t="n"/>
      <c r="E715" s="19" t="n"/>
      <c r="F715" s="19" t="n"/>
      <c r="G715" s="18" t="n"/>
      <c r="H715" s="18" t="n"/>
      <c r="I715" s="18" t="n"/>
      <c r="J715" s="20" t="n"/>
      <c r="K715" s="21" t="n"/>
      <c r="L715" s="21" t="n"/>
      <c r="M715" s="18" t="n"/>
      <c r="N715" s="22">
        <f>IF($B715="","",CHOOSE(WEEKDAY($B715),"الأحد","الاثنين","الثلاثاء","الأربعاء","الخميس","الجمعة","السبت"))</f>
        <v/>
      </c>
      <c r="O715" s="23">
        <f>IF(OR($K715="",$L715=""),"",HYPERLINK("https://maps.google.com/?q="&amp;$K715&amp;","&amp;$L715,"عرض الموقع"))</f>
        <v/>
      </c>
      <c r="P715" s="23">
        <f>IF(OR($B715="",N($J715)=0),"",HYPERLINK(PhotoDir&amp;"/"&amp;YEAR($B715)&amp;"-"&amp;TEXT(MONTH($B715),"00")&amp;"-"&amp;TEXT(DAY($B715),"00")&amp;"_"&amp;$D715,"فتح الصور ("&amp;$J715&amp;")"))</f>
        <v/>
      </c>
      <c r="Q715" s="24">
        <f>IF($B715="","",MONTH($B715))</f>
        <v/>
      </c>
      <c r="R715" s="24">
        <f>IF($B715="","",YEAR($B715))</f>
        <v/>
      </c>
      <c r="S715" s="25">
        <f>IF($B715="","",$B715-WEEKDAY($B715,3))</f>
        <v/>
      </c>
      <c r="T715" s="24">
        <f>IF($B715="",0,IF(COUNTIFS($B$5:$B715,$B715,$D$5:$D715,$D715)=1,1,0))</f>
        <v/>
      </c>
      <c r="U715" s="24">
        <f>IF($B715="",0,IF(COUNTIFS($B$5:$B715,$B715,$C$5:$C715,$C715)=1,1,0))</f>
        <v/>
      </c>
      <c r="V715" s="24">
        <f>IF(OR($B715="",$G715="",$G715="لا توجد مشاهدات"),0,1)</f>
        <v/>
      </c>
      <c r="W715" s="24">
        <f>IF(AND($B715&lt;&gt;"",$I715="تم تحرير مخالفة"),1,0)</f>
        <v/>
      </c>
      <c r="X715" s="24">
        <f>IF($B715="","",IF($S715=WkStart,COUNTIF($S$5:$S715,WkStart),""))</f>
        <v/>
      </c>
    </row>
    <row r="716">
      <c r="A716" s="16">
        <f>IF($B716="","",ROW()-4)</f>
        <v/>
      </c>
      <c r="B716" s="17" t="n"/>
      <c r="C716" s="18" t="n"/>
      <c r="D716" s="18" t="n"/>
      <c r="E716" s="19" t="n"/>
      <c r="F716" s="19" t="n"/>
      <c r="G716" s="18" t="n"/>
      <c r="H716" s="18" t="n"/>
      <c r="I716" s="18" t="n"/>
      <c r="J716" s="20" t="n"/>
      <c r="K716" s="21" t="n"/>
      <c r="L716" s="21" t="n"/>
      <c r="M716" s="18" t="n"/>
      <c r="N716" s="22">
        <f>IF($B716="","",CHOOSE(WEEKDAY($B716),"الأحد","الاثنين","الثلاثاء","الأربعاء","الخميس","الجمعة","السبت"))</f>
        <v/>
      </c>
      <c r="O716" s="23">
        <f>IF(OR($K716="",$L716=""),"",HYPERLINK("https://maps.google.com/?q="&amp;$K716&amp;","&amp;$L716,"عرض الموقع"))</f>
        <v/>
      </c>
      <c r="P716" s="23">
        <f>IF(OR($B716="",N($J716)=0),"",HYPERLINK(PhotoDir&amp;"/"&amp;YEAR($B716)&amp;"-"&amp;TEXT(MONTH($B716),"00")&amp;"-"&amp;TEXT(DAY($B716),"00")&amp;"_"&amp;$D716,"فتح الصور ("&amp;$J716&amp;")"))</f>
        <v/>
      </c>
      <c r="Q716" s="24">
        <f>IF($B716="","",MONTH($B716))</f>
        <v/>
      </c>
      <c r="R716" s="24">
        <f>IF($B716="","",YEAR($B716))</f>
        <v/>
      </c>
      <c r="S716" s="25">
        <f>IF($B716="","",$B716-WEEKDAY($B716,3))</f>
        <v/>
      </c>
      <c r="T716" s="24">
        <f>IF($B716="",0,IF(COUNTIFS($B$5:$B716,$B716,$D$5:$D716,$D716)=1,1,0))</f>
        <v/>
      </c>
      <c r="U716" s="24">
        <f>IF($B716="",0,IF(COUNTIFS($B$5:$B716,$B716,$C$5:$C716,$C716)=1,1,0))</f>
        <v/>
      </c>
      <c r="V716" s="24">
        <f>IF(OR($B716="",$G716="",$G716="لا توجد مشاهدات"),0,1)</f>
        <v/>
      </c>
      <c r="W716" s="24">
        <f>IF(AND($B716&lt;&gt;"",$I716="تم تحرير مخالفة"),1,0)</f>
        <v/>
      </c>
      <c r="X716" s="24">
        <f>IF($B716="","",IF($S716=WkStart,COUNTIF($S$5:$S716,WkStart),""))</f>
        <v/>
      </c>
    </row>
    <row r="717">
      <c r="A717" s="16">
        <f>IF($B717="","",ROW()-4)</f>
        <v/>
      </c>
      <c r="B717" s="17" t="n"/>
      <c r="C717" s="18" t="n"/>
      <c r="D717" s="18" t="n"/>
      <c r="E717" s="19" t="n"/>
      <c r="F717" s="19" t="n"/>
      <c r="G717" s="18" t="n"/>
      <c r="H717" s="18" t="n"/>
      <c r="I717" s="18" t="n"/>
      <c r="J717" s="20" t="n"/>
      <c r="K717" s="21" t="n"/>
      <c r="L717" s="21" t="n"/>
      <c r="M717" s="18" t="n"/>
      <c r="N717" s="22">
        <f>IF($B717="","",CHOOSE(WEEKDAY($B717),"الأحد","الاثنين","الثلاثاء","الأربعاء","الخميس","الجمعة","السبت"))</f>
        <v/>
      </c>
      <c r="O717" s="23">
        <f>IF(OR($K717="",$L717=""),"",HYPERLINK("https://maps.google.com/?q="&amp;$K717&amp;","&amp;$L717,"عرض الموقع"))</f>
        <v/>
      </c>
      <c r="P717" s="23">
        <f>IF(OR($B717="",N($J717)=0),"",HYPERLINK(PhotoDir&amp;"/"&amp;YEAR($B717)&amp;"-"&amp;TEXT(MONTH($B717),"00")&amp;"-"&amp;TEXT(DAY($B717),"00")&amp;"_"&amp;$D717,"فتح الصور ("&amp;$J717&amp;")"))</f>
        <v/>
      </c>
      <c r="Q717" s="24">
        <f>IF($B717="","",MONTH($B717))</f>
        <v/>
      </c>
      <c r="R717" s="24">
        <f>IF($B717="","",YEAR($B717))</f>
        <v/>
      </c>
      <c r="S717" s="25">
        <f>IF($B717="","",$B717-WEEKDAY($B717,3))</f>
        <v/>
      </c>
      <c r="T717" s="24">
        <f>IF($B717="",0,IF(COUNTIFS($B$5:$B717,$B717,$D$5:$D717,$D717)=1,1,0))</f>
        <v/>
      </c>
      <c r="U717" s="24">
        <f>IF($B717="",0,IF(COUNTIFS($B$5:$B717,$B717,$C$5:$C717,$C717)=1,1,0))</f>
        <v/>
      </c>
      <c r="V717" s="24">
        <f>IF(OR($B717="",$G717="",$G717="لا توجد مشاهدات"),0,1)</f>
        <v/>
      </c>
      <c r="W717" s="24">
        <f>IF(AND($B717&lt;&gt;"",$I717="تم تحرير مخالفة"),1,0)</f>
        <v/>
      </c>
      <c r="X717" s="24">
        <f>IF($B717="","",IF($S717=WkStart,COUNTIF($S$5:$S717,WkStart),""))</f>
        <v/>
      </c>
    </row>
    <row r="718">
      <c r="A718" s="16">
        <f>IF($B718="","",ROW()-4)</f>
        <v/>
      </c>
      <c r="B718" s="17" t="n"/>
      <c r="C718" s="18" t="n"/>
      <c r="D718" s="18" t="n"/>
      <c r="E718" s="19" t="n"/>
      <c r="F718" s="19" t="n"/>
      <c r="G718" s="18" t="n"/>
      <c r="H718" s="18" t="n"/>
      <c r="I718" s="18" t="n"/>
      <c r="J718" s="20" t="n"/>
      <c r="K718" s="21" t="n"/>
      <c r="L718" s="21" t="n"/>
      <c r="M718" s="18" t="n"/>
      <c r="N718" s="22">
        <f>IF($B718="","",CHOOSE(WEEKDAY($B718),"الأحد","الاثنين","الثلاثاء","الأربعاء","الخميس","الجمعة","السبت"))</f>
        <v/>
      </c>
      <c r="O718" s="23">
        <f>IF(OR($K718="",$L718=""),"",HYPERLINK("https://maps.google.com/?q="&amp;$K718&amp;","&amp;$L718,"عرض الموقع"))</f>
        <v/>
      </c>
      <c r="P718" s="23">
        <f>IF(OR($B718="",N($J718)=0),"",HYPERLINK(PhotoDir&amp;"/"&amp;YEAR($B718)&amp;"-"&amp;TEXT(MONTH($B718),"00")&amp;"-"&amp;TEXT(DAY($B718),"00")&amp;"_"&amp;$D718,"فتح الصور ("&amp;$J718&amp;")"))</f>
        <v/>
      </c>
      <c r="Q718" s="24">
        <f>IF($B718="","",MONTH($B718))</f>
        <v/>
      </c>
      <c r="R718" s="24">
        <f>IF($B718="","",YEAR($B718))</f>
        <v/>
      </c>
      <c r="S718" s="25">
        <f>IF($B718="","",$B718-WEEKDAY($B718,3))</f>
        <v/>
      </c>
      <c r="T718" s="24">
        <f>IF($B718="",0,IF(COUNTIFS($B$5:$B718,$B718,$D$5:$D718,$D718)=1,1,0))</f>
        <v/>
      </c>
      <c r="U718" s="24">
        <f>IF($B718="",0,IF(COUNTIFS($B$5:$B718,$B718,$C$5:$C718,$C718)=1,1,0))</f>
        <v/>
      </c>
      <c r="V718" s="24">
        <f>IF(OR($B718="",$G718="",$G718="لا توجد مشاهدات"),0,1)</f>
        <v/>
      </c>
      <c r="W718" s="24">
        <f>IF(AND($B718&lt;&gt;"",$I718="تم تحرير مخالفة"),1,0)</f>
        <v/>
      </c>
      <c r="X718" s="24">
        <f>IF($B718="","",IF($S718=WkStart,COUNTIF($S$5:$S718,WkStart),""))</f>
        <v/>
      </c>
    </row>
    <row r="719">
      <c r="A719" s="16">
        <f>IF($B719="","",ROW()-4)</f>
        <v/>
      </c>
      <c r="B719" s="17" t="n"/>
      <c r="C719" s="18" t="n"/>
      <c r="D719" s="18" t="n"/>
      <c r="E719" s="19" t="n"/>
      <c r="F719" s="19" t="n"/>
      <c r="G719" s="18" t="n"/>
      <c r="H719" s="18" t="n"/>
      <c r="I719" s="18" t="n"/>
      <c r="J719" s="20" t="n"/>
      <c r="K719" s="21" t="n"/>
      <c r="L719" s="21" t="n"/>
      <c r="M719" s="18" t="n"/>
      <c r="N719" s="22">
        <f>IF($B719="","",CHOOSE(WEEKDAY($B719),"الأحد","الاثنين","الثلاثاء","الأربعاء","الخميس","الجمعة","السبت"))</f>
        <v/>
      </c>
      <c r="O719" s="23">
        <f>IF(OR($K719="",$L719=""),"",HYPERLINK("https://maps.google.com/?q="&amp;$K719&amp;","&amp;$L719,"عرض الموقع"))</f>
        <v/>
      </c>
      <c r="P719" s="23">
        <f>IF(OR($B719="",N($J719)=0),"",HYPERLINK(PhotoDir&amp;"/"&amp;YEAR($B719)&amp;"-"&amp;TEXT(MONTH($B719),"00")&amp;"-"&amp;TEXT(DAY($B719),"00")&amp;"_"&amp;$D719,"فتح الصور ("&amp;$J719&amp;")"))</f>
        <v/>
      </c>
      <c r="Q719" s="24">
        <f>IF($B719="","",MONTH($B719))</f>
        <v/>
      </c>
      <c r="R719" s="24">
        <f>IF($B719="","",YEAR($B719))</f>
        <v/>
      </c>
      <c r="S719" s="25">
        <f>IF($B719="","",$B719-WEEKDAY($B719,3))</f>
        <v/>
      </c>
      <c r="T719" s="24">
        <f>IF($B719="",0,IF(COUNTIFS($B$5:$B719,$B719,$D$5:$D719,$D719)=1,1,0))</f>
        <v/>
      </c>
      <c r="U719" s="24">
        <f>IF($B719="",0,IF(COUNTIFS($B$5:$B719,$B719,$C$5:$C719,$C719)=1,1,0))</f>
        <v/>
      </c>
      <c r="V719" s="24">
        <f>IF(OR($B719="",$G719="",$G719="لا توجد مشاهدات"),0,1)</f>
        <v/>
      </c>
      <c r="W719" s="24">
        <f>IF(AND($B719&lt;&gt;"",$I719="تم تحرير مخالفة"),1,0)</f>
        <v/>
      </c>
      <c r="X719" s="24">
        <f>IF($B719="","",IF($S719=WkStart,COUNTIF($S$5:$S719,WkStart),""))</f>
        <v/>
      </c>
    </row>
    <row r="720">
      <c r="A720" s="16">
        <f>IF($B720="","",ROW()-4)</f>
        <v/>
      </c>
      <c r="B720" s="17" t="n"/>
      <c r="C720" s="18" t="n"/>
      <c r="D720" s="18" t="n"/>
      <c r="E720" s="19" t="n"/>
      <c r="F720" s="19" t="n"/>
      <c r="G720" s="18" t="n"/>
      <c r="H720" s="18" t="n"/>
      <c r="I720" s="18" t="n"/>
      <c r="J720" s="20" t="n"/>
      <c r="K720" s="21" t="n"/>
      <c r="L720" s="21" t="n"/>
      <c r="M720" s="18" t="n"/>
      <c r="N720" s="22">
        <f>IF($B720="","",CHOOSE(WEEKDAY($B720),"الأحد","الاثنين","الثلاثاء","الأربعاء","الخميس","الجمعة","السبت"))</f>
        <v/>
      </c>
      <c r="O720" s="23">
        <f>IF(OR($K720="",$L720=""),"",HYPERLINK("https://maps.google.com/?q="&amp;$K720&amp;","&amp;$L720,"عرض الموقع"))</f>
        <v/>
      </c>
      <c r="P720" s="23">
        <f>IF(OR($B720="",N($J720)=0),"",HYPERLINK(PhotoDir&amp;"/"&amp;YEAR($B720)&amp;"-"&amp;TEXT(MONTH($B720),"00")&amp;"-"&amp;TEXT(DAY($B720),"00")&amp;"_"&amp;$D720,"فتح الصور ("&amp;$J720&amp;")"))</f>
        <v/>
      </c>
      <c r="Q720" s="24">
        <f>IF($B720="","",MONTH($B720))</f>
        <v/>
      </c>
      <c r="R720" s="24">
        <f>IF($B720="","",YEAR($B720))</f>
        <v/>
      </c>
      <c r="S720" s="25">
        <f>IF($B720="","",$B720-WEEKDAY($B720,3))</f>
        <v/>
      </c>
      <c r="T720" s="24">
        <f>IF($B720="",0,IF(COUNTIFS($B$5:$B720,$B720,$D$5:$D720,$D720)=1,1,0))</f>
        <v/>
      </c>
      <c r="U720" s="24">
        <f>IF($B720="",0,IF(COUNTIFS($B$5:$B720,$B720,$C$5:$C720,$C720)=1,1,0))</f>
        <v/>
      </c>
      <c r="V720" s="24">
        <f>IF(OR($B720="",$G720="",$G720="لا توجد مشاهدات"),0,1)</f>
        <v/>
      </c>
      <c r="W720" s="24">
        <f>IF(AND($B720&lt;&gt;"",$I720="تم تحرير مخالفة"),1,0)</f>
        <v/>
      </c>
      <c r="X720" s="24">
        <f>IF($B720="","",IF($S720=WkStart,COUNTIF($S$5:$S720,WkStart),""))</f>
        <v/>
      </c>
    </row>
    <row r="721">
      <c r="A721" s="16">
        <f>IF($B721="","",ROW()-4)</f>
        <v/>
      </c>
      <c r="B721" s="17" t="n"/>
      <c r="C721" s="18" t="n"/>
      <c r="D721" s="18" t="n"/>
      <c r="E721" s="19" t="n"/>
      <c r="F721" s="19" t="n"/>
      <c r="G721" s="18" t="n"/>
      <c r="H721" s="18" t="n"/>
      <c r="I721" s="18" t="n"/>
      <c r="J721" s="20" t="n"/>
      <c r="K721" s="21" t="n"/>
      <c r="L721" s="21" t="n"/>
      <c r="M721" s="18" t="n"/>
      <c r="N721" s="22">
        <f>IF($B721="","",CHOOSE(WEEKDAY($B721),"الأحد","الاثنين","الثلاثاء","الأربعاء","الخميس","الجمعة","السبت"))</f>
        <v/>
      </c>
      <c r="O721" s="23">
        <f>IF(OR($K721="",$L721=""),"",HYPERLINK("https://maps.google.com/?q="&amp;$K721&amp;","&amp;$L721,"عرض الموقع"))</f>
        <v/>
      </c>
      <c r="P721" s="23">
        <f>IF(OR($B721="",N($J721)=0),"",HYPERLINK(PhotoDir&amp;"/"&amp;YEAR($B721)&amp;"-"&amp;TEXT(MONTH($B721),"00")&amp;"-"&amp;TEXT(DAY($B721),"00")&amp;"_"&amp;$D721,"فتح الصور ("&amp;$J721&amp;")"))</f>
        <v/>
      </c>
      <c r="Q721" s="24">
        <f>IF($B721="","",MONTH($B721))</f>
        <v/>
      </c>
      <c r="R721" s="24">
        <f>IF($B721="","",YEAR($B721))</f>
        <v/>
      </c>
      <c r="S721" s="25">
        <f>IF($B721="","",$B721-WEEKDAY($B721,3))</f>
        <v/>
      </c>
      <c r="T721" s="24">
        <f>IF($B721="",0,IF(COUNTIFS($B$5:$B721,$B721,$D$5:$D721,$D721)=1,1,0))</f>
        <v/>
      </c>
      <c r="U721" s="24">
        <f>IF($B721="",0,IF(COUNTIFS($B$5:$B721,$B721,$C$5:$C721,$C721)=1,1,0))</f>
        <v/>
      </c>
      <c r="V721" s="24">
        <f>IF(OR($B721="",$G721="",$G721="لا توجد مشاهدات"),0,1)</f>
        <v/>
      </c>
      <c r="W721" s="24">
        <f>IF(AND($B721&lt;&gt;"",$I721="تم تحرير مخالفة"),1,0)</f>
        <v/>
      </c>
      <c r="X721" s="24">
        <f>IF($B721="","",IF($S721=WkStart,COUNTIF($S$5:$S721,WkStart),""))</f>
        <v/>
      </c>
    </row>
    <row r="722">
      <c r="A722" s="16">
        <f>IF($B722="","",ROW()-4)</f>
        <v/>
      </c>
      <c r="B722" s="17" t="n"/>
      <c r="C722" s="18" t="n"/>
      <c r="D722" s="18" t="n"/>
      <c r="E722" s="19" t="n"/>
      <c r="F722" s="19" t="n"/>
      <c r="G722" s="18" t="n"/>
      <c r="H722" s="18" t="n"/>
      <c r="I722" s="18" t="n"/>
      <c r="J722" s="20" t="n"/>
      <c r="K722" s="21" t="n"/>
      <c r="L722" s="21" t="n"/>
      <c r="M722" s="18" t="n"/>
      <c r="N722" s="22">
        <f>IF($B722="","",CHOOSE(WEEKDAY($B722),"الأحد","الاثنين","الثلاثاء","الأربعاء","الخميس","الجمعة","السبت"))</f>
        <v/>
      </c>
      <c r="O722" s="23">
        <f>IF(OR($K722="",$L722=""),"",HYPERLINK("https://maps.google.com/?q="&amp;$K722&amp;","&amp;$L722,"عرض الموقع"))</f>
        <v/>
      </c>
      <c r="P722" s="23">
        <f>IF(OR($B722="",N($J722)=0),"",HYPERLINK(PhotoDir&amp;"/"&amp;YEAR($B722)&amp;"-"&amp;TEXT(MONTH($B722),"00")&amp;"-"&amp;TEXT(DAY($B722),"00")&amp;"_"&amp;$D722,"فتح الصور ("&amp;$J722&amp;")"))</f>
        <v/>
      </c>
      <c r="Q722" s="24">
        <f>IF($B722="","",MONTH($B722))</f>
        <v/>
      </c>
      <c r="R722" s="24">
        <f>IF($B722="","",YEAR($B722))</f>
        <v/>
      </c>
      <c r="S722" s="25">
        <f>IF($B722="","",$B722-WEEKDAY($B722,3))</f>
        <v/>
      </c>
      <c r="T722" s="24">
        <f>IF($B722="",0,IF(COUNTIFS($B$5:$B722,$B722,$D$5:$D722,$D722)=1,1,0))</f>
        <v/>
      </c>
      <c r="U722" s="24">
        <f>IF($B722="",0,IF(COUNTIFS($B$5:$B722,$B722,$C$5:$C722,$C722)=1,1,0))</f>
        <v/>
      </c>
      <c r="V722" s="24">
        <f>IF(OR($B722="",$G722="",$G722="لا توجد مشاهدات"),0,1)</f>
        <v/>
      </c>
      <c r="W722" s="24">
        <f>IF(AND($B722&lt;&gt;"",$I722="تم تحرير مخالفة"),1,0)</f>
        <v/>
      </c>
      <c r="X722" s="24">
        <f>IF($B722="","",IF($S722=WkStart,COUNTIF($S$5:$S722,WkStart),""))</f>
        <v/>
      </c>
    </row>
    <row r="723">
      <c r="A723" s="16">
        <f>IF($B723="","",ROW()-4)</f>
        <v/>
      </c>
      <c r="B723" s="17" t="n"/>
      <c r="C723" s="18" t="n"/>
      <c r="D723" s="18" t="n"/>
      <c r="E723" s="19" t="n"/>
      <c r="F723" s="19" t="n"/>
      <c r="G723" s="18" t="n"/>
      <c r="H723" s="18" t="n"/>
      <c r="I723" s="18" t="n"/>
      <c r="J723" s="20" t="n"/>
      <c r="K723" s="21" t="n"/>
      <c r="L723" s="21" t="n"/>
      <c r="M723" s="18" t="n"/>
      <c r="N723" s="22">
        <f>IF($B723="","",CHOOSE(WEEKDAY($B723),"الأحد","الاثنين","الثلاثاء","الأربعاء","الخميس","الجمعة","السبت"))</f>
        <v/>
      </c>
      <c r="O723" s="23">
        <f>IF(OR($K723="",$L723=""),"",HYPERLINK("https://maps.google.com/?q="&amp;$K723&amp;","&amp;$L723,"عرض الموقع"))</f>
        <v/>
      </c>
      <c r="P723" s="23">
        <f>IF(OR($B723="",N($J723)=0),"",HYPERLINK(PhotoDir&amp;"/"&amp;YEAR($B723)&amp;"-"&amp;TEXT(MONTH($B723),"00")&amp;"-"&amp;TEXT(DAY($B723),"00")&amp;"_"&amp;$D723,"فتح الصور ("&amp;$J723&amp;")"))</f>
        <v/>
      </c>
      <c r="Q723" s="24">
        <f>IF($B723="","",MONTH($B723))</f>
        <v/>
      </c>
      <c r="R723" s="24">
        <f>IF($B723="","",YEAR($B723))</f>
        <v/>
      </c>
      <c r="S723" s="25">
        <f>IF($B723="","",$B723-WEEKDAY($B723,3))</f>
        <v/>
      </c>
      <c r="T723" s="24">
        <f>IF($B723="",0,IF(COUNTIFS($B$5:$B723,$B723,$D$5:$D723,$D723)=1,1,0))</f>
        <v/>
      </c>
      <c r="U723" s="24">
        <f>IF($B723="",0,IF(COUNTIFS($B$5:$B723,$B723,$C$5:$C723,$C723)=1,1,0))</f>
        <v/>
      </c>
      <c r="V723" s="24">
        <f>IF(OR($B723="",$G723="",$G723="لا توجد مشاهدات"),0,1)</f>
        <v/>
      </c>
      <c r="W723" s="24">
        <f>IF(AND($B723&lt;&gt;"",$I723="تم تحرير مخالفة"),1,0)</f>
        <v/>
      </c>
      <c r="X723" s="24">
        <f>IF($B723="","",IF($S723=WkStart,COUNTIF($S$5:$S723,WkStart),""))</f>
        <v/>
      </c>
    </row>
    <row r="724">
      <c r="A724" s="16">
        <f>IF($B724="","",ROW()-4)</f>
        <v/>
      </c>
      <c r="B724" s="17" t="n"/>
      <c r="C724" s="18" t="n"/>
      <c r="D724" s="18" t="n"/>
      <c r="E724" s="19" t="n"/>
      <c r="F724" s="19" t="n"/>
      <c r="G724" s="18" t="n"/>
      <c r="H724" s="18" t="n"/>
      <c r="I724" s="18" t="n"/>
      <c r="J724" s="20" t="n"/>
      <c r="K724" s="21" t="n"/>
      <c r="L724" s="21" t="n"/>
      <c r="M724" s="18" t="n"/>
      <c r="N724" s="22">
        <f>IF($B724="","",CHOOSE(WEEKDAY($B724),"الأحد","الاثنين","الثلاثاء","الأربعاء","الخميس","الجمعة","السبت"))</f>
        <v/>
      </c>
      <c r="O724" s="23">
        <f>IF(OR($K724="",$L724=""),"",HYPERLINK("https://maps.google.com/?q="&amp;$K724&amp;","&amp;$L724,"عرض الموقع"))</f>
        <v/>
      </c>
      <c r="P724" s="23">
        <f>IF(OR($B724="",N($J724)=0),"",HYPERLINK(PhotoDir&amp;"/"&amp;YEAR($B724)&amp;"-"&amp;TEXT(MONTH($B724),"00")&amp;"-"&amp;TEXT(DAY($B724),"00")&amp;"_"&amp;$D724,"فتح الصور ("&amp;$J724&amp;")"))</f>
        <v/>
      </c>
      <c r="Q724" s="24">
        <f>IF($B724="","",MONTH($B724))</f>
        <v/>
      </c>
      <c r="R724" s="24">
        <f>IF($B724="","",YEAR($B724))</f>
        <v/>
      </c>
      <c r="S724" s="25">
        <f>IF($B724="","",$B724-WEEKDAY($B724,3))</f>
        <v/>
      </c>
      <c r="T724" s="24">
        <f>IF($B724="",0,IF(COUNTIFS($B$5:$B724,$B724,$D$5:$D724,$D724)=1,1,0))</f>
        <v/>
      </c>
      <c r="U724" s="24">
        <f>IF($B724="",0,IF(COUNTIFS($B$5:$B724,$B724,$C$5:$C724,$C724)=1,1,0))</f>
        <v/>
      </c>
      <c r="V724" s="24">
        <f>IF(OR($B724="",$G724="",$G724="لا توجد مشاهدات"),0,1)</f>
        <v/>
      </c>
      <c r="W724" s="24">
        <f>IF(AND($B724&lt;&gt;"",$I724="تم تحرير مخالفة"),1,0)</f>
        <v/>
      </c>
      <c r="X724" s="24">
        <f>IF($B724="","",IF($S724=WkStart,COUNTIF($S$5:$S724,WkStart),""))</f>
        <v/>
      </c>
    </row>
    <row r="725">
      <c r="A725" s="16">
        <f>IF($B725="","",ROW()-4)</f>
        <v/>
      </c>
      <c r="B725" s="17" t="n"/>
      <c r="C725" s="18" t="n"/>
      <c r="D725" s="18" t="n"/>
      <c r="E725" s="19" t="n"/>
      <c r="F725" s="19" t="n"/>
      <c r="G725" s="18" t="n"/>
      <c r="H725" s="18" t="n"/>
      <c r="I725" s="18" t="n"/>
      <c r="J725" s="20" t="n"/>
      <c r="K725" s="21" t="n"/>
      <c r="L725" s="21" t="n"/>
      <c r="M725" s="18" t="n"/>
      <c r="N725" s="22">
        <f>IF($B725="","",CHOOSE(WEEKDAY($B725),"الأحد","الاثنين","الثلاثاء","الأربعاء","الخميس","الجمعة","السبت"))</f>
        <v/>
      </c>
      <c r="O725" s="23">
        <f>IF(OR($K725="",$L725=""),"",HYPERLINK("https://maps.google.com/?q="&amp;$K725&amp;","&amp;$L725,"عرض الموقع"))</f>
        <v/>
      </c>
      <c r="P725" s="23">
        <f>IF(OR($B725="",N($J725)=0),"",HYPERLINK(PhotoDir&amp;"/"&amp;YEAR($B725)&amp;"-"&amp;TEXT(MONTH($B725),"00")&amp;"-"&amp;TEXT(DAY($B725),"00")&amp;"_"&amp;$D725,"فتح الصور ("&amp;$J725&amp;")"))</f>
        <v/>
      </c>
      <c r="Q725" s="24">
        <f>IF($B725="","",MONTH($B725))</f>
        <v/>
      </c>
      <c r="R725" s="24">
        <f>IF($B725="","",YEAR($B725))</f>
        <v/>
      </c>
      <c r="S725" s="25">
        <f>IF($B725="","",$B725-WEEKDAY($B725,3))</f>
        <v/>
      </c>
      <c r="T725" s="24">
        <f>IF($B725="",0,IF(COUNTIFS($B$5:$B725,$B725,$D$5:$D725,$D725)=1,1,0))</f>
        <v/>
      </c>
      <c r="U725" s="24">
        <f>IF($B725="",0,IF(COUNTIFS($B$5:$B725,$B725,$C$5:$C725,$C725)=1,1,0))</f>
        <v/>
      </c>
      <c r="V725" s="24">
        <f>IF(OR($B725="",$G725="",$G725="لا توجد مشاهدات"),0,1)</f>
        <v/>
      </c>
      <c r="W725" s="24">
        <f>IF(AND($B725&lt;&gt;"",$I725="تم تحرير مخالفة"),1,0)</f>
        <v/>
      </c>
      <c r="X725" s="24">
        <f>IF($B725="","",IF($S725=WkStart,COUNTIF($S$5:$S725,WkStart),""))</f>
        <v/>
      </c>
    </row>
    <row r="726">
      <c r="A726" s="16">
        <f>IF($B726="","",ROW()-4)</f>
        <v/>
      </c>
      <c r="B726" s="17" t="n"/>
      <c r="C726" s="18" t="n"/>
      <c r="D726" s="18" t="n"/>
      <c r="E726" s="19" t="n"/>
      <c r="F726" s="19" t="n"/>
      <c r="G726" s="18" t="n"/>
      <c r="H726" s="18" t="n"/>
      <c r="I726" s="18" t="n"/>
      <c r="J726" s="20" t="n"/>
      <c r="K726" s="21" t="n"/>
      <c r="L726" s="21" t="n"/>
      <c r="M726" s="18" t="n"/>
      <c r="N726" s="22">
        <f>IF($B726="","",CHOOSE(WEEKDAY($B726),"الأحد","الاثنين","الثلاثاء","الأربعاء","الخميس","الجمعة","السبت"))</f>
        <v/>
      </c>
      <c r="O726" s="23">
        <f>IF(OR($K726="",$L726=""),"",HYPERLINK("https://maps.google.com/?q="&amp;$K726&amp;","&amp;$L726,"عرض الموقع"))</f>
        <v/>
      </c>
      <c r="P726" s="23">
        <f>IF(OR($B726="",N($J726)=0),"",HYPERLINK(PhotoDir&amp;"/"&amp;YEAR($B726)&amp;"-"&amp;TEXT(MONTH($B726),"00")&amp;"-"&amp;TEXT(DAY($B726),"00")&amp;"_"&amp;$D726,"فتح الصور ("&amp;$J726&amp;")"))</f>
        <v/>
      </c>
      <c r="Q726" s="24">
        <f>IF($B726="","",MONTH($B726))</f>
        <v/>
      </c>
      <c r="R726" s="24">
        <f>IF($B726="","",YEAR($B726))</f>
        <v/>
      </c>
      <c r="S726" s="25">
        <f>IF($B726="","",$B726-WEEKDAY($B726,3))</f>
        <v/>
      </c>
      <c r="T726" s="24">
        <f>IF($B726="",0,IF(COUNTIFS($B$5:$B726,$B726,$D$5:$D726,$D726)=1,1,0))</f>
        <v/>
      </c>
      <c r="U726" s="24">
        <f>IF($B726="",0,IF(COUNTIFS($B$5:$B726,$B726,$C$5:$C726,$C726)=1,1,0))</f>
        <v/>
      </c>
      <c r="V726" s="24">
        <f>IF(OR($B726="",$G726="",$G726="لا توجد مشاهدات"),0,1)</f>
        <v/>
      </c>
      <c r="W726" s="24">
        <f>IF(AND($B726&lt;&gt;"",$I726="تم تحرير مخالفة"),1,0)</f>
        <v/>
      </c>
      <c r="X726" s="24">
        <f>IF($B726="","",IF($S726=WkStart,COUNTIF($S$5:$S726,WkStart),""))</f>
        <v/>
      </c>
    </row>
    <row r="727">
      <c r="A727" s="16">
        <f>IF($B727="","",ROW()-4)</f>
        <v/>
      </c>
      <c r="B727" s="17" t="n"/>
      <c r="C727" s="18" t="n"/>
      <c r="D727" s="18" t="n"/>
      <c r="E727" s="19" t="n"/>
      <c r="F727" s="19" t="n"/>
      <c r="G727" s="18" t="n"/>
      <c r="H727" s="18" t="n"/>
      <c r="I727" s="18" t="n"/>
      <c r="J727" s="20" t="n"/>
      <c r="K727" s="21" t="n"/>
      <c r="L727" s="21" t="n"/>
      <c r="M727" s="18" t="n"/>
      <c r="N727" s="22">
        <f>IF($B727="","",CHOOSE(WEEKDAY($B727),"الأحد","الاثنين","الثلاثاء","الأربعاء","الخميس","الجمعة","السبت"))</f>
        <v/>
      </c>
      <c r="O727" s="23">
        <f>IF(OR($K727="",$L727=""),"",HYPERLINK("https://maps.google.com/?q="&amp;$K727&amp;","&amp;$L727,"عرض الموقع"))</f>
        <v/>
      </c>
      <c r="P727" s="23">
        <f>IF(OR($B727="",N($J727)=0),"",HYPERLINK(PhotoDir&amp;"/"&amp;YEAR($B727)&amp;"-"&amp;TEXT(MONTH($B727),"00")&amp;"-"&amp;TEXT(DAY($B727),"00")&amp;"_"&amp;$D727,"فتح الصور ("&amp;$J727&amp;")"))</f>
        <v/>
      </c>
      <c r="Q727" s="24">
        <f>IF($B727="","",MONTH($B727))</f>
        <v/>
      </c>
      <c r="R727" s="24">
        <f>IF($B727="","",YEAR($B727))</f>
        <v/>
      </c>
      <c r="S727" s="25">
        <f>IF($B727="","",$B727-WEEKDAY($B727,3))</f>
        <v/>
      </c>
      <c r="T727" s="24">
        <f>IF($B727="",0,IF(COUNTIFS($B$5:$B727,$B727,$D$5:$D727,$D727)=1,1,0))</f>
        <v/>
      </c>
      <c r="U727" s="24">
        <f>IF($B727="",0,IF(COUNTIFS($B$5:$B727,$B727,$C$5:$C727,$C727)=1,1,0))</f>
        <v/>
      </c>
      <c r="V727" s="24">
        <f>IF(OR($B727="",$G727="",$G727="لا توجد مشاهدات"),0,1)</f>
        <v/>
      </c>
      <c r="W727" s="24">
        <f>IF(AND($B727&lt;&gt;"",$I727="تم تحرير مخالفة"),1,0)</f>
        <v/>
      </c>
      <c r="X727" s="24">
        <f>IF($B727="","",IF($S727=WkStart,COUNTIF($S$5:$S727,WkStart),""))</f>
        <v/>
      </c>
    </row>
    <row r="728">
      <c r="A728" s="16">
        <f>IF($B728="","",ROW()-4)</f>
        <v/>
      </c>
      <c r="B728" s="17" t="n"/>
      <c r="C728" s="18" t="n"/>
      <c r="D728" s="18" t="n"/>
      <c r="E728" s="19" t="n"/>
      <c r="F728" s="19" t="n"/>
      <c r="G728" s="18" t="n"/>
      <c r="H728" s="18" t="n"/>
      <c r="I728" s="18" t="n"/>
      <c r="J728" s="20" t="n"/>
      <c r="K728" s="21" t="n"/>
      <c r="L728" s="21" t="n"/>
      <c r="M728" s="18" t="n"/>
      <c r="N728" s="22">
        <f>IF($B728="","",CHOOSE(WEEKDAY($B728),"الأحد","الاثنين","الثلاثاء","الأربعاء","الخميس","الجمعة","السبت"))</f>
        <v/>
      </c>
      <c r="O728" s="23">
        <f>IF(OR($K728="",$L728=""),"",HYPERLINK("https://maps.google.com/?q="&amp;$K728&amp;","&amp;$L728,"عرض الموقع"))</f>
        <v/>
      </c>
      <c r="P728" s="23">
        <f>IF(OR($B728="",N($J728)=0),"",HYPERLINK(PhotoDir&amp;"/"&amp;YEAR($B728)&amp;"-"&amp;TEXT(MONTH($B728),"00")&amp;"-"&amp;TEXT(DAY($B728),"00")&amp;"_"&amp;$D728,"فتح الصور ("&amp;$J728&amp;")"))</f>
        <v/>
      </c>
      <c r="Q728" s="24">
        <f>IF($B728="","",MONTH($B728))</f>
        <v/>
      </c>
      <c r="R728" s="24">
        <f>IF($B728="","",YEAR($B728))</f>
        <v/>
      </c>
      <c r="S728" s="25">
        <f>IF($B728="","",$B728-WEEKDAY($B728,3))</f>
        <v/>
      </c>
      <c r="T728" s="24">
        <f>IF($B728="",0,IF(COUNTIFS($B$5:$B728,$B728,$D$5:$D728,$D728)=1,1,0))</f>
        <v/>
      </c>
      <c r="U728" s="24">
        <f>IF($B728="",0,IF(COUNTIFS($B$5:$B728,$B728,$C$5:$C728,$C728)=1,1,0))</f>
        <v/>
      </c>
      <c r="V728" s="24">
        <f>IF(OR($B728="",$G728="",$G728="لا توجد مشاهدات"),0,1)</f>
        <v/>
      </c>
      <c r="W728" s="24">
        <f>IF(AND($B728&lt;&gt;"",$I728="تم تحرير مخالفة"),1,0)</f>
        <v/>
      </c>
      <c r="X728" s="24">
        <f>IF($B728="","",IF($S728=WkStart,COUNTIF($S$5:$S728,WkStart),""))</f>
        <v/>
      </c>
    </row>
    <row r="729">
      <c r="A729" s="16">
        <f>IF($B729="","",ROW()-4)</f>
        <v/>
      </c>
      <c r="B729" s="17" t="n"/>
      <c r="C729" s="18" t="n"/>
      <c r="D729" s="18" t="n"/>
      <c r="E729" s="19" t="n"/>
      <c r="F729" s="19" t="n"/>
      <c r="G729" s="18" t="n"/>
      <c r="H729" s="18" t="n"/>
      <c r="I729" s="18" t="n"/>
      <c r="J729" s="20" t="n"/>
      <c r="K729" s="21" t="n"/>
      <c r="L729" s="21" t="n"/>
      <c r="M729" s="18" t="n"/>
      <c r="N729" s="22">
        <f>IF($B729="","",CHOOSE(WEEKDAY($B729),"الأحد","الاثنين","الثلاثاء","الأربعاء","الخميس","الجمعة","السبت"))</f>
        <v/>
      </c>
      <c r="O729" s="23">
        <f>IF(OR($K729="",$L729=""),"",HYPERLINK("https://maps.google.com/?q="&amp;$K729&amp;","&amp;$L729,"عرض الموقع"))</f>
        <v/>
      </c>
      <c r="P729" s="23">
        <f>IF(OR($B729="",N($J729)=0),"",HYPERLINK(PhotoDir&amp;"/"&amp;YEAR($B729)&amp;"-"&amp;TEXT(MONTH($B729),"00")&amp;"-"&amp;TEXT(DAY($B729),"00")&amp;"_"&amp;$D729,"فتح الصور ("&amp;$J729&amp;")"))</f>
        <v/>
      </c>
      <c r="Q729" s="24">
        <f>IF($B729="","",MONTH($B729))</f>
        <v/>
      </c>
      <c r="R729" s="24">
        <f>IF($B729="","",YEAR($B729))</f>
        <v/>
      </c>
      <c r="S729" s="25">
        <f>IF($B729="","",$B729-WEEKDAY($B729,3))</f>
        <v/>
      </c>
      <c r="T729" s="24">
        <f>IF($B729="",0,IF(COUNTIFS($B$5:$B729,$B729,$D$5:$D729,$D729)=1,1,0))</f>
        <v/>
      </c>
      <c r="U729" s="24">
        <f>IF($B729="",0,IF(COUNTIFS($B$5:$B729,$B729,$C$5:$C729,$C729)=1,1,0))</f>
        <v/>
      </c>
      <c r="V729" s="24">
        <f>IF(OR($B729="",$G729="",$G729="لا توجد مشاهدات"),0,1)</f>
        <v/>
      </c>
      <c r="W729" s="24">
        <f>IF(AND($B729&lt;&gt;"",$I729="تم تحرير مخالفة"),1,0)</f>
        <v/>
      </c>
      <c r="X729" s="24">
        <f>IF($B729="","",IF($S729=WkStart,COUNTIF($S$5:$S729,WkStart),""))</f>
        <v/>
      </c>
    </row>
    <row r="730">
      <c r="A730" s="16">
        <f>IF($B730="","",ROW()-4)</f>
        <v/>
      </c>
      <c r="B730" s="17" t="n"/>
      <c r="C730" s="18" t="n"/>
      <c r="D730" s="18" t="n"/>
      <c r="E730" s="19" t="n"/>
      <c r="F730" s="19" t="n"/>
      <c r="G730" s="18" t="n"/>
      <c r="H730" s="18" t="n"/>
      <c r="I730" s="18" t="n"/>
      <c r="J730" s="20" t="n"/>
      <c r="K730" s="21" t="n"/>
      <c r="L730" s="21" t="n"/>
      <c r="M730" s="18" t="n"/>
      <c r="N730" s="22">
        <f>IF($B730="","",CHOOSE(WEEKDAY($B730),"الأحد","الاثنين","الثلاثاء","الأربعاء","الخميس","الجمعة","السبت"))</f>
        <v/>
      </c>
      <c r="O730" s="23">
        <f>IF(OR($K730="",$L730=""),"",HYPERLINK("https://maps.google.com/?q="&amp;$K730&amp;","&amp;$L730,"عرض الموقع"))</f>
        <v/>
      </c>
      <c r="P730" s="23">
        <f>IF(OR($B730="",N($J730)=0),"",HYPERLINK(PhotoDir&amp;"/"&amp;YEAR($B730)&amp;"-"&amp;TEXT(MONTH($B730),"00")&amp;"-"&amp;TEXT(DAY($B730),"00")&amp;"_"&amp;$D730,"فتح الصور ("&amp;$J730&amp;")"))</f>
        <v/>
      </c>
      <c r="Q730" s="24">
        <f>IF($B730="","",MONTH($B730))</f>
        <v/>
      </c>
      <c r="R730" s="24">
        <f>IF($B730="","",YEAR($B730))</f>
        <v/>
      </c>
      <c r="S730" s="25">
        <f>IF($B730="","",$B730-WEEKDAY($B730,3))</f>
        <v/>
      </c>
      <c r="T730" s="24">
        <f>IF($B730="",0,IF(COUNTIFS($B$5:$B730,$B730,$D$5:$D730,$D730)=1,1,0))</f>
        <v/>
      </c>
      <c r="U730" s="24">
        <f>IF($B730="",0,IF(COUNTIFS($B$5:$B730,$B730,$C$5:$C730,$C730)=1,1,0))</f>
        <v/>
      </c>
      <c r="V730" s="24">
        <f>IF(OR($B730="",$G730="",$G730="لا توجد مشاهدات"),0,1)</f>
        <v/>
      </c>
      <c r="W730" s="24">
        <f>IF(AND($B730&lt;&gt;"",$I730="تم تحرير مخالفة"),1,0)</f>
        <v/>
      </c>
      <c r="X730" s="24">
        <f>IF($B730="","",IF($S730=WkStart,COUNTIF($S$5:$S730,WkStart),""))</f>
        <v/>
      </c>
    </row>
    <row r="731">
      <c r="A731" s="16">
        <f>IF($B731="","",ROW()-4)</f>
        <v/>
      </c>
      <c r="B731" s="17" t="n"/>
      <c r="C731" s="18" t="n"/>
      <c r="D731" s="18" t="n"/>
      <c r="E731" s="19" t="n"/>
      <c r="F731" s="19" t="n"/>
      <c r="G731" s="18" t="n"/>
      <c r="H731" s="18" t="n"/>
      <c r="I731" s="18" t="n"/>
      <c r="J731" s="20" t="n"/>
      <c r="K731" s="21" t="n"/>
      <c r="L731" s="21" t="n"/>
      <c r="M731" s="18" t="n"/>
      <c r="N731" s="22">
        <f>IF($B731="","",CHOOSE(WEEKDAY($B731),"الأحد","الاثنين","الثلاثاء","الأربعاء","الخميس","الجمعة","السبت"))</f>
        <v/>
      </c>
      <c r="O731" s="23">
        <f>IF(OR($K731="",$L731=""),"",HYPERLINK("https://maps.google.com/?q="&amp;$K731&amp;","&amp;$L731,"عرض الموقع"))</f>
        <v/>
      </c>
      <c r="P731" s="23">
        <f>IF(OR($B731="",N($J731)=0),"",HYPERLINK(PhotoDir&amp;"/"&amp;YEAR($B731)&amp;"-"&amp;TEXT(MONTH($B731),"00")&amp;"-"&amp;TEXT(DAY($B731),"00")&amp;"_"&amp;$D731,"فتح الصور ("&amp;$J731&amp;")"))</f>
        <v/>
      </c>
      <c r="Q731" s="24">
        <f>IF($B731="","",MONTH($B731))</f>
        <v/>
      </c>
      <c r="R731" s="24">
        <f>IF($B731="","",YEAR($B731))</f>
        <v/>
      </c>
      <c r="S731" s="25">
        <f>IF($B731="","",$B731-WEEKDAY($B731,3))</f>
        <v/>
      </c>
      <c r="T731" s="24">
        <f>IF($B731="",0,IF(COUNTIFS($B$5:$B731,$B731,$D$5:$D731,$D731)=1,1,0))</f>
        <v/>
      </c>
      <c r="U731" s="24">
        <f>IF($B731="",0,IF(COUNTIFS($B$5:$B731,$B731,$C$5:$C731,$C731)=1,1,0))</f>
        <v/>
      </c>
      <c r="V731" s="24">
        <f>IF(OR($B731="",$G731="",$G731="لا توجد مشاهدات"),0,1)</f>
        <v/>
      </c>
      <c r="W731" s="24">
        <f>IF(AND($B731&lt;&gt;"",$I731="تم تحرير مخالفة"),1,0)</f>
        <v/>
      </c>
      <c r="X731" s="24">
        <f>IF($B731="","",IF($S731=WkStart,COUNTIF($S$5:$S731,WkStart),""))</f>
        <v/>
      </c>
    </row>
    <row r="732">
      <c r="A732" s="16">
        <f>IF($B732="","",ROW()-4)</f>
        <v/>
      </c>
      <c r="B732" s="17" t="n"/>
      <c r="C732" s="18" t="n"/>
      <c r="D732" s="18" t="n"/>
      <c r="E732" s="19" t="n"/>
      <c r="F732" s="19" t="n"/>
      <c r="G732" s="18" t="n"/>
      <c r="H732" s="18" t="n"/>
      <c r="I732" s="18" t="n"/>
      <c r="J732" s="20" t="n"/>
      <c r="K732" s="21" t="n"/>
      <c r="L732" s="21" t="n"/>
      <c r="M732" s="18" t="n"/>
      <c r="N732" s="22">
        <f>IF($B732="","",CHOOSE(WEEKDAY($B732),"الأحد","الاثنين","الثلاثاء","الأربعاء","الخميس","الجمعة","السبت"))</f>
        <v/>
      </c>
      <c r="O732" s="23">
        <f>IF(OR($K732="",$L732=""),"",HYPERLINK("https://maps.google.com/?q="&amp;$K732&amp;","&amp;$L732,"عرض الموقع"))</f>
        <v/>
      </c>
      <c r="P732" s="23">
        <f>IF(OR($B732="",N($J732)=0),"",HYPERLINK(PhotoDir&amp;"/"&amp;YEAR($B732)&amp;"-"&amp;TEXT(MONTH($B732),"00")&amp;"-"&amp;TEXT(DAY($B732),"00")&amp;"_"&amp;$D732,"فتح الصور ("&amp;$J732&amp;")"))</f>
        <v/>
      </c>
      <c r="Q732" s="24">
        <f>IF($B732="","",MONTH($B732))</f>
        <v/>
      </c>
      <c r="R732" s="24">
        <f>IF($B732="","",YEAR($B732))</f>
        <v/>
      </c>
      <c r="S732" s="25">
        <f>IF($B732="","",$B732-WEEKDAY($B732,3))</f>
        <v/>
      </c>
      <c r="T732" s="24">
        <f>IF($B732="",0,IF(COUNTIFS($B$5:$B732,$B732,$D$5:$D732,$D732)=1,1,0))</f>
        <v/>
      </c>
      <c r="U732" s="24">
        <f>IF($B732="",0,IF(COUNTIFS($B$5:$B732,$B732,$C$5:$C732,$C732)=1,1,0))</f>
        <v/>
      </c>
      <c r="V732" s="24">
        <f>IF(OR($B732="",$G732="",$G732="لا توجد مشاهدات"),0,1)</f>
        <v/>
      </c>
      <c r="W732" s="24">
        <f>IF(AND($B732&lt;&gt;"",$I732="تم تحرير مخالفة"),1,0)</f>
        <v/>
      </c>
      <c r="X732" s="24">
        <f>IF($B732="","",IF($S732=WkStart,COUNTIF($S$5:$S732,WkStart),""))</f>
        <v/>
      </c>
    </row>
    <row r="733">
      <c r="A733" s="16">
        <f>IF($B733="","",ROW()-4)</f>
        <v/>
      </c>
      <c r="B733" s="17" t="n"/>
      <c r="C733" s="18" t="n"/>
      <c r="D733" s="18" t="n"/>
      <c r="E733" s="19" t="n"/>
      <c r="F733" s="19" t="n"/>
      <c r="G733" s="18" t="n"/>
      <c r="H733" s="18" t="n"/>
      <c r="I733" s="18" t="n"/>
      <c r="J733" s="20" t="n"/>
      <c r="K733" s="21" t="n"/>
      <c r="L733" s="21" t="n"/>
      <c r="M733" s="18" t="n"/>
      <c r="N733" s="22">
        <f>IF($B733="","",CHOOSE(WEEKDAY($B733),"الأحد","الاثنين","الثلاثاء","الأربعاء","الخميس","الجمعة","السبت"))</f>
        <v/>
      </c>
      <c r="O733" s="23">
        <f>IF(OR($K733="",$L733=""),"",HYPERLINK("https://maps.google.com/?q="&amp;$K733&amp;","&amp;$L733,"عرض الموقع"))</f>
        <v/>
      </c>
      <c r="P733" s="23">
        <f>IF(OR($B733="",N($J733)=0),"",HYPERLINK(PhotoDir&amp;"/"&amp;YEAR($B733)&amp;"-"&amp;TEXT(MONTH($B733),"00")&amp;"-"&amp;TEXT(DAY($B733),"00")&amp;"_"&amp;$D733,"فتح الصور ("&amp;$J733&amp;")"))</f>
        <v/>
      </c>
      <c r="Q733" s="24">
        <f>IF($B733="","",MONTH($B733))</f>
        <v/>
      </c>
      <c r="R733" s="24">
        <f>IF($B733="","",YEAR($B733))</f>
        <v/>
      </c>
      <c r="S733" s="25">
        <f>IF($B733="","",$B733-WEEKDAY($B733,3))</f>
        <v/>
      </c>
      <c r="T733" s="24">
        <f>IF($B733="",0,IF(COUNTIFS($B$5:$B733,$B733,$D$5:$D733,$D733)=1,1,0))</f>
        <v/>
      </c>
      <c r="U733" s="24">
        <f>IF($B733="",0,IF(COUNTIFS($B$5:$B733,$B733,$C$5:$C733,$C733)=1,1,0))</f>
        <v/>
      </c>
      <c r="V733" s="24">
        <f>IF(OR($B733="",$G733="",$G733="لا توجد مشاهدات"),0,1)</f>
        <v/>
      </c>
      <c r="W733" s="24">
        <f>IF(AND($B733&lt;&gt;"",$I733="تم تحرير مخالفة"),1,0)</f>
        <v/>
      </c>
      <c r="X733" s="24">
        <f>IF($B733="","",IF($S733=WkStart,COUNTIF($S$5:$S733,WkStart),""))</f>
        <v/>
      </c>
    </row>
    <row r="734">
      <c r="A734" s="16">
        <f>IF($B734="","",ROW()-4)</f>
        <v/>
      </c>
      <c r="B734" s="17" t="n"/>
      <c r="C734" s="18" t="n"/>
      <c r="D734" s="18" t="n"/>
      <c r="E734" s="19" t="n"/>
      <c r="F734" s="19" t="n"/>
      <c r="G734" s="18" t="n"/>
      <c r="H734" s="18" t="n"/>
      <c r="I734" s="18" t="n"/>
      <c r="J734" s="20" t="n"/>
      <c r="K734" s="21" t="n"/>
      <c r="L734" s="21" t="n"/>
      <c r="M734" s="18" t="n"/>
      <c r="N734" s="22">
        <f>IF($B734="","",CHOOSE(WEEKDAY($B734),"الأحد","الاثنين","الثلاثاء","الأربعاء","الخميس","الجمعة","السبت"))</f>
        <v/>
      </c>
      <c r="O734" s="23">
        <f>IF(OR($K734="",$L734=""),"",HYPERLINK("https://maps.google.com/?q="&amp;$K734&amp;","&amp;$L734,"عرض الموقع"))</f>
        <v/>
      </c>
      <c r="P734" s="23">
        <f>IF(OR($B734="",N($J734)=0),"",HYPERLINK(PhotoDir&amp;"/"&amp;YEAR($B734)&amp;"-"&amp;TEXT(MONTH($B734),"00")&amp;"-"&amp;TEXT(DAY($B734),"00")&amp;"_"&amp;$D734,"فتح الصور ("&amp;$J734&amp;")"))</f>
        <v/>
      </c>
      <c r="Q734" s="24">
        <f>IF($B734="","",MONTH($B734))</f>
        <v/>
      </c>
      <c r="R734" s="24">
        <f>IF($B734="","",YEAR($B734))</f>
        <v/>
      </c>
      <c r="S734" s="25">
        <f>IF($B734="","",$B734-WEEKDAY($B734,3))</f>
        <v/>
      </c>
      <c r="T734" s="24">
        <f>IF($B734="",0,IF(COUNTIFS($B$5:$B734,$B734,$D$5:$D734,$D734)=1,1,0))</f>
        <v/>
      </c>
      <c r="U734" s="24">
        <f>IF($B734="",0,IF(COUNTIFS($B$5:$B734,$B734,$C$5:$C734,$C734)=1,1,0))</f>
        <v/>
      </c>
      <c r="V734" s="24">
        <f>IF(OR($B734="",$G734="",$G734="لا توجد مشاهدات"),0,1)</f>
        <v/>
      </c>
      <c r="W734" s="24">
        <f>IF(AND($B734&lt;&gt;"",$I734="تم تحرير مخالفة"),1,0)</f>
        <v/>
      </c>
      <c r="X734" s="24">
        <f>IF($B734="","",IF($S734=WkStart,COUNTIF($S$5:$S734,WkStart),""))</f>
        <v/>
      </c>
    </row>
    <row r="735">
      <c r="A735" s="16">
        <f>IF($B735="","",ROW()-4)</f>
        <v/>
      </c>
      <c r="B735" s="17" t="n"/>
      <c r="C735" s="18" t="n"/>
      <c r="D735" s="18" t="n"/>
      <c r="E735" s="19" t="n"/>
      <c r="F735" s="19" t="n"/>
      <c r="G735" s="18" t="n"/>
      <c r="H735" s="18" t="n"/>
      <c r="I735" s="18" t="n"/>
      <c r="J735" s="20" t="n"/>
      <c r="K735" s="21" t="n"/>
      <c r="L735" s="21" t="n"/>
      <c r="M735" s="18" t="n"/>
      <c r="N735" s="22">
        <f>IF($B735="","",CHOOSE(WEEKDAY($B735),"الأحد","الاثنين","الثلاثاء","الأربعاء","الخميس","الجمعة","السبت"))</f>
        <v/>
      </c>
      <c r="O735" s="23">
        <f>IF(OR($K735="",$L735=""),"",HYPERLINK("https://maps.google.com/?q="&amp;$K735&amp;","&amp;$L735,"عرض الموقع"))</f>
        <v/>
      </c>
      <c r="P735" s="23">
        <f>IF(OR($B735="",N($J735)=0),"",HYPERLINK(PhotoDir&amp;"/"&amp;YEAR($B735)&amp;"-"&amp;TEXT(MONTH($B735),"00")&amp;"-"&amp;TEXT(DAY($B735),"00")&amp;"_"&amp;$D735,"فتح الصور ("&amp;$J735&amp;")"))</f>
        <v/>
      </c>
      <c r="Q735" s="24">
        <f>IF($B735="","",MONTH($B735))</f>
        <v/>
      </c>
      <c r="R735" s="24">
        <f>IF($B735="","",YEAR($B735))</f>
        <v/>
      </c>
      <c r="S735" s="25">
        <f>IF($B735="","",$B735-WEEKDAY($B735,3))</f>
        <v/>
      </c>
      <c r="T735" s="24">
        <f>IF($B735="",0,IF(COUNTIFS($B$5:$B735,$B735,$D$5:$D735,$D735)=1,1,0))</f>
        <v/>
      </c>
      <c r="U735" s="24">
        <f>IF($B735="",0,IF(COUNTIFS($B$5:$B735,$B735,$C$5:$C735,$C735)=1,1,0))</f>
        <v/>
      </c>
      <c r="V735" s="24">
        <f>IF(OR($B735="",$G735="",$G735="لا توجد مشاهدات"),0,1)</f>
        <v/>
      </c>
      <c r="W735" s="24">
        <f>IF(AND($B735&lt;&gt;"",$I735="تم تحرير مخالفة"),1,0)</f>
        <v/>
      </c>
      <c r="X735" s="24">
        <f>IF($B735="","",IF($S735=WkStart,COUNTIF($S$5:$S735,WkStart),""))</f>
        <v/>
      </c>
    </row>
    <row r="736">
      <c r="A736" s="16">
        <f>IF($B736="","",ROW()-4)</f>
        <v/>
      </c>
      <c r="B736" s="17" t="n"/>
      <c r="C736" s="18" t="n"/>
      <c r="D736" s="18" t="n"/>
      <c r="E736" s="19" t="n"/>
      <c r="F736" s="19" t="n"/>
      <c r="G736" s="18" t="n"/>
      <c r="H736" s="18" t="n"/>
      <c r="I736" s="18" t="n"/>
      <c r="J736" s="20" t="n"/>
      <c r="K736" s="21" t="n"/>
      <c r="L736" s="21" t="n"/>
      <c r="M736" s="18" t="n"/>
      <c r="N736" s="22">
        <f>IF($B736="","",CHOOSE(WEEKDAY($B736),"الأحد","الاثنين","الثلاثاء","الأربعاء","الخميس","الجمعة","السبت"))</f>
        <v/>
      </c>
      <c r="O736" s="23">
        <f>IF(OR($K736="",$L736=""),"",HYPERLINK("https://maps.google.com/?q="&amp;$K736&amp;","&amp;$L736,"عرض الموقع"))</f>
        <v/>
      </c>
      <c r="P736" s="23">
        <f>IF(OR($B736="",N($J736)=0),"",HYPERLINK(PhotoDir&amp;"/"&amp;YEAR($B736)&amp;"-"&amp;TEXT(MONTH($B736),"00")&amp;"-"&amp;TEXT(DAY($B736),"00")&amp;"_"&amp;$D736,"فتح الصور ("&amp;$J736&amp;")"))</f>
        <v/>
      </c>
      <c r="Q736" s="24">
        <f>IF($B736="","",MONTH($B736))</f>
        <v/>
      </c>
      <c r="R736" s="24">
        <f>IF($B736="","",YEAR($B736))</f>
        <v/>
      </c>
      <c r="S736" s="25">
        <f>IF($B736="","",$B736-WEEKDAY($B736,3))</f>
        <v/>
      </c>
      <c r="T736" s="24">
        <f>IF($B736="",0,IF(COUNTIFS($B$5:$B736,$B736,$D$5:$D736,$D736)=1,1,0))</f>
        <v/>
      </c>
      <c r="U736" s="24">
        <f>IF($B736="",0,IF(COUNTIFS($B$5:$B736,$B736,$C$5:$C736,$C736)=1,1,0))</f>
        <v/>
      </c>
      <c r="V736" s="24">
        <f>IF(OR($B736="",$G736="",$G736="لا توجد مشاهدات"),0,1)</f>
        <v/>
      </c>
      <c r="W736" s="24">
        <f>IF(AND($B736&lt;&gt;"",$I736="تم تحرير مخالفة"),1,0)</f>
        <v/>
      </c>
      <c r="X736" s="24">
        <f>IF($B736="","",IF($S736=WkStart,COUNTIF($S$5:$S736,WkStart),""))</f>
        <v/>
      </c>
    </row>
    <row r="737">
      <c r="A737" s="16">
        <f>IF($B737="","",ROW()-4)</f>
        <v/>
      </c>
      <c r="B737" s="17" t="n"/>
      <c r="C737" s="18" t="n"/>
      <c r="D737" s="18" t="n"/>
      <c r="E737" s="19" t="n"/>
      <c r="F737" s="19" t="n"/>
      <c r="G737" s="18" t="n"/>
      <c r="H737" s="18" t="n"/>
      <c r="I737" s="18" t="n"/>
      <c r="J737" s="20" t="n"/>
      <c r="K737" s="21" t="n"/>
      <c r="L737" s="21" t="n"/>
      <c r="M737" s="18" t="n"/>
      <c r="N737" s="22">
        <f>IF($B737="","",CHOOSE(WEEKDAY($B737),"الأحد","الاثنين","الثلاثاء","الأربعاء","الخميس","الجمعة","السبت"))</f>
        <v/>
      </c>
      <c r="O737" s="23">
        <f>IF(OR($K737="",$L737=""),"",HYPERLINK("https://maps.google.com/?q="&amp;$K737&amp;","&amp;$L737,"عرض الموقع"))</f>
        <v/>
      </c>
      <c r="P737" s="23">
        <f>IF(OR($B737="",N($J737)=0),"",HYPERLINK(PhotoDir&amp;"/"&amp;YEAR($B737)&amp;"-"&amp;TEXT(MONTH($B737),"00")&amp;"-"&amp;TEXT(DAY($B737),"00")&amp;"_"&amp;$D737,"فتح الصور ("&amp;$J737&amp;")"))</f>
        <v/>
      </c>
      <c r="Q737" s="24">
        <f>IF($B737="","",MONTH($B737))</f>
        <v/>
      </c>
      <c r="R737" s="24">
        <f>IF($B737="","",YEAR($B737))</f>
        <v/>
      </c>
      <c r="S737" s="25">
        <f>IF($B737="","",$B737-WEEKDAY($B737,3))</f>
        <v/>
      </c>
      <c r="T737" s="24">
        <f>IF($B737="",0,IF(COUNTIFS($B$5:$B737,$B737,$D$5:$D737,$D737)=1,1,0))</f>
        <v/>
      </c>
      <c r="U737" s="24">
        <f>IF($B737="",0,IF(COUNTIFS($B$5:$B737,$B737,$C$5:$C737,$C737)=1,1,0))</f>
        <v/>
      </c>
      <c r="V737" s="24">
        <f>IF(OR($B737="",$G737="",$G737="لا توجد مشاهدات"),0,1)</f>
        <v/>
      </c>
      <c r="W737" s="24">
        <f>IF(AND($B737&lt;&gt;"",$I737="تم تحرير مخالفة"),1,0)</f>
        <v/>
      </c>
      <c r="X737" s="24">
        <f>IF($B737="","",IF($S737=WkStart,COUNTIF($S$5:$S737,WkStart),""))</f>
        <v/>
      </c>
    </row>
    <row r="738">
      <c r="A738" s="16">
        <f>IF($B738="","",ROW()-4)</f>
        <v/>
      </c>
      <c r="B738" s="17" t="n"/>
      <c r="C738" s="18" t="n"/>
      <c r="D738" s="18" t="n"/>
      <c r="E738" s="19" t="n"/>
      <c r="F738" s="19" t="n"/>
      <c r="G738" s="18" t="n"/>
      <c r="H738" s="18" t="n"/>
      <c r="I738" s="18" t="n"/>
      <c r="J738" s="20" t="n"/>
      <c r="K738" s="21" t="n"/>
      <c r="L738" s="21" t="n"/>
      <c r="M738" s="18" t="n"/>
      <c r="N738" s="22">
        <f>IF($B738="","",CHOOSE(WEEKDAY($B738),"الأحد","الاثنين","الثلاثاء","الأربعاء","الخميس","الجمعة","السبت"))</f>
        <v/>
      </c>
      <c r="O738" s="23">
        <f>IF(OR($K738="",$L738=""),"",HYPERLINK("https://maps.google.com/?q="&amp;$K738&amp;","&amp;$L738,"عرض الموقع"))</f>
        <v/>
      </c>
      <c r="P738" s="23">
        <f>IF(OR($B738="",N($J738)=0),"",HYPERLINK(PhotoDir&amp;"/"&amp;YEAR($B738)&amp;"-"&amp;TEXT(MONTH($B738),"00")&amp;"-"&amp;TEXT(DAY($B738),"00")&amp;"_"&amp;$D738,"فتح الصور ("&amp;$J738&amp;")"))</f>
        <v/>
      </c>
      <c r="Q738" s="24">
        <f>IF($B738="","",MONTH($B738))</f>
        <v/>
      </c>
      <c r="R738" s="24">
        <f>IF($B738="","",YEAR($B738))</f>
        <v/>
      </c>
      <c r="S738" s="25">
        <f>IF($B738="","",$B738-WEEKDAY($B738,3))</f>
        <v/>
      </c>
      <c r="T738" s="24">
        <f>IF($B738="",0,IF(COUNTIFS($B$5:$B738,$B738,$D$5:$D738,$D738)=1,1,0))</f>
        <v/>
      </c>
      <c r="U738" s="24">
        <f>IF($B738="",0,IF(COUNTIFS($B$5:$B738,$B738,$C$5:$C738,$C738)=1,1,0))</f>
        <v/>
      </c>
      <c r="V738" s="24">
        <f>IF(OR($B738="",$G738="",$G738="لا توجد مشاهدات"),0,1)</f>
        <v/>
      </c>
      <c r="W738" s="24">
        <f>IF(AND($B738&lt;&gt;"",$I738="تم تحرير مخالفة"),1,0)</f>
        <v/>
      </c>
      <c r="X738" s="24">
        <f>IF($B738="","",IF($S738=WkStart,COUNTIF($S$5:$S738,WkStart),""))</f>
        <v/>
      </c>
    </row>
    <row r="739">
      <c r="A739" s="16">
        <f>IF($B739="","",ROW()-4)</f>
        <v/>
      </c>
      <c r="B739" s="17" t="n"/>
      <c r="C739" s="18" t="n"/>
      <c r="D739" s="18" t="n"/>
      <c r="E739" s="19" t="n"/>
      <c r="F739" s="19" t="n"/>
      <c r="G739" s="18" t="n"/>
      <c r="H739" s="18" t="n"/>
      <c r="I739" s="18" t="n"/>
      <c r="J739" s="20" t="n"/>
      <c r="K739" s="21" t="n"/>
      <c r="L739" s="21" t="n"/>
      <c r="M739" s="18" t="n"/>
      <c r="N739" s="22">
        <f>IF($B739="","",CHOOSE(WEEKDAY($B739),"الأحد","الاثنين","الثلاثاء","الأربعاء","الخميس","الجمعة","السبت"))</f>
        <v/>
      </c>
      <c r="O739" s="23">
        <f>IF(OR($K739="",$L739=""),"",HYPERLINK("https://maps.google.com/?q="&amp;$K739&amp;","&amp;$L739,"عرض الموقع"))</f>
        <v/>
      </c>
      <c r="P739" s="23">
        <f>IF(OR($B739="",N($J739)=0),"",HYPERLINK(PhotoDir&amp;"/"&amp;YEAR($B739)&amp;"-"&amp;TEXT(MONTH($B739),"00")&amp;"-"&amp;TEXT(DAY($B739),"00")&amp;"_"&amp;$D739,"فتح الصور ("&amp;$J739&amp;")"))</f>
        <v/>
      </c>
      <c r="Q739" s="24">
        <f>IF($B739="","",MONTH($B739))</f>
        <v/>
      </c>
      <c r="R739" s="24">
        <f>IF($B739="","",YEAR($B739))</f>
        <v/>
      </c>
      <c r="S739" s="25">
        <f>IF($B739="","",$B739-WEEKDAY($B739,3))</f>
        <v/>
      </c>
      <c r="T739" s="24">
        <f>IF($B739="",0,IF(COUNTIFS($B$5:$B739,$B739,$D$5:$D739,$D739)=1,1,0))</f>
        <v/>
      </c>
      <c r="U739" s="24">
        <f>IF($B739="",0,IF(COUNTIFS($B$5:$B739,$B739,$C$5:$C739,$C739)=1,1,0))</f>
        <v/>
      </c>
      <c r="V739" s="24">
        <f>IF(OR($B739="",$G739="",$G739="لا توجد مشاهدات"),0,1)</f>
        <v/>
      </c>
      <c r="W739" s="24">
        <f>IF(AND($B739&lt;&gt;"",$I739="تم تحرير مخالفة"),1,0)</f>
        <v/>
      </c>
      <c r="X739" s="24">
        <f>IF($B739="","",IF($S739=WkStart,COUNTIF($S$5:$S739,WkStart),""))</f>
        <v/>
      </c>
    </row>
    <row r="740">
      <c r="A740" s="16">
        <f>IF($B740="","",ROW()-4)</f>
        <v/>
      </c>
      <c r="B740" s="17" t="n"/>
      <c r="C740" s="18" t="n"/>
      <c r="D740" s="18" t="n"/>
      <c r="E740" s="19" t="n"/>
      <c r="F740" s="19" t="n"/>
      <c r="G740" s="18" t="n"/>
      <c r="H740" s="18" t="n"/>
      <c r="I740" s="18" t="n"/>
      <c r="J740" s="20" t="n"/>
      <c r="K740" s="21" t="n"/>
      <c r="L740" s="21" t="n"/>
      <c r="M740" s="18" t="n"/>
      <c r="N740" s="22">
        <f>IF($B740="","",CHOOSE(WEEKDAY($B740),"الأحد","الاثنين","الثلاثاء","الأربعاء","الخميس","الجمعة","السبت"))</f>
        <v/>
      </c>
      <c r="O740" s="23">
        <f>IF(OR($K740="",$L740=""),"",HYPERLINK("https://maps.google.com/?q="&amp;$K740&amp;","&amp;$L740,"عرض الموقع"))</f>
        <v/>
      </c>
      <c r="P740" s="23">
        <f>IF(OR($B740="",N($J740)=0),"",HYPERLINK(PhotoDir&amp;"/"&amp;YEAR($B740)&amp;"-"&amp;TEXT(MONTH($B740),"00")&amp;"-"&amp;TEXT(DAY($B740),"00")&amp;"_"&amp;$D740,"فتح الصور ("&amp;$J740&amp;")"))</f>
        <v/>
      </c>
      <c r="Q740" s="24">
        <f>IF($B740="","",MONTH($B740))</f>
        <v/>
      </c>
      <c r="R740" s="24">
        <f>IF($B740="","",YEAR($B740))</f>
        <v/>
      </c>
      <c r="S740" s="25">
        <f>IF($B740="","",$B740-WEEKDAY($B740,3))</f>
        <v/>
      </c>
      <c r="T740" s="24">
        <f>IF($B740="",0,IF(COUNTIFS($B$5:$B740,$B740,$D$5:$D740,$D740)=1,1,0))</f>
        <v/>
      </c>
      <c r="U740" s="24">
        <f>IF($B740="",0,IF(COUNTIFS($B$5:$B740,$B740,$C$5:$C740,$C740)=1,1,0))</f>
        <v/>
      </c>
      <c r="V740" s="24">
        <f>IF(OR($B740="",$G740="",$G740="لا توجد مشاهدات"),0,1)</f>
        <v/>
      </c>
      <c r="W740" s="24">
        <f>IF(AND($B740&lt;&gt;"",$I740="تم تحرير مخالفة"),1,0)</f>
        <v/>
      </c>
      <c r="X740" s="24">
        <f>IF($B740="","",IF($S740=WkStart,COUNTIF($S$5:$S740,WkStart),""))</f>
        <v/>
      </c>
    </row>
    <row r="741">
      <c r="A741" s="16">
        <f>IF($B741="","",ROW()-4)</f>
        <v/>
      </c>
      <c r="B741" s="17" t="n"/>
      <c r="C741" s="18" t="n"/>
      <c r="D741" s="18" t="n"/>
      <c r="E741" s="19" t="n"/>
      <c r="F741" s="19" t="n"/>
      <c r="G741" s="18" t="n"/>
      <c r="H741" s="18" t="n"/>
      <c r="I741" s="18" t="n"/>
      <c r="J741" s="20" t="n"/>
      <c r="K741" s="21" t="n"/>
      <c r="L741" s="21" t="n"/>
      <c r="M741" s="18" t="n"/>
      <c r="N741" s="22">
        <f>IF($B741="","",CHOOSE(WEEKDAY($B741),"الأحد","الاثنين","الثلاثاء","الأربعاء","الخميس","الجمعة","السبت"))</f>
        <v/>
      </c>
      <c r="O741" s="23">
        <f>IF(OR($K741="",$L741=""),"",HYPERLINK("https://maps.google.com/?q="&amp;$K741&amp;","&amp;$L741,"عرض الموقع"))</f>
        <v/>
      </c>
      <c r="P741" s="23">
        <f>IF(OR($B741="",N($J741)=0),"",HYPERLINK(PhotoDir&amp;"/"&amp;YEAR($B741)&amp;"-"&amp;TEXT(MONTH($B741),"00")&amp;"-"&amp;TEXT(DAY($B741),"00")&amp;"_"&amp;$D741,"فتح الصور ("&amp;$J741&amp;")"))</f>
        <v/>
      </c>
      <c r="Q741" s="24">
        <f>IF($B741="","",MONTH($B741))</f>
        <v/>
      </c>
      <c r="R741" s="24">
        <f>IF($B741="","",YEAR($B741))</f>
        <v/>
      </c>
      <c r="S741" s="25">
        <f>IF($B741="","",$B741-WEEKDAY($B741,3))</f>
        <v/>
      </c>
      <c r="T741" s="24">
        <f>IF($B741="",0,IF(COUNTIFS($B$5:$B741,$B741,$D$5:$D741,$D741)=1,1,0))</f>
        <v/>
      </c>
      <c r="U741" s="24">
        <f>IF($B741="",0,IF(COUNTIFS($B$5:$B741,$B741,$C$5:$C741,$C741)=1,1,0))</f>
        <v/>
      </c>
      <c r="V741" s="24">
        <f>IF(OR($B741="",$G741="",$G741="لا توجد مشاهدات"),0,1)</f>
        <v/>
      </c>
      <c r="W741" s="24">
        <f>IF(AND($B741&lt;&gt;"",$I741="تم تحرير مخالفة"),1,0)</f>
        <v/>
      </c>
      <c r="X741" s="24">
        <f>IF($B741="","",IF($S741=WkStart,COUNTIF($S$5:$S741,WkStart),""))</f>
        <v/>
      </c>
    </row>
    <row r="742">
      <c r="A742" s="16">
        <f>IF($B742="","",ROW()-4)</f>
        <v/>
      </c>
      <c r="B742" s="17" t="n"/>
      <c r="C742" s="18" t="n"/>
      <c r="D742" s="18" t="n"/>
      <c r="E742" s="19" t="n"/>
      <c r="F742" s="19" t="n"/>
      <c r="G742" s="18" t="n"/>
      <c r="H742" s="18" t="n"/>
      <c r="I742" s="18" t="n"/>
      <c r="J742" s="20" t="n"/>
      <c r="K742" s="21" t="n"/>
      <c r="L742" s="21" t="n"/>
      <c r="M742" s="18" t="n"/>
      <c r="N742" s="22">
        <f>IF($B742="","",CHOOSE(WEEKDAY($B742),"الأحد","الاثنين","الثلاثاء","الأربعاء","الخميس","الجمعة","السبت"))</f>
        <v/>
      </c>
      <c r="O742" s="23">
        <f>IF(OR($K742="",$L742=""),"",HYPERLINK("https://maps.google.com/?q="&amp;$K742&amp;","&amp;$L742,"عرض الموقع"))</f>
        <v/>
      </c>
      <c r="P742" s="23">
        <f>IF(OR($B742="",N($J742)=0),"",HYPERLINK(PhotoDir&amp;"/"&amp;YEAR($B742)&amp;"-"&amp;TEXT(MONTH($B742),"00")&amp;"-"&amp;TEXT(DAY($B742),"00")&amp;"_"&amp;$D742,"فتح الصور ("&amp;$J742&amp;")"))</f>
        <v/>
      </c>
      <c r="Q742" s="24">
        <f>IF($B742="","",MONTH($B742))</f>
        <v/>
      </c>
      <c r="R742" s="24">
        <f>IF($B742="","",YEAR($B742))</f>
        <v/>
      </c>
      <c r="S742" s="25">
        <f>IF($B742="","",$B742-WEEKDAY($B742,3))</f>
        <v/>
      </c>
      <c r="T742" s="24">
        <f>IF($B742="",0,IF(COUNTIFS($B$5:$B742,$B742,$D$5:$D742,$D742)=1,1,0))</f>
        <v/>
      </c>
      <c r="U742" s="24">
        <f>IF($B742="",0,IF(COUNTIFS($B$5:$B742,$B742,$C$5:$C742,$C742)=1,1,0))</f>
        <v/>
      </c>
      <c r="V742" s="24">
        <f>IF(OR($B742="",$G742="",$G742="لا توجد مشاهدات"),0,1)</f>
        <v/>
      </c>
      <c r="W742" s="24">
        <f>IF(AND($B742&lt;&gt;"",$I742="تم تحرير مخالفة"),1,0)</f>
        <v/>
      </c>
      <c r="X742" s="24">
        <f>IF($B742="","",IF($S742=WkStart,COUNTIF($S$5:$S742,WkStart),""))</f>
        <v/>
      </c>
    </row>
    <row r="743">
      <c r="A743" s="16">
        <f>IF($B743="","",ROW()-4)</f>
        <v/>
      </c>
      <c r="B743" s="17" t="n"/>
      <c r="C743" s="18" t="n"/>
      <c r="D743" s="18" t="n"/>
      <c r="E743" s="19" t="n"/>
      <c r="F743" s="19" t="n"/>
      <c r="G743" s="18" t="n"/>
      <c r="H743" s="18" t="n"/>
      <c r="I743" s="18" t="n"/>
      <c r="J743" s="20" t="n"/>
      <c r="K743" s="21" t="n"/>
      <c r="L743" s="21" t="n"/>
      <c r="M743" s="18" t="n"/>
      <c r="N743" s="22">
        <f>IF($B743="","",CHOOSE(WEEKDAY($B743),"الأحد","الاثنين","الثلاثاء","الأربعاء","الخميس","الجمعة","السبت"))</f>
        <v/>
      </c>
      <c r="O743" s="23">
        <f>IF(OR($K743="",$L743=""),"",HYPERLINK("https://maps.google.com/?q="&amp;$K743&amp;","&amp;$L743,"عرض الموقع"))</f>
        <v/>
      </c>
      <c r="P743" s="23">
        <f>IF(OR($B743="",N($J743)=0),"",HYPERLINK(PhotoDir&amp;"/"&amp;YEAR($B743)&amp;"-"&amp;TEXT(MONTH($B743),"00")&amp;"-"&amp;TEXT(DAY($B743),"00")&amp;"_"&amp;$D743,"فتح الصور ("&amp;$J743&amp;")"))</f>
        <v/>
      </c>
      <c r="Q743" s="24">
        <f>IF($B743="","",MONTH($B743))</f>
        <v/>
      </c>
      <c r="R743" s="24">
        <f>IF($B743="","",YEAR($B743))</f>
        <v/>
      </c>
      <c r="S743" s="25">
        <f>IF($B743="","",$B743-WEEKDAY($B743,3))</f>
        <v/>
      </c>
      <c r="T743" s="24">
        <f>IF($B743="",0,IF(COUNTIFS($B$5:$B743,$B743,$D$5:$D743,$D743)=1,1,0))</f>
        <v/>
      </c>
      <c r="U743" s="24">
        <f>IF($B743="",0,IF(COUNTIFS($B$5:$B743,$B743,$C$5:$C743,$C743)=1,1,0))</f>
        <v/>
      </c>
      <c r="V743" s="24">
        <f>IF(OR($B743="",$G743="",$G743="لا توجد مشاهدات"),0,1)</f>
        <v/>
      </c>
      <c r="W743" s="24">
        <f>IF(AND($B743&lt;&gt;"",$I743="تم تحرير مخالفة"),1,0)</f>
        <v/>
      </c>
      <c r="X743" s="24">
        <f>IF($B743="","",IF($S743=WkStart,COUNTIF($S$5:$S743,WkStart),""))</f>
        <v/>
      </c>
    </row>
    <row r="744">
      <c r="A744" s="16">
        <f>IF($B744="","",ROW()-4)</f>
        <v/>
      </c>
      <c r="B744" s="17" t="n"/>
      <c r="C744" s="18" t="n"/>
      <c r="D744" s="18" t="n"/>
      <c r="E744" s="19" t="n"/>
      <c r="F744" s="19" t="n"/>
      <c r="G744" s="18" t="n"/>
      <c r="H744" s="18" t="n"/>
      <c r="I744" s="18" t="n"/>
      <c r="J744" s="20" t="n"/>
      <c r="K744" s="21" t="n"/>
      <c r="L744" s="21" t="n"/>
      <c r="M744" s="18" t="n"/>
      <c r="N744" s="22">
        <f>IF($B744="","",CHOOSE(WEEKDAY($B744),"الأحد","الاثنين","الثلاثاء","الأربعاء","الخميس","الجمعة","السبت"))</f>
        <v/>
      </c>
      <c r="O744" s="23">
        <f>IF(OR($K744="",$L744=""),"",HYPERLINK("https://maps.google.com/?q="&amp;$K744&amp;","&amp;$L744,"عرض الموقع"))</f>
        <v/>
      </c>
      <c r="P744" s="23">
        <f>IF(OR($B744="",N($J744)=0),"",HYPERLINK(PhotoDir&amp;"/"&amp;YEAR($B744)&amp;"-"&amp;TEXT(MONTH($B744),"00")&amp;"-"&amp;TEXT(DAY($B744),"00")&amp;"_"&amp;$D744,"فتح الصور ("&amp;$J744&amp;")"))</f>
        <v/>
      </c>
      <c r="Q744" s="24">
        <f>IF($B744="","",MONTH($B744))</f>
        <v/>
      </c>
      <c r="R744" s="24">
        <f>IF($B744="","",YEAR($B744))</f>
        <v/>
      </c>
      <c r="S744" s="25">
        <f>IF($B744="","",$B744-WEEKDAY($B744,3))</f>
        <v/>
      </c>
      <c r="T744" s="24">
        <f>IF($B744="",0,IF(COUNTIFS($B$5:$B744,$B744,$D$5:$D744,$D744)=1,1,0))</f>
        <v/>
      </c>
      <c r="U744" s="24">
        <f>IF($B744="",0,IF(COUNTIFS($B$5:$B744,$B744,$C$5:$C744,$C744)=1,1,0))</f>
        <v/>
      </c>
      <c r="V744" s="24">
        <f>IF(OR($B744="",$G744="",$G744="لا توجد مشاهدات"),0,1)</f>
        <v/>
      </c>
      <c r="W744" s="24">
        <f>IF(AND($B744&lt;&gt;"",$I744="تم تحرير مخالفة"),1,0)</f>
        <v/>
      </c>
      <c r="X744" s="24">
        <f>IF($B744="","",IF($S744=WkStart,COUNTIF($S$5:$S744,WkStart),""))</f>
        <v/>
      </c>
    </row>
    <row r="745">
      <c r="A745" s="16">
        <f>IF($B745="","",ROW()-4)</f>
        <v/>
      </c>
      <c r="B745" s="17" t="n"/>
      <c r="C745" s="18" t="n"/>
      <c r="D745" s="18" t="n"/>
      <c r="E745" s="19" t="n"/>
      <c r="F745" s="19" t="n"/>
      <c r="G745" s="18" t="n"/>
      <c r="H745" s="18" t="n"/>
      <c r="I745" s="18" t="n"/>
      <c r="J745" s="20" t="n"/>
      <c r="K745" s="21" t="n"/>
      <c r="L745" s="21" t="n"/>
      <c r="M745" s="18" t="n"/>
      <c r="N745" s="22">
        <f>IF($B745="","",CHOOSE(WEEKDAY($B745),"الأحد","الاثنين","الثلاثاء","الأربعاء","الخميس","الجمعة","السبت"))</f>
        <v/>
      </c>
      <c r="O745" s="23">
        <f>IF(OR($K745="",$L745=""),"",HYPERLINK("https://maps.google.com/?q="&amp;$K745&amp;","&amp;$L745,"عرض الموقع"))</f>
        <v/>
      </c>
      <c r="P745" s="23">
        <f>IF(OR($B745="",N($J745)=0),"",HYPERLINK(PhotoDir&amp;"/"&amp;YEAR($B745)&amp;"-"&amp;TEXT(MONTH($B745),"00")&amp;"-"&amp;TEXT(DAY($B745),"00")&amp;"_"&amp;$D745,"فتح الصور ("&amp;$J745&amp;")"))</f>
        <v/>
      </c>
      <c r="Q745" s="24">
        <f>IF($B745="","",MONTH($B745))</f>
        <v/>
      </c>
      <c r="R745" s="24">
        <f>IF($B745="","",YEAR($B745))</f>
        <v/>
      </c>
      <c r="S745" s="25">
        <f>IF($B745="","",$B745-WEEKDAY($B745,3))</f>
        <v/>
      </c>
      <c r="T745" s="24">
        <f>IF($B745="",0,IF(COUNTIFS($B$5:$B745,$B745,$D$5:$D745,$D745)=1,1,0))</f>
        <v/>
      </c>
      <c r="U745" s="24">
        <f>IF($B745="",0,IF(COUNTIFS($B$5:$B745,$B745,$C$5:$C745,$C745)=1,1,0))</f>
        <v/>
      </c>
      <c r="V745" s="24">
        <f>IF(OR($B745="",$G745="",$G745="لا توجد مشاهدات"),0,1)</f>
        <v/>
      </c>
      <c r="W745" s="24">
        <f>IF(AND($B745&lt;&gt;"",$I745="تم تحرير مخالفة"),1,0)</f>
        <v/>
      </c>
      <c r="X745" s="24">
        <f>IF($B745="","",IF($S745=WkStart,COUNTIF($S$5:$S745,WkStart),""))</f>
        <v/>
      </c>
    </row>
    <row r="746">
      <c r="A746" s="16">
        <f>IF($B746="","",ROW()-4)</f>
        <v/>
      </c>
      <c r="B746" s="17" t="n"/>
      <c r="C746" s="18" t="n"/>
      <c r="D746" s="18" t="n"/>
      <c r="E746" s="19" t="n"/>
      <c r="F746" s="19" t="n"/>
      <c r="G746" s="18" t="n"/>
      <c r="H746" s="18" t="n"/>
      <c r="I746" s="18" t="n"/>
      <c r="J746" s="20" t="n"/>
      <c r="K746" s="21" t="n"/>
      <c r="L746" s="21" t="n"/>
      <c r="M746" s="18" t="n"/>
      <c r="N746" s="22">
        <f>IF($B746="","",CHOOSE(WEEKDAY($B746),"الأحد","الاثنين","الثلاثاء","الأربعاء","الخميس","الجمعة","السبت"))</f>
        <v/>
      </c>
      <c r="O746" s="23">
        <f>IF(OR($K746="",$L746=""),"",HYPERLINK("https://maps.google.com/?q="&amp;$K746&amp;","&amp;$L746,"عرض الموقع"))</f>
        <v/>
      </c>
      <c r="P746" s="23">
        <f>IF(OR($B746="",N($J746)=0),"",HYPERLINK(PhotoDir&amp;"/"&amp;YEAR($B746)&amp;"-"&amp;TEXT(MONTH($B746),"00")&amp;"-"&amp;TEXT(DAY($B746),"00")&amp;"_"&amp;$D746,"فتح الصور ("&amp;$J746&amp;")"))</f>
        <v/>
      </c>
      <c r="Q746" s="24">
        <f>IF($B746="","",MONTH($B746))</f>
        <v/>
      </c>
      <c r="R746" s="24">
        <f>IF($B746="","",YEAR($B746))</f>
        <v/>
      </c>
      <c r="S746" s="25">
        <f>IF($B746="","",$B746-WEEKDAY($B746,3))</f>
        <v/>
      </c>
      <c r="T746" s="24">
        <f>IF($B746="",0,IF(COUNTIFS($B$5:$B746,$B746,$D$5:$D746,$D746)=1,1,0))</f>
        <v/>
      </c>
      <c r="U746" s="24">
        <f>IF($B746="",0,IF(COUNTIFS($B$5:$B746,$B746,$C$5:$C746,$C746)=1,1,0))</f>
        <v/>
      </c>
      <c r="V746" s="24">
        <f>IF(OR($B746="",$G746="",$G746="لا توجد مشاهدات"),0,1)</f>
        <v/>
      </c>
      <c r="W746" s="24">
        <f>IF(AND($B746&lt;&gt;"",$I746="تم تحرير مخالفة"),1,0)</f>
        <v/>
      </c>
      <c r="X746" s="24">
        <f>IF($B746="","",IF($S746=WkStart,COUNTIF($S$5:$S746,WkStart),""))</f>
        <v/>
      </c>
    </row>
    <row r="747">
      <c r="A747" s="16">
        <f>IF($B747="","",ROW()-4)</f>
        <v/>
      </c>
      <c r="B747" s="17" t="n"/>
      <c r="C747" s="18" t="n"/>
      <c r="D747" s="18" t="n"/>
      <c r="E747" s="19" t="n"/>
      <c r="F747" s="19" t="n"/>
      <c r="G747" s="18" t="n"/>
      <c r="H747" s="18" t="n"/>
      <c r="I747" s="18" t="n"/>
      <c r="J747" s="20" t="n"/>
      <c r="K747" s="21" t="n"/>
      <c r="L747" s="21" t="n"/>
      <c r="M747" s="18" t="n"/>
      <c r="N747" s="22">
        <f>IF($B747="","",CHOOSE(WEEKDAY($B747),"الأحد","الاثنين","الثلاثاء","الأربعاء","الخميس","الجمعة","السبت"))</f>
        <v/>
      </c>
      <c r="O747" s="23">
        <f>IF(OR($K747="",$L747=""),"",HYPERLINK("https://maps.google.com/?q="&amp;$K747&amp;","&amp;$L747,"عرض الموقع"))</f>
        <v/>
      </c>
      <c r="P747" s="23">
        <f>IF(OR($B747="",N($J747)=0),"",HYPERLINK(PhotoDir&amp;"/"&amp;YEAR($B747)&amp;"-"&amp;TEXT(MONTH($B747),"00")&amp;"-"&amp;TEXT(DAY($B747),"00")&amp;"_"&amp;$D747,"فتح الصور ("&amp;$J747&amp;")"))</f>
        <v/>
      </c>
      <c r="Q747" s="24">
        <f>IF($B747="","",MONTH($B747))</f>
        <v/>
      </c>
      <c r="R747" s="24">
        <f>IF($B747="","",YEAR($B747))</f>
        <v/>
      </c>
      <c r="S747" s="25">
        <f>IF($B747="","",$B747-WEEKDAY($B747,3))</f>
        <v/>
      </c>
      <c r="T747" s="24">
        <f>IF($B747="",0,IF(COUNTIFS($B$5:$B747,$B747,$D$5:$D747,$D747)=1,1,0))</f>
        <v/>
      </c>
      <c r="U747" s="24">
        <f>IF($B747="",0,IF(COUNTIFS($B$5:$B747,$B747,$C$5:$C747,$C747)=1,1,0))</f>
        <v/>
      </c>
      <c r="V747" s="24">
        <f>IF(OR($B747="",$G747="",$G747="لا توجد مشاهدات"),0,1)</f>
        <v/>
      </c>
      <c r="W747" s="24">
        <f>IF(AND($B747&lt;&gt;"",$I747="تم تحرير مخالفة"),1,0)</f>
        <v/>
      </c>
      <c r="X747" s="24">
        <f>IF($B747="","",IF($S747=WkStart,COUNTIF($S$5:$S747,WkStart),""))</f>
        <v/>
      </c>
    </row>
    <row r="748">
      <c r="A748" s="16">
        <f>IF($B748="","",ROW()-4)</f>
        <v/>
      </c>
      <c r="B748" s="17" t="n"/>
      <c r="C748" s="18" t="n"/>
      <c r="D748" s="18" t="n"/>
      <c r="E748" s="19" t="n"/>
      <c r="F748" s="19" t="n"/>
      <c r="G748" s="18" t="n"/>
      <c r="H748" s="18" t="n"/>
      <c r="I748" s="18" t="n"/>
      <c r="J748" s="20" t="n"/>
      <c r="K748" s="21" t="n"/>
      <c r="L748" s="21" t="n"/>
      <c r="M748" s="18" t="n"/>
      <c r="N748" s="22">
        <f>IF($B748="","",CHOOSE(WEEKDAY($B748),"الأحد","الاثنين","الثلاثاء","الأربعاء","الخميس","الجمعة","السبت"))</f>
        <v/>
      </c>
      <c r="O748" s="23">
        <f>IF(OR($K748="",$L748=""),"",HYPERLINK("https://maps.google.com/?q="&amp;$K748&amp;","&amp;$L748,"عرض الموقع"))</f>
        <v/>
      </c>
      <c r="P748" s="23">
        <f>IF(OR($B748="",N($J748)=0),"",HYPERLINK(PhotoDir&amp;"/"&amp;YEAR($B748)&amp;"-"&amp;TEXT(MONTH($B748),"00")&amp;"-"&amp;TEXT(DAY($B748),"00")&amp;"_"&amp;$D748,"فتح الصور ("&amp;$J748&amp;")"))</f>
        <v/>
      </c>
      <c r="Q748" s="24">
        <f>IF($B748="","",MONTH($B748))</f>
        <v/>
      </c>
      <c r="R748" s="24">
        <f>IF($B748="","",YEAR($B748))</f>
        <v/>
      </c>
      <c r="S748" s="25">
        <f>IF($B748="","",$B748-WEEKDAY($B748,3))</f>
        <v/>
      </c>
      <c r="T748" s="24">
        <f>IF($B748="",0,IF(COUNTIFS($B$5:$B748,$B748,$D$5:$D748,$D748)=1,1,0))</f>
        <v/>
      </c>
      <c r="U748" s="24">
        <f>IF($B748="",0,IF(COUNTIFS($B$5:$B748,$B748,$C$5:$C748,$C748)=1,1,0))</f>
        <v/>
      </c>
      <c r="V748" s="24">
        <f>IF(OR($B748="",$G748="",$G748="لا توجد مشاهدات"),0,1)</f>
        <v/>
      </c>
      <c r="W748" s="24">
        <f>IF(AND($B748&lt;&gt;"",$I748="تم تحرير مخالفة"),1,0)</f>
        <v/>
      </c>
      <c r="X748" s="24">
        <f>IF($B748="","",IF($S748=WkStart,COUNTIF($S$5:$S748,WkStart),""))</f>
        <v/>
      </c>
    </row>
    <row r="749">
      <c r="A749" s="16">
        <f>IF($B749="","",ROW()-4)</f>
        <v/>
      </c>
      <c r="B749" s="17" t="n"/>
      <c r="C749" s="18" t="n"/>
      <c r="D749" s="18" t="n"/>
      <c r="E749" s="19" t="n"/>
      <c r="F749" s="19" t="n"/>
      <c r="G749" s="18" t="n"/>
      <c r="H749" s="18" t="n"/>
      <c r="I749" s="18" t="n"/>
      <c r="J749" s="20" t="n"/>
      <c r="K749" s="21" t="n"/>
      <c r="L749" s="21" t="n"/>
      <c r="M749" s="18" t="n"/>
      <c r="N749" s="22">
        <f>IF($B749="","",CHOOSE(WEEKDAY($B749),"الأحد","الاثنين","الثلاثاء","الأربعاء","الخميس","الجمعة","السبت"))</f>
        <v/>
      </c>
      <c r="O749" s="23">
        <f>IF(OR($K749="",$L749=""),"",HYPERLINK("https://maps.google.com/?q="&amp;$K749&amp;","&amp;$L749,"عرض الموقع"))</f>
        <v/>
      </c>
      <c r="P749" s="23">
        <f>IF(OR($B749="",N($J749)=0),"",HYPERLINK(PhotoDir&amp;"/"&amp;YEAR($B749)&amp;"-"&amp;TEXT(MONTH($B749),"00")&amp;"-"&amp;TEXT(DAY($B749),"00")&amp;"_"&amp;$D749,"فتح الصور ("&amp;$J749&amp;")"))</f>
        <v/>
      </c>
      <c r="Q749" s="24">
        <f>IF($B749="","",MONTH($B749))</f>
        <v/>
      </c>
      <c r="R749" s="24">
        <f>IF($B749="","",YEAR($B749))</f>
        <v/>
      </c>
      <c r="S749" s="25">
        <f>IF($B749="","",$B749-WEEKDAY($B749,3))</f>
        <v/>
      </c>
      <c r="T749" s="24">
        <f>IF($B749="",0,IF(COUNTIFS($B$5:$B749,$B749,$D$5:$D749,$D749)=1,1,0))</f>
        <v/>
      </c>
      <c r="U749" s="24">
        <f>IF($B749="",0,IF(COUNTIFS($B$5:$B749,$B749,$C$5:$C749,$C749)=1,1,0))</f>
        <v/>
      </c>
      <c r="V749" s="24">
        <f>IF(OR($B749="",$G749="",$G749="لا توجد مشاهدات"),0,1)</f>
        <v/>
      </c>
      <c r="W749" s="24">
        <f>IF(AND($B749&lt;&gt;"",$I749="تم تحرير مخالفة"),1,0)</f>
        <v/>
      </c>
      <c r="X749" s="24">
        <f>IF($B749="","",IF($S749=WkStart,COUNTIF($S$5:$S749,WkStart),""))</f>
        <v/>
      </c>
    </row>
    <row r="750">
      <c r="A750" s="16">
        <f>IF($B750="","",ROW()-4)</f>
        <v/>
      </c>
      <c r="B750" s="17" t="n"/>
      <c r="C750" s="18" t="n"/>
      <c r="D750" s="18" t="n"/>
      <c r="E750" s="19" t="n"/>
      <c r="F750" s="19" t="n"/>
      <c r="G750" s="18" t="n"/>
      <c r="H750" s="18" t="n"/>
      <c r="I750" s="18" t="n"/>
      <c r="J750" s="20" t="n"/>
      <c r="K750" s="21" t="n"/>
      <c r="L750" s="21" t="n"/>
      <c r="M750" s="18" t="n"/>
      <c r="N750" s="22">
        <f>IF($B750="","",CHOOSE(WEEKDAY($B750),"الأحد","الاثنين","الثلاثاء","الأربعاء","الخميس","الجمعة","السبت"))</f>
        <v/>
      </c>
      <c r="O750" s="23">
        <f>IF(OR($K750="",$L750=""),"",HYPERLINK("https://maps.google.com/?q="&amp;$K750&amp;","&amp;$L750,"عرض الموقع"))</f>
        <v/>
      </c>
      <c r="P750" s="23">
        <f>IF(OR($B750="",N($J750)=0),"",HYPERLINK(PhotoDir&amp;"/"&amp;YEAR($B750)&amp;"-"&amp;TEXT(MONTH($B750),"00")&amp;"-"&amp;TEXT(DAY($B750),"00")&amp;"_"&amp;$D750,"فتح الصور ("&amp;$J750&amp;")"))</f>
        <v/>
      </c>
      <c r="Q750" s="24">
        <f>IF($B750="","",MONTH($B750))</f>
        <v/>
      </c>
      <c r="R750" s="24">
        <f>IF($B750="","",YEAR($B750))</f>
        <v/>
      </c>
      <c r="S750" s="25">
        <f>IF($B750="","",$B750-WEEKDAY($B750,3))</f>
        <v/>
      </c>
      <c r="T750" s="24">
        <f>IF($B750="",0,IF(COUNTIFS($B$5:$B750,$B750,$D$5:$D750,$D750)=1,1,0))</f>
        <v/>
      </c>
      <c r="U750" s="24">
        <f>IF($B750="",0,IF(COUNTIFS($B$5:$B750,$B750,$C$5:$C750,$C750)=1,1,0))</f>
        <v/>
      </c>
      <c r="V750" s="24">
        <f>IF(OR($B750="",$G750="",$G750="لا توجد مشاهدات"),0,1)</f>
        <v/>
      </c>
      <c r="W750" s="24">
        <f>IF(AND($B750&lt;&gt;"",$I750="تم تحرير مخالفة"),1,0)</f>
        <v/>
      </c>
      <c r="X750" s="24">
        <f>IF($B750="","",IF($S750=WkStart,COUNTIF($S$5:$S750,WkStart),""))</f>
        <v/>
      </c>
    </row>
    <row r="751">
      <c r="A751" s="16">
        <f>IF($B751="","",ROW()-4)</f>
        <v/>
      </c>
      <c r="B751" s="17" t="n"/>
      <c r="C751" s="18" t="n"/>
      <c r="D751" s="18" t="n"/>
      <c r="E751" s="19" t="n"/>
      <c r="F751" s="19" t="n"/>
      <c r="G751" s="18" t="n"/>
      <c r="H751" s="18" t="n"/>
      <c r="I751" s="18" t="n"/>
      <c r="J751" s="20" t="n"/>
      <c r="K751" s="21" t="n"/>
      <c r="L751" s="21" t="n"/>
      <c r="M751" s="18" t="n"/>
      <c r="N751" s="22">
        <f>IF($B751="","",CHOOSE(WEEKDAY($B751),"الأحد","الاثنين","الثلاثاء","الأربعاء","الخميس","الجمعة","السبت"))</f>
        <v/>
      </c>
      <c r="O751" s="23">
        <f>IF(OR($K751="",$L751=""),"",HYPERLINK("https://maps.google.com/?q="&amp;$K751&amp;","&amp;$L751,"عرض الموقع"))</f>
        <v/>
      </c>
      <c r="P751" s="23">
        <f>IF(OR($B751="",N($J751)=0),"",HYPERLINK(PhotoDir&amp;"/"&amp;YEAR($B751)&amp;"-"&amp;TEXT(MONTH($B751),"00")&amp;"-"&amp;TEXT(DAY($B751),"00")&amp;"_"&amp;$D751,"فتح الصور ("&amp;$J751&amp;")"))</f>
        <v/>
      </c>
      <c r="Q751" s="24">
        <f>IF($B751="","",MONTH($B751))</f>
        <v/>
      </c>
      <c r="R751" s="24">
        <f>IF($B751="","",YEAR($B751))</f>
        <v/>
      </c>
      <c r="S751" s="25">
        <f>IF($B751="","",$B751-WEEKDAY($B751,3))</f>
        <v/>
      </c>
      <c r="T751" s="24">
        <f>IF($B751="",0,IF(COUNTIFS($B$5:$B751,$B751,$D$5:$D751,$D751)=1,1,0))</f>
        <v/>
      </c>
      <c r="U751" s="24">
        <f>IF($B751="",0,IF(COUNTIFS($B$5:$B751,$B751,$C$5:$C751,$C751)=1,1,0))</f>
        <v/>
      </c>
      <c r="V751" s="24">
        <f>IF(OR($B751="",$G751="",$G751="لا توجد مشاهدات"),0,1)</f>
        <v/>
      </c>
      <c r="W751" s="24">
        <f>IF(AND($B751&lt;&gt;"",$I751="تم تحرير مخالفة"),1,0)</f>
        <v/>
      </c>
      <c r="X751" s="24">
        <f>IF($B751="","",IF($S751=WkStart,COUNTIF($S$5:$S751,WkStart),""))</f>
        <v/>
      </c>
    </row>
    <row r="752">
      <c r="A752" s="16">
        <f>IF($B752="","",ROW()-4)</f>
        <v/>
      </c>
      <c r="B752" s="17" t="n"/>
      <c r="C752" s="18" t="n"/>
      <c r="D752" s="18" t="n"/>
      <c r="E752" s="19" t="n"/>
      <c r="F752" s="19" t="n"/>
      <c r="G752" s="18" t="n"/>
      <c r="H752" s="18" t="n"/>
      <c r="I752" s="18" t="n"/>
      <c r="J752" s="20" t="n"/>
      <c r="K752" s="21" t="n"/>
      <c r="L752" s="21" t="n"/>
      <c r="M752" s="18" t="n"/>
      <c r="N752" s="22">
        <f>IF($B752="","",CHOOSE(WEEKDAY($B752),"الأحد","الاثنين","الثلاثاء","الأربعاء","الخميس","الجمعة","السبت"))</f>
        <v/>
      </c>
      <c r="O752" s="23">
        <f>IF(OR($K752="",$L752=""),"",HYPERLINK("https://maps.google.com/?q="&amp;$K752&amp;","&amp;$L752,"عرض الموقع"))</f>
        <v/>
      </c>
      <c r="P752" s="23">
        <f>IF(OR($B752="",N($J752)=0),"",HYPERLINK(PhotoDir&amp;"/"&amp;YEAR($B752)&amp;"-"&amp;TEXT(MONTH($B752),"00")&amp;"-"&amp;TEXT(DAY($B752),"00")&amp;"_"&amp;$D752,"فتح الصور ("&amp;$J752&amp;")"))</f>
        <v/>
      </c>
      <c r="Q752" s="24">
        <f>IF($B752="","",MONTH($B752))</f>
        <v/>
      </c>
      <c r="R752" s="24">
        <f>IF($B752="","",YEAR($B752))</f>
        <v/>
      </c>
      <c r="S752" s="25">
        <f>IF($B752="","",$B752-WEEKDAY($B752,3))</f>
        <v/>
      </c>
      <c r="T752" s="24">
        <f>IF($B752="",0,IF(COUNTIFS($B$5:$B752,$B752,$D$5:$D752,$D752)=1,1,0))</f>
        <v/>
      </c>
      <c r="U752" s="24">
        <f>IF($B752="",0,IF(COUNTIFS($B$5:$B752,$B752,$C$5:$C752,$C752)=1,1,0))</f>
        <v/>
      </c>
      <c r="V752" s="24">
        <f>IF(OR($B752="",$G752="",$G752="لا توجد مشاهدات"),0,1)</f>
        <v/>
      </c>
      <c r="W752" s="24">
        <f>IF(AND($B752&lt;&gt;"",$I752="تم تحرير مخالفة"),1,0)</f>
        <v/>
      </c>
      <c r="X752" s="24">
        <f>IF($B752="","",IF($S752=WkStart,COUNTIF($S$5:$S752,WkStart),""))</f>
        <v/>
      </c>
    </row>
    <row r="753">
      <c r="A753" s="16">
        <f>IF($B753="","",ROW()-4)</f>
        <v/>
      </c>
      <c r="B753" s="17" t="n"/>
      <c r="C753" s="18" t="n"/>
      <c r="D753" s="18" t="n"/>
      <c r="E753" s="19" t="n"/>
      <c r="F753" s="19" t="n"/>
      <c r="G753" s="18" t="n"/>
      <c r="H753" s="18" t="n"/>
      <c r="I753" s="18" t="n"/>
      <c r="J753" s="20" t="n"/>
      <c r="K753" s="21" t="n"/>
      <c r="L753" s="21" t="n"/>
      <c r="M753" s="18" t="n"/>
      <c r="N753" s="22">
        <f>IF($B753="","",CHOOSE(WEEKDAY($B753),"الأحد","الاثنين","الثلاثاء","الأربعاء","الخميس","الجمعة","السبت"))</f>
        <v/>
      </c>
      <c r="O753" s="23">
        <f>IF(OR($K753="",$L753=""),"",HYPERLINK("https://maps.google.com/?q="&amp;$K753&amp;","&amp;$L753,"عرض الموقع"))</f>
        <v/>
      </c>
      <c r="P753" s="23">
        <f>IF(OR($B753="",N($J753)=0),"",HYPERLINK(PhotoDir&amp;"/"&amp;YEAR($B753)&amp;"-"&amp;TEXT(MONTH($B753),"00")&amp;"-"&amp;TEXT(DAY($B753),"00")&amp;"_"&amp;$D753,"فتح الصور ("&amp;$J753&amp;")"))</f>
        <v/>
      </c>
      <c r="Q753" s="24">
        <f>IF($B753="","",MONTH($B753))</f>
        <v/>
      </c>
      <c r="R753" s="24">
        <f>IF($B753="","",YEAR($B753))</f>
        <v/>
      </c>
      <c r="S753" s="25">
        <f>IF($B753="","",$B753-WEEKDAY($B753,3))</f>
        <v/>
      </c>
      <c r="T753" s="24">
        <f>IF($B753="",0,IF(COUNTIFS($B$5:$B753,$B753,$D$5:$D753,$D753)=1,1,0))</f>
        <v/>
      </c>
      <c r="U753" s="24">
        <f>IF($B753="",0,IF(COUNTIFS($B$5:$B753,$B753,$C$5:$C753,$C753)=1,1,0))</f>
        <v/>
      </c>
      <c r="V753" s="24">
        <f>IF(OR($B753="",$G753="",$G753="لا توجد مشاهدات"),0,1)</f>
        <v/>
      </c>
      <c r="W753" s="24">
        <f>IF(AND($B753&lt;&gt;"",$I753="تم تحرير مخالفة"),1,0)</f>
        <v/>
      </c>
      <c r="X753" s="24">
        <f>IF($B753="","",IF($S753=WkStart,COUNTIF($S$5:$S753,WkStart),""))</f>
        <v/>
      </c>
    </row>
    <row r="754">
      <c r="A754" s="16">
        <f>IF($B754="","",ROW()-4)</f>
        <v/>
      </c>
      <c r="B754" s="17" t="n"/>
      <c r="C754" s="18" t="n"/>
      <c r="D754" s="18" t="n"/>
      <c r="E754" s="19" t="n"/>
      <c r="F754" s="19" t="n"/>
      <c r="G754" s="18" t="n"/>
      <c r="H754" s="18" t="n"/>
      <c r="I754" s="18" t="n"/>
      <c r="J754" s="20" t="n"/>
      <c r="K754" s="21" t="n"/>
      <c r="L754" s="21" t="n"/>
      <c r="M754" s="18" t="n"/>
      <c r="N754" s="22">
        <f>IF($B754="","",CHOOSE(WEEKDAY($B754),"الأحد","الاثنين","الثلاثاء","الأربعاء","الخميس","الجمعة","السبت"))</f>
        <v/>
      </c>
      <c r="O754" s="23">
        <f>IF(OR($K754="",$L754=""),"",HYPERLINK("https://maps.google.com/?q="&amp;$K754&amp;","&amp;$L754,"عرض الموقع"))</f>
        <v/>
      </c>
      <c r="P754" s="23">
        <f>IF(OR($B754="",N($J754)=0),"",HYPERLINK(PhotoDir&amp;"/"&amp;YEAR($B754)&amp;"-"&amp;TEXT(MONTH($B754),"00")&amp;"-"&amp;TEXT(DAY($B754),"00")&amp;"_"&amp;$D754,"فتح الصور ("&amp;$J754&amp;")"))</f>
        <v/>
      </c>
      <c r="Q754" s="24">
        <f>IF($B754="","",MONTH($B754))</f>
        <v/>
      </c>
      <c r="R754" s="24">
        <f>IF($B754="","",YEAR($B754))</f>
        <v/>
      </c>
      <c r="S754" s="25">
        <f>IF($B754="","",$B754-WEEKDAY($B754,3))</f>
        <v/>
      </c>
      <c r="T754" s="24">
        <f>IF($B754="",0,IF(COUNTIFS($B$5:$B754,$B754,$D$5:$D754,$D754)=1,1,0))</f>
        <v/>
      </c>
      <c r="U754" s="24">
        <f>IF($B754="",0,IF(COUNTIFS($B$5:$B754,$B754,$C$5:$C754,$C754)=1,1,0))</f>
        <v/>
      </c>
      <c r="V754" s="24">
        <f>IF(OR($B754="",$G754="",$G754="لا توجد مشاهدات"),0,1)</f>
        <v/>
      </c>
      <c r="W754" s="24">
        <f>IF(AND($B754&lt;&gt;"",$I754="تم تحرير مخالفة"),1,0)</f>
        <v/>
      </c>
      <c r="X754" s="24">
        <f>IF($B754="","",IF($S754=WkStart,COUNTIF($S$5:$S754,WkStart),""))</f>
        <v/>
      </c>
    </row>
    <row r="755">
      <c r="A755" s="16">
        <f>IF($B755="","",ROW()-4)</f>
        <v/>
      </c>
      <c r="B755" s="17" t="n"/>
      <c r="C755" s="18" t="n"/>
      <c r="D755" s="18" t="n"/>
      <c r="E755" s="19" t="n"/>
      <c r="F755" s="19" t="n"/>
      <c r="G755" s="18" t="n"/>
      <c r="H755" s="18" t="n"/>
      <c r="I755" s="18" t="n"/>
      <c r="J755" s="20" t="n"/>
      <c r="K755" s="21" t="n"/>
      <c r="L755" s="21" t="n"/>
      <c r="M755" s="18" t="n"/>
      <c r="N755" s="22">
        <f>IF($B755="","",CHOOSE(WEEKDAY($B755),"الأحد","الاثنين","الثلاثاء","الأربعاء","الخميس","الجمعة","السبت"))</f>
        <v/>
      </c>
      <c r="O755" s="23">
        <f>IF(OR($K755="",$L755=""),"",HYPERLINK("https://maps.google.com/?q="&amp;$K755&amp;","&amp;$L755,"عرض الموقع"))</f>
        <v/>
      </c>
      <c r="P755" s="23">
        <f>IF(OR($B755="",N($J755)=0),"",HYPERLINK(PhotoDir&amp;"/"&amp;YEAR($B755)&amp;"-"&amp;TEXT(MONTH($B755),"00")&amp;"-"&amp;TEXT(DAY($B755),"00")&amp;"_"&amp;$D755,"فتح الصور ("&amp;$J755&amp;")"))</f>
        <v/>
      </c>
      <c r="Q755" s="24">
        <f>IF($B755="","",MONTH($B755))</f>
        <v/>
      </c>
      <c r="R755" s="24">
        <f>IF($B755="","",YEAR($B755))</f>
        <v/>
      </c>
      <c r="S755" s="25">
        <f>IF($B755="","",$B755-WEEKDAY($B755,3))</f>
        <v/>
      </c>
      <c r="T755" s="24">
        <f>IF($B755="",0,IF(COUNTIFS($B$5:$B755,$B755,$D$5:$D755,$D755)=1,1,0))</f>
        <v/>
      </c>
      <c r="U755" s="24">
        <f>IF($B755="",0,IF(COUNTIFS($B$5:$B755,$B755,$C$5:$C755,$C755)=1,1,0))</f>
        <v/>
      </c>
      <c r="V755" s="24">
        <f>IF(OR($B755="",$G755="",$G755="لا توجد مشاهدات"),0,1)</f>
        <v/>
      </c>
      <c r="W755" s="24">
        <f>IF(AND($B755&lt;&gt;"",$I755="تم تحرير مخالفة"),1,0)</f>
        <v/>
      </c>
      <c r="X755" s="24">
        <f>IF($B755="","",IF($S755=WkStart,COUNTIF($S$5:$S755,WkStart),""))</f>
        <v/>
      </c>
    </row>
    <row r="756">
      <c r="A756" s="16">
        <f>IF($B756="","",ROW()-4)</f>
        <v/>
      </c>
      <c r="B756" s="17" t="n"/>
      <c r="C756" s="18" t="n"/>
      <c r="D756" s="18" t="n"/>
      <c r="E756" s="19" t="n"/>
      <c r="F756" s="19" t="n"/>
      <c r="G756" s="18" t="n"/>
      <c r="H756" s="18" t="n"/>
      <c r="I756" s="18" t="n"/>
      <c r="J756" s="20" t="n"/>
      <c r="K756" s="21" t="n"/>
      <c r="L756" s="21" t="n"/>
      <c r="M756" s="18" t="n"/>
      <c r="N756" s="22">
        <f>IF($B756="","",CHOOSE(WEEKDAY($B756),"الأحد","الاثنين","الثلاثاء","الأربعاء","الخميس","الجمعة","السبت"))</f>
        <v/>
      </c>
      <c r="O756" s="23">
        <f>IF(OR($K756="",$L756=""),"",HYPERLINK("https://maps.google.com/?q="&amp;$K756&amp;","&amp;$L756,"عرض الموقع"))</f>
        <v/>
      </c>
      <c r="P756" s="23">
        <f>IF(OR($B756="",N($J756)=0),"",HYPERLINK(PhotoDir&amp;"/"&amp;YEAR($B756)&amp;"-"&amp;TEXT(MONTH($B756),"00")&amp;"-"&amp;TEXT(DAY($B756),"00")&amp;"_"&amp;$D756,"فتح الصور ("&amp;$J756&amp;")"))</f>
        <v/>
      </c>
      <c r="Q756" s="24">
        <f>IF($B756="","",MONTH($B756))</f>
        <v/>
      </c>
      <c r="R756" s="24">
        <f>IF($B756="","",YEAR($B756))</f>
        <v/>
      </c>
      <c r="S756" s="25">
        <f>IF($B756="","",$B756-WEEKDAY($B756,3))</f>
        <v/>
      </c>
      <c r="T756" s="24">
        <f>IF($B756="",0,IF(COUNTIFS($B$5:$B756,$B756,$D$5:$D756,$D756)=1,1,0))</f>
        <v/>
      </c>
      <c r="U756" s="24">
        <f>IF($B756="",0,IF(COUNTIFS($B$5:$B756,$B756,$C$5:$C756,$C756)=1,1,0))</f>
        <v/>
      </c>
      <c r="V756" s="24">
        <f>IF(OR($B756="",$G756="",$G756="لا توجد مشاهدات"),0,1)</f>
        <v/>
      </c>
      <c r="W756" s="24">
        <f>IF(AND($B756&lt;&gt;"",$I756="تم تحرير مخالفة"),1,0)</f>
        <v/>
      </c>
      <c r="X756" s="24">
        <f>IF($B756="","",IF($S756=WkStart,COUNTIF($S$5:$S756,WkStart),""))</f>
        <v/>
      </c>
    </row>
    <row r="757">
      <c r="A757" s="16">
        <f>IF($B757="","",ROW()-4)</f>
        <v/>
      </c>
      <c r="B757" s="17" t="n"/>
      <c r="C757" s="18" t="n"/>
      <c r="D757" s="18" t="n"/>
      <c r="E757" s="19" t="n"/>
      <c r="F757" s="19" t="n"/>
      <c r="G757" s="18" t="n"/>
      <c r="H757" s="18" t="n"/>
      <c r="I757" s="18" t="n"/>
      <c r="J757" s="20" t="n"/>
      <c r="K757" s="21" t="n"/>
      <c r="L757" s="21" t="n"/>
      <c r="M757" s="18" t="n"/>
      <c r="N757" s="22">
        <f>IF($B757="","",CHOOSE(WEEKDAY($B757),"الأحد","الاثنين","الثلاثاء","الأربعاء","الخميس","الجمعة","السبت"))</f>
        <v/>
      </c>
      <c r="O757" s="23">
        <f>IF(OR($K757="",$L757=""),"",HYPERLINK("https://maps.google.com/?q="&amp;$K757&amp;","&amp;$L757,"عرض الموقع"))</f>
        <v/>
      </c>
      <c r="P757" s="23">
        <f>IF(OR($B757="",N($J757)=0),"",HYPERLINK(PhotoDir&amp;"/"&amp;YEAR($B757)&amp;"-"&amp;TEXT(MONTH($B757),"00")&amp;"-"&amp;TEXT(DAY($B757),"00")&amp;"_"&amp;$D757,"فتح الصور ("&amp;$J757&amp;")"))</f>
        <v/>
      </c>
      <c r="Q757" s="24">
        <f>IF($B757="","",MONTH($B757))</f>
        <v/>
      </c>
      <c r="R757" s="24">
        <f>IF($B757="","",YEAR($B757))</f>
        <v/>
      </c>
      <c r="S757" s="25">
        <f>IF($B757="","",$B757-WEEKDAY($B757,3))</f>
        <v/>
      </c>
      <c r="T757" s="24">
        <f>IF($B757="",0,IF(COUNTIFS($B$5:$B757,$B757,$D$5:$D757,$D757)=1,1,0))</f>
        <v/>
      </c>
      <c r="U757" s="24">
        <f>IF($B757="",0,IF(COUNTIFS($B$5:$B757,$B757,$C$5:$C757,$C757)=1,1,0))</f>
        <v/>
      </c>
      <c r="V757" s="24">
        <f>IF(OR($B757="",$G757="",$G757="لا توجد مشاهدات"),0,1)</f>
        <v/>
      </c>
      <c r="W757" s="24">
        <f>IF(AND($B757&lt;&gt;"",$I757="تم تحرير مخالفة"),1,0)</f>
        <v/>
      </c>
      <c r="X757" s="24">
        <f>IF($B757="","",IF($S757=WkStart,COUNTIF($S$5:$S757,WkStart),""))</f>
        <v/>
      </c>
    </row>
    <row r="758">
      <c r="A758" s="16">
        <f>IF($B758="","",ROW()-4)</f>
        <v/>
      </c>
      <c r="B758" s="17" t="n"/>
      <c r="C758" s="18" t="n"/>
      <c r="D758" s="18" t="n"/>
      <c r="E758" s="19" t="n"/>
      <c r="F758" s="19" t="n"/>
      <c r="G758" s="18" t="n"/>
      <c r="H758" s="18" t="n"/>
      <c r="I758" s="18" t="n"/>
      <c r="J758" s="20" t="n"/>
      <c r="K758" s="21" t="n"/>
      <c r="L758" s="21" t="n"/>
      <c r="M758" s="18" t="n"/>
      <c r="N758" s="22">
        <f>IF($B758="","",CHOOSE(WEEKDAY($B758),"الأحد","الاثنين","الثلاثاء","الأربعاء","الخميس","الجمعة","السبت"))</f>
        <v/>
      </c>
      <c r="O758" s="23">
        <f>IF(OR($K758="",$L758=""),"",HYPERLINK("https://maps.google.com/?q="&amp;$K758&amp;","&amp;$L758,"عرض الموقع"))</f>
        <v/>
      </c>
      <c r="P758" s="23">
        <f>IF(OR($B758="",N($J758)=0),"",HYPERLINK(PhotoDir&amp;"/"&amp;YEAR($B758)&amp;"-"&amp;TEXT(MONTH($B758),"00")&amp;"-"&amp;TEXT(DAY($B758),"00")&amp;"_"&amp;$D758,"فتح الصور ("&amp;$J758&amp;")"))</f>
        <v/>
      </c>
      <c r="Q758" s="24">
        <f>IF($B758="","",MONTH($B758))</f>
        <v/>
      </c>
      <c r="R758" s="24">
        <f>IF($B758="","",YEAR($B758))</f>
        <v/>
      </c>
      <c r="S758" s="25">
        <f>IF($B758="","",$B758-WEEKDAY($B758,3))</f>
        <v/>
      </c>
      <c r="T758" s="24">
        <f>IF($B758="",0,IF(COUNTIFS($B$5:$B758,$B758,$D$5:$D758,$D758)=1,1,0))</f>
        <v/>
      </c>
      <c r="U758" s="24">
        <f>IF($B758="",0,IF(COUNTIFS($B$5:$B758,$B758,$C$5:$C758,$C758)=1,1,0))</f>
        <v/>
      </c>
      <c r="V758" s="24">
        <f>IF(OR($B758="",$G758="",$G758="لا توجد مشاهدات"),0,1)</f>
        <v/>
      </c>
      <c r="W758" s="24">
        <f>IF(AND($B758&lt;&gt;"",$I758="تم تحرير مخالفة"),1,0)</f>
        <v/>
      </c>
      <c r="X758" s="24">
        <f>IF($B758="","",IF($S758=WkStart,COUNTIF($S$5:$S758,WkStart),""))</f>
        <v/>
      </c>
    </row>
    <row r="759">
      <c r="A759" s="16">
        <f>IF($B759="","",ROW()-4)</f>
        <v/>
      </c>
      <c r="B759" s="17" t="n"/>
      <c r="C759" s="18" t="n"/>
      <c r="D759" s="18" t="n"/>
      <c r="E759" s="19" t="n"/>
      <c r="F759" s="19" t="n"/>
      <c r="G759" s="18" t="n"/>
      <c r="H759" s="18" t="n"/>
      <c r="I759" s="18" t="n"/>
      <c r="J759" s="20" t="n"/>
      <c r="K759" s="21" t="n"/>
      <c r="L759" s="21" t="n"/>
      <c r="M759" s="18" t="n"/>
      <c r="N759" s="22">
        <f>IF($B759="","",CHOOSE(WEEKDAY($B759),"الأحد","الاثنين","الثلاثاء","الأربعاء","الخميس","الجمعة","السبت"))</f>
        <v/>
      </c>
      <c r="O759" s="23">
        <f>IF(OR($K759="",$L759=""),"",HYPERLINK("https://maps.google.com/?q="&amp;$K759&amp;","&amp;$L759,"عرض الموقع"))</f>
        <v/>
      </c>
      <c r="P759" s="23">
        <f>IF(OR($B759="",N($J759)=0),"",HYPERLINK(PhotoDir&amp;"/"&amp;YEAR($B759)&amp;"-"&amp;TEXT(MONTH($B759),"00")&amp;"-"&amp;TEXT(DAY($B759),"00")&amp;"_"&amp;$D759,"فتح الصور ("&amp;$J759&amp;")"))</f>
        <v/>
      </c>
      <c r="Q759" s="24">
        <f>IF($B759="","",MONTH($B759))</f>
        <v/>
      </c>
      <c r="R759" s="24">
        <f>IF($B759="","",YEAR($B759))</f>
        <v/>
      </c>
      <c r="S759" s="25">
        <f>IF($B759="","",$B759-WEEKDAY($B759,3))</f>
        <v/>
      </c>
      <c r="T759" s="24">
        <f>IF($B759="",0,IF(COUNTIFS($B$5:$B759,$B759,$D$5:$D759,$D759)=1,1,0))</f>
        <v/>
      </c>
      <c r="U759" s="24">
        <f>IF($B759="",0,IF(COUNTIFS($B$5:$B759,$B759,$C$5:$C759,$C759)=1,1,0))</f>
        <v/>
      </c>
      <c r="V759" s="24">
        <f>IF(OR($B759="",$G759="",$G759="لا توجد مشاهدات"),0,1)</f>
        <v/>
      </c>
      <c r="W759" s="24">
        <f>IF(AND($B759&lt;&gt;"",$I759="تم تحرير مخالفة"),1,0)</f>
        <v/>
      </c>
      <c r="X759" s="24">
        <f>IF($B759="","",IF($S759=WkStart,COUNTIF($S$5:$S759,WkStart),""))</f>
        <v/>
      </c>
    </row>
    <row r="760">
      <c r="A760" s="16">
        <f>IF($B760="","",ROW()-4)</f>
        <v/>
      </c>
      <c r="B760" s="17" t="n"/>
      <c r="C760" s="18" t="n"/>
      <c r="D760" s="18" t="n"/>
      <c r="E760" s="19" t="n"/>
      <c r="F760" s="19" t="n"/>
      <c r="G760" s="18" t="n"/>
      <c r="H760" s="18" t="n"/>
      <c r="I760" s="18" t="n"/>
      <c r="J760" s="20" t="n"/>
      <c r="K760" s="21" t="n"/>
      <c r="L760" s="21" t="n"/>
      <c r="M760" s="18" t="n"/>
      <c r="N760" s="22">
        <f>IF($B760="","",CHOOSE(WEEKDAY($B760),"الأحد","الاثنين","الثلاثاء","الأربعاء","الخميس","الجمعة","السبت"))</f>
        <v/>
      </c>
      <c r="O760" s="23">
        <f>IF(OR($K760="",$L760=""),"",HYPERLINK("https://maps.google.com/?q="&amp;$K760&amp;","&amp;$L760,"عرض الموقع"))</f>
        <v/>
      </c>
      <c r="P760" s="23">
        <f>IF(OR($B760="",N($J760)=0),"",HYPERLINK(PhotoDir&amp;"/"&amp;YEAR($B760)&amp;"-"&amp;TEXT(MONTH($B760),"00")&amp;"-"&amp;TEXT(DAY($B760),"00")&amp;"_"&amp;$D760,"فتح الصور ("&amp;$J760&amp;")"))</f>
        <v/>
      </c>
      <c r="Q760" s="24">
        <f>IF($B760="","",MONTH($B760))</f>
        <v/>
      </c>
      <c r="R760" s="24">
        <f>IF($B760="","",YEAR($B760))</f>
        <v/>
      </c>
      <c r="S760" s="25">
        <f>IF($B760="","",$B760-WEEKDAY($B760,3))</f>
        <v/>
      </c>
      <c r="T760" s="24">
        <f>IF($B760="",0,IF(COUNTIFS($B$5:$B760,$B760,$D$5:$D760,$D760)=1,1,0))</f>
        <v/>
      </c>
      <c r="U760" s="24">
        <f>IF($B760="",0,IF(COUNTIFS($B$5:$B760,$B760,$C$5:$C760,$C760)=1,1,0))</f>
        <v/>
      </c>
      <c r="V760" s="24">
        <f>IF(OR($B760="",$G760="",$G760="لا توجد مشاهدات"),0,1)</f>
        <v/>
      </c>
      <c r="W760" s="24">
        <f>IF(AND($B760&lt;&gt;"",$I760="تم تحرير مخالفة"),1,0)</f>
        <v/>
      </c>
      <c r="X760" s="24">
        <f>IF($B760="","",IF($S760=WkStart,COUNTIF($S$5:$S760,WkStart),""))</f>
        <v/>
      </c>
    </row>
    <row r="761">
      <c r="A761" s="16">
        <f>IF($B761="","",ROW()-4)</f>
        <v/>
      </c>
      <c r="B761" s="17" t="n"/>
      <c r="C761" s="18" t="n"/>
      <c r="D761" s="18" t="n"/>
      <c r="E761" s="19" t="n"/>
      <c r="F761" s="19" t="n"/>
      <c r="G761" s="18" t="n"/>
      <c r="H761" s="18" t="n"/>
      <c r="I761" s="18" t="n"/>
      <c r="J761" s="20" t="n"/>
      <c r="K761" s="21" t="n"/>
      <c r="L761" s="21" t="n"/>
      <c r="M761" s="18" t="n"/>
      <c r="N761" s="22">
        <f>IF($B761="","",CHOOSE(WEEKDAY($B761),"الأحد","الاثنين","الثلاثاء","الأربعاء","الخميس","الجمعة","السبت"))</f>
        <v/>
      </c>
      <c r="O761" s="23">
        <f>IF(OR($K761="",$L761=""),"",HYPERLINK("https://maps.google.com/?q="&amp;$K761&amp;","&amp;$L761,"عرض الموقع"))</f>
        <v/>
      </c>
      <c r="P761" s="23">
        <f>IF(OR($B761="",N($J761)=0),"",HYPERLINK(PhotoDir&amp;"/"&amp;YEAR($B761)&amp;"-"&amp;TEXT(MONTH($B761),"00")&amp;"-"&amp;TEXT(DAY($B761),"00")&amp;"_"&amp;$D761,"فتح الصور ("&amp;$J761&amp;")"))</f>
        <v/>
      </c>
      <c r="Q761" s="24">
        <f>IF($B761="","",MONTH($B761))</f>
        <v/>
      </c>
      <c r="R761" s="24">
        <f>IF($B761="","",YEAR($B761))</f>
        <v/>
      </c>
      <c r="S761" s="25">
        <f>IF($B761="","",$B761-WEEKDAY($B761,3))</f>
        <v/>
      </c>
      <c r="T761" s="24">
        <f>IF($B761="",0,IF(COUNTIFS($B$5:$B761,$B761,$D$5:$D761,$D761)=1,1,0))</f>
        <v/>
      </c>
      <c r="U761" s="24">
        <f>IF($B761="",0,IF(COUNTIFS($B$5:$B761,$B761,$C$5:$C761,$C761)=1,1,0))</f>
        <v/>
      </c>
      <c r="V761" s="24">
        <f>IF(OR($B761="",$G761="",$G761="لا توجد مشاهدات"),0,1)</f>
        <v/>
      </c>
      <c r="W761" s="24">
        <f>IF(AND($B761&lt;&gt;"",$I761="تم تحرير مخالفة"),1,0)</f>
        <v/>
      </c>
      <c r="X761" s="24">
        <f>IF($B761="","",IF($S761=WkStart,COUNTIF($S$5:$S761,WkStart),""))</f>
        <v/>
      </c>
    </row>
    <row r="762">
      <c r="A762" s="16">
        <f>IF($B762="","",ROW()-4)</f>
        <v/>
      </c>
      <c r="B762" s="17" t="n"/>
      <c r="C762" s="18" t="n"/>
      <c r="D762" s="18" t="n"/>
      <c r="E762" s="19" t="n"/>
      <c r="F762" s="19" t="n"/>
      <c r="G762" s="18" t="n"/>
      <c r="H762" s="18" t="n"/>
      <c r="I762" s="18" t="n"/>
      <c r="J762" s="20" t="n"/>
      <c r="K762" s="21" t="n"/>
      <c r="L762" s="21" t="n"/>
      <c r="M762" s="18" t="n"/>
      <c r="N762" s="22">
        <f>IF($B762="","",CHOOSE(WEEKDAY($B762),"الأحد","الاثنين","الثلاثاء","الأربعاء","الخميس","الجمعة","السبت"))</f>
        <v/>
      </c>
      <c r="O762" s="23">
        <f>IF(OR($K762="",$L762=""),"",HYPERLINK("https://maps.google.com/?q="&amp;$K762&amp;","&amp;$L762,"عرض الموقع"))</f>
        <v/>
      </c>
      <c r="P762" s="23">
        <f>IF(OR($B762="",N($J762)=0),"",HYPERLINK(PhotoDir&amp;"/"&amp;YEAR($B762)&amp;"-"&amp;TEXT(MONTH($B762),"00")&amp;"-"&amp;TEXT(DAY($B762),"00")&amp;"_"&amp;$D762,"فتح الصور ("&amp;$J762&amp;")"))</f>
        <v/>
      </c>
      <c r="Q762" s="24">
        <f>IF($B762="","",MONTH($B762))</f>
        <v/>
      </c>
      <c r="R762" s="24">
        <f>IF($B762="","",YEAR($B762))</f>
        <v/>
      </c>
      <c r="S762" s="25">
        <f>IF($B762="","",$B762-WEEKDAY($B762,3))</f>
        <v/>
      </c>
      <c r="T762" s="24">
        <f>IF($B762="",0,IF(COUNTIFS($B$5:$B762,$B762,$D$5:$D762,$D762)=1,1,0))</f>
        <v/>
      </c>
      <c r="U762" s="24">
        <f>IF($B762="",0,IF(COUNTIFS($B$5:$B762,$B762,$C$5:$C762,$C762)=1,1,0))</f>
        <v/>
      </c>
      <c r="V762" s="24">
        <f>IF(OR($B762="",$G762="",$G762="لا توجد مشاهدات"),0,1)</f>
        <v/>
      </c>
      <c r="W762" s="24">
        <f>IF(AND($B762&lt;&gt;"",$I762="تم تحرير مخالفة"),1,0)</f>
        <v/>
      </c>
      <c r="X762" s="24">
        <f>IF($B762="","",IF($S762=WkStart,COUNTIF($S$5:$S762,WkStart),""))</f>
        <v/>
      </c>
    </row>
    <row r="763">
      <c r="A763" s="16">
        <f>IF($B763="","",ROW()-4)</f>
        <v/>
      </c>
      <c r="B763" s="17" t="n"/>
      <c r="C763" s="18" t="n"/>
      <c r="D763" s="18" t="n"/>
      <c r="E763" s="19" t="n"/>
      <c r="F763" s="19" t="n"/>
      <c r="G763" s="18" t="n"/>
      <c r="H763" s="18" t="n"/>
      <c r="I763" s="18" t="n"/>
      <c r="J763" s="20" t="n"/>
      <c r="K763" s="21" t="n"/>
      <c r="L763" s="21" t="n"/>
      <c r="M763" s="18" t="n"/>
      <c r="N763" s="22">
        <f>IF($B763="","",CHOOSE(WEEKDAY($B763),"الأحد","الاثنين","الثلاثاء","الأربعاء","الخميس","الجمعة","السبت"))</f>
        <v/>
      </c>
      <c r="O763" s="23">
        <f>IF(OR($K763="",$L763=""),"",HYPERLINK("https://maps.google.com/?q="&amp;$K763&amp;","&amp;$L763,"عرض الموقع"))</f>
        <v/>
      </c>
      <c r="P763" s="23">
        <f>IF(OR($B763="",N($J763)=0),"",HYPERLINK(PhotoDir&amp;"/"&amp;YEAR($B763)&amp;"-"&amp;TEXT(MONTH($B763),"00")&amp;"-"&amp;TEXT(DAY($B763),"00")&amp;"_"&amp;$D763,"فتح الصور ("&amp;$J763&amp;")"))</f>
        <v/>
      </c>
      <c r="Q763" s="24">
        <f>IF($B763="","",MONTH($B763))</f>
        <v/>
      </c>
      <c r="R763" s="24">
        <f>IF($B763="","",YEAR($B763))</f>
        <v/>
      </c>
      <c r="S763" s="25">
        <f>IF($B763="","",$B763-WEEKDAY($B763,3))</f>
        <v/>
      </c>
      <c r="T763" s="24">
        <f>IF($B763="",0,IF(COUNTIFS($B$5:$B763,$B763,$D$5:$D763,$D763)=1,1,0))</f>
        <v/>
      </c>
      <c r="U763" s="24">
        <f>IF($B763="",0,IF(COUNTIFS($B$5:$B763,$B763,$C$5:$C763,$C763)=1,1,0))</f>
        <v/>
      </c>
      <c r="V763" s="24">
        <f>IF(OR($B763="",$G763="",$G763="لا توجد مشاهدات"),0,1)</f>
        <v/>
      </c>
      <c r="W763" s="24">
        <f>IF(AND($B763&lt;&gt;"",$I763="تم تحرير مخالفة"),1,0)</f>
        <v/>
      </c>
      <c r="X763" s="24">
        <f>IF($B763="","",IF($S763=WkStart,COUNTIF($S$5:$S763,WkStart),""))</f>
        <v/>
      </c>
    </row>
    <row r="764">
      <c r="A764" s="16">
        <f>IF($B764="","",ROW()-4)</f>
        <v/>
      </c>
      <c r="B764" s="17" t="n"/>
      <c r="C764" s="18" t="n"/>
      <c r="D764" s="18" t="n"/>
      <c r="E764" s="19" t="n"/>
      <c r="F764" s="19" t="n"/>
      <c r="G764" s="18" t="n"/>
      <c r="H764" s="18" t="n"/>
      <c r="I764" s="18" t="n"/>
      <c r="J764" s="20" t="n"/>
      <c r="K764" s="21" t="n"/>
      <c r="L764" s="21" t="n"/>
      <c r="M764" s="18" t="n"/>
      <c r="N764" s="22">
        <f>IF($B764="","",CHOOSE(WEEKDAY($B764),"الأحد","الاثنين","الثلاثاء","الأربعاء","الخميس","الجمعة","السبت"))</f>
        <v/>
      </c>
      <c r="O764" s="23">
        <f>IF(OR($K764="",$L764=""),"",HYPERLINK("https://maps.google.com/?q="&amp;$K764&amp;","&amp;$L764,"عرض الموقع"))</f>
        <v/>
      </c>
      <c r="P764" s="23">
        <f>IF(OR($B764="",N($J764)=0),"",HYPERLINK(PhotoDir&amp;"/"&amp;YEAR($B764)&amp;"-"&amp;TEXT(MONTH($B764),"00")&amp;"-"&amp;TEXT(DAY($B764),"00")&amp;"_"&amp;$D764,"فتح الصور ("&amp;$J764&amp;")"))</f>
        <v/>
      </c>
      <c r="Q764" s="24">
        <f>IF($B764="","",MONTH($B764))</f>
        <v/>
      </c>
      <c r="R764" s="24">
        <f>IF($B764="","",YEAR($B764))</f>
        <v/>
      </c>
      <c r="S764" s="25">
        <f>IF($B764="","",$B764-WEEKDAY($B764,3))</f>
        <v/>
      </c>
      <c r="T764" s="24">
        <f>IF($B764="",0,IF(COUNTIFS($B$5:$B764,$B764,$D$5:$D764,$D764)=1,1,0))</f>
        <v/>
      </c>
      <c r="U764" s="24">
        <f>IF($B764="",0,IF(COUNTIFS($B$5:$B764,$B764,$C$5:$C764,$C764)=1,1,0))</f>
        <v/>
      </c>
      <c r="V764" s="24">
        <f>IF(OR($B764="",$G764="",$G764="لا توجد مشاهدات"),0,1)</f>
        <v/>
      </c>
      <c r="W764" s="24">
        <f>IF(AND($B764&lt;&gt;"",$I764="تم تحرير مخالفة"),1,0)</f>
        <v/>
      </c>
      <c r="X764" s="24">
        <f>IF($B764="","",IF($S764=WkStart,COUNTIF($S$5:$S764,WkStart),""))</f>
        <v/>
      </c>
    </row>
    <row r="765">
      <c r="A765" s="16">
        <f>IF($B765="","",ROW()-4)</f>
        <v/>
      </c>
      <c r="B765" s="17" t="n"/>
      <c r="C765" s="18" t="n"/>
      <c r="D765" s="18" t="n"/>
      <c r="E765" s="19" t="n"/>
      <c r="F765" s="19" t="n"/>
      <c r="G765" s="18" t="n"/>
      <c r="H765" s="18" t="n"/>
      <c r="I765" s="18" t="n"/>
      <c r="J765" s="20" t="n"/>
      <c r="K765" s="21" t="n"/>
      <c r="L765" s="21" t="n"/>
      <c r="M765" s="18" t="n"/>
      <c r="N765" s="22">
        <f>IF($B765="","",CHOOSE(WEEKDAY($B765),"الأحد","الاثنين","الثلاثاء","الأربعاء","الخميس","الجمعة","السبت"))</f>
        <v/>
      </c>
      <c r="O765" s="23">
        <f>IF(OR($K765="",$L765=""),"",HYPERLINK("https://maps.google.com/?q="&amp;$K765&amp;","&amp;$L765,"عرض الموقع"))</f>
        <v/>
      </c>
      <c r="P765" s="23">
        <f>IF(OR($B765="",N($J765)=0),"",HYPERLINK(PhotoDir&amp;"/"&amp;YEAR($B765)&amp;"-"&amp;TEXT(MONTH($B765),"00")&amp;"-"&amp;TEXT(DAY($B765),"00")&amp;"_"&amp;$D765,"فتح الصور ("&amp;$J765&amp;")"))</f>
        <v/>
      </c>
      <c r="Q765" s="24">
        <f>IF($B765="","",MONTH($B765))</f>
        <v/>
      </c>
      <c r="R765" s="24">
        <f>IF($B765="","",YEAR($B765))</f>
        <v/>
      </c>
      <c r="S765" s="25">
        <f>IF($B765="","",$B765-WEEKDAY($B765,3))</f>
        <v/>
      </c>
      <c r="T765" s="24">
        <f>IF($B765="",0,IF(COUNTIFS($B$5:$B765,$B765,$D$5:$D765,$D765)=1,1,0))</f>
        <v/>
      </c>
      <c r="U765" s="24">
        <f>IF($B765="",0,IF(COUNTIFS($B$5:$B765,$B765,$C$5:$C765,$C765)=1,1,0))</f>
        <v/>
      </c>
      <c r="V765" s="24">
        <f>IF(OR($B765="",$G765="",$G765="لا توجد مشاهدات"),0,1)</f>
        <v/>
      </c>
      <c r="W765" s="24">
        <f>IF(AND($B765&lt;&gt;"",$I765="تم تحرير مخالفة"),1,0)</f>
        <v/>
      </c>
      <c r="X765" s="24">
        <f>IF($B765="","",IF($S765=WkStart,COUNTIF($S$5:$S765,WkStart),""))</f>
        <v/>
      </c>
    </row>
    <row r="766">
      <c r="A766" s="16">
        <f>IF($B766="","",ROW()-4)</f>
        <v/>
      </c>
      <c r="B766" s="17" t="n"/>
      <c r="C766" s="18" t="n"/>
      <c r="D766" s="18" t="n"/>
      <c r="E766" s="19" t="n"/>
      <c r="F766" s="19" t="n"/>
      <c r="G766" s="18" t="n"/>
      <c r="H766" s="18" t="n"/>
      <c r="I766" s="18" t="n"/>
      <c r="J766" s="20" t="n"/>
      <c r="K766" s="21" t="n"/>
      <c r="L766" s="21" t="n"/>
      <c r="M766" s="18" t="n"/>
      <c r="N766" s="22">
        <f>IF($B766="","",CHOOSE(WEEKDAY($B766),"الأحد","الاثنين","الثلاثاء","الأربعاء","الخميس","الجمعة","السبت"))</f>
        <v/>
      </c>
      <c r="O766" s="23">
        <f>IF(OR($K766="",$L766=""),"",HYPERLINK("https://maps.google.com/?q="&amp;$K766&amp;","&amp;$L766,"عرض الموقع"))</f>
        <v/>
      </c>
      <c r="P766" s="23">
        <f>IF(OR($B766="",N($J766)=0),"",HYPERLINK(PhotoDir&amp;"/"&amp;YEAR($B766)&amp;"-"&amp;TEXT(MONTH($B766),"00")&amp;"-"&amp;TEXT(DAY($B766),"00")&amp;"_"&amp;$D766,"فتح الصور ("&amp;$J766&amp;")"))</f>
        <v/>
      </c>
      <c r="Q766" s="24">
        <f>IF($B766="","",MONTH($B766))</f>
        <v/>
      </c>
      <c r="R766" s="24">
        <f>IF($B766="","",YEAR($B766))</f>
        <v/>
      </c>
      <c r="S766" s="25">
        <f>IF($B766="","",$B766-WEEKDAY($B766,3))</f>
        <v/>
      </c>
      <c r="T766" s="24">
        <f>IF($B766="",0,IF(COUNTIFS($B$5:$B766,$B766,$D$5:$D766,$D766)=1,1,0))</f>
        <v/>
      </c>
      <c r="U766" s="24">
        <f>IF($B766="",0,IF(COUNTIFS($B$5:$B766,$B766,$C$5:$C766,$C766)=1,1,0))</f>
        <v/>
      </c>
      <c r="V766" s="24">
        <f>IF(OR($B766="",$G766="",$G766="لا توجد مشاهدات"),0,1)</f>
        <v/>
      </c>
      <c r="W766" s="24">
        <f>IF(AND($B766&lt;&gt;"",$I766="تم تحرير مخالفة"),1,0)</f>
        <v/>
      </c>
      <c r="X766" s="24">
        <f>IF($B766="","",IF($S766=WkStart,COUNTIF($S$5:$S766,WkStart),""))</f>
        <v/>
      </c>
    </row>
    <row r="767">
      <c r="A767" s="16">
        <f>IF($B767="","",ROW()-4)</f>
        <v/>
      </c>
      <c r="B767" s="17" t="n"/>
      <c r="C767" s="18" t="n"/>
      <c r="D767" s="18" t="n"/>
      <c r="E767" s="19" t="n"/>
      <c r="F767" s="19" t="n"/>
      <c r="G767" s="18" t="n"/>
      <c r="H767" s="18" t="n"/>
      <c r="I767" s="18" t="n"/>
      <c r="J767" s="20" t="n"/>
      <c r="K767" s="21" t="n"/>
      <c r="L767" s="21" t="n"/>
      <c r="M767" s="18" t="n"/>
      <c r="N767" s="22">
        <f>IF($B767="","",CHOOSE(WEEKDAY($B767),"الأحد","الاثنين","الثلاثاء","الأربعاء","الخميس","الجمعة","السبت"))</f>
        <v/>
      </c>
      <c r="O767" s="23">
        <f>IF(OR($K767="",$L767=""),"",HYPERLINK("https://maps.google.com/?q="&amp;$K767&amp;","&amp;$L767,"عرض الموقع"))</f>
        <v/>
      </c>
      <c r="P767" s="23">
        <f>IF(OR($B767="",N($J767)=0),"",HYPERLINK(PhotoDir&amp;"/"&amp;YEAR($B767)&amp;"-"&amp;TEXT(MONTH($B767),"00")&amp;"-"&amp;TEXT(DAY($B767),"00")&amp;"_"&amp;$D767,"فتح الصور ("&amp;$J767&amp;")"))</f>
        <v/>
      </c>
      <c r="Q767" s="24">
        <f>IF($B767="","",MONTH($B767))</f>
        <v/>
      </c>
      <c r="R767" s="24">
        <f>IF($B767="","",YEAR($B767))</f>
        <v/>
      </c>
      <c r="S767" s="25">
        <f>IF($B767="","",$B767-WEEKDAY($B767,3))</f>
        <v/>
      </c>
      <c r="T767" s="24">
        <f>IF($B767="",0,IF(COUNTIFS($B$5:$B767,$B767,$D$5:$D767,$D767)=1,1,0))</f>
        <v/>
      </c>
      <c r="U767" s="24">
        <f>IF($B767="",0,IF(COUNTIFS($B$5:$B767,$B767,$C$5:$C767,$C767)=1,1,0))</f>
        <v/>
      </c>
      <c r="V767" s="24">
        <f>IF(OR($B767="",$G767="",$G767="لا توجد مشاهدات"),0,1)</f>
        <v/>
      </c>
      <c r="W767" s="24">
        <f>IF(AND($B767&lt;&gt;"",$I767="تم تحرير مخالفة"),1,0)</f>
        <v/>
      </c>
      <c r="X767" s="24">
        <f>IF($B767="","",IF($S767=WkStart,COUNTIF($S$5:$S767,WkStart),""))</f>
        <v/>
      </c>
    </row>
    <row r="768">
      <c r="A768" s="16">
        <f>IF($B768="","",ROW()-4)</f>
        <v/>
      </c>
      <c r="B768" s="17" t="n"/>
      <c r="C768" s="18" t="n"/>
      <c r="D768" s="18" t="n"/>
      <c r="E768" s="19" t="n"/>
      <c r="F768" s="19" t="n"/>
      <c r="G768" s="18" t="n"/>
      <c r="H768" s="18" t="n"/>
      <c r="I768" s="18" t="n"/>
      <c r="J768" s="20" t="n"/>
      <c r="K768" s="21" t="n"/>
      <c r="L768" s="21" t="n"/>
      <c r="M768" s="18" t="n"/>
      <c r="N768" s="22">
        <f>IF($B768="","",CHOOSE(WEEKDAY($B768),"الأحد","الاثنين","الثلاثاء","الأربعاء","الخميس","الجمعة","السبت"))</f>
        <v/>
      </c>
      <c r="O768" s="23">
        <f>IF(OR($K768="",$L768=""),"",HYPERLINK("https://maps.google.com/?q="&amp;$K768&amp;","&amp;$L768,"عرض الموقع"))</f>
        <v/>
      </c>
      <c r="P768" s="23">
        <f>IF(OR($B768="",N($J768)=0),"",HYPERLINK(PhotoDir&amp;"/"&amp;YEAR($B768)&amp;"-"&amp;TEXT(MONTH($B768),"00")&amp;"-"&amp;TEXT(DAY($B768),"00")&amp;"_"&amp;$D768,"فتح الصور ("&amp;$J768&amp;")"))</f>
        <v/>
      </c>
      <c r="Q768" s="24">
        <f>IF($B768="","",MONTH($B768))</f>
        <v/>
      </c>
      <c r="R768" s="24">
        <f>IF($B768="","",YEAR($B768))</f>
        <v/>
      </c>
      <c r="S768" s="25">
        <f>IF($B768="","",$B768-WEEKDAY($B768,3))</f>
        <v/>
      </c>
      <c r="T768" s="24">
        <f>IF($B768="",0,IF(COUNTIFS($B$5:$B768,$B768,$D$5:$D768,$D768)=1,1,0))</f>
        <v/>
      </c>
      <c r="U768" s="24">
        <f>IF($B768="",0,IF(COUNTIFS($B$5:$B768,$B768,$C$5:$C768,$C768)=1,1,0))</f>
        <v/>
      </c>
      <c r="V768" s="24">
        <f>IF(OR($B768="",$G768="",$G768="لا توجد مشاهدات"),0,1)</f>
        <v/>
      </c>
      <c r="W768" s="24">
        <f>IF(AND($B768&lt;&gt;"",$I768="تم تحرير مخالفة"),1,0)</f>
        <v/>
      </c>
      <c r="X768" s="24">
        <f>IF($B768="","",IF($S768=WkStart,COUNTIF($S$5:$S768,WkStart),""))</f>
        <v/>
      </c>
    </row>
    <row r="769">
      <c r="A769" s="16">
        <f>IF($B769="","",ROW()-4)</f>
        <v/>
      </c>
      <c r="B769" s="17" t="n"/>
      <c r="C769" s="18" t="n"/>
      <c r="D769" s="18" t="n"/>
      <c r="E769" s="19" t="n"/>
      <c r="F769" s="19" t="n"/>
      <c r="G769" s="18" t="n"/>
      <c r="H769" s="18" t="n"/>
      <c r="I769" s="18" t="n"/>
      <c r="J769" s="20" t="n"/>
      <c r="K769" s="21" t="n"/>
      <c r="L769" s="21" t="n"/>
      <c r="M769" s="18" t="n"/>
      <c r="N769" s="22">
        <f>IF($B769="","",CHOOSE(WEEKDAY($B769),"الأحد","الاثنين","الثلاثاء","الأربعاء","الخميس","الجمعة","السبت"))</f>
        <v/>
      </c>
      <c r="O769" s="23">
        <f>IF(OR($K769="",$L769=""),"",HYPERLINK("https://maps.google.com/?q="&amp;$K769&amp;","&amp;$L769,"عرض الموقع"))</f>
        <v/>
      </c>
      <c r="P769" s="23">
        <f>IF(OR($B769="",N($J769)=0),"",HYPERLINK(PhotoDir&amp;"/"&amp;YEAR($B769)&amp;"-"&amp;TEXT(MONTH($B769),"00")&amp;"-"&amp;TEXT(DAY($B769),"00")&amp;"_"&amp;$D769,"فتح الصور ("&amp;$J769&amp;")"))</f>
        <v/>
      </c>
      <c r="Q769" s="24">
        <f>IF($B769="","",MONTH($B769))</f>
        <v/>
      </c>
      <c r="R769" s="24">
        <f>IF($B769="","",YEAR($B769))</f>
        <v/>
      </c>
      <c r="S769" s="25">
        <f>IF($B769="","",$B769-WEEKDAY($B769,3))</f>
        <v/>
      </c>
      <c r="T769" s="24">
        <f>IF($B769="",0,IF(COUNTIFS($B$5:$B769,$B769,$D$5:$D769,$D769)=1,1,0))</f>
        <v/>
      </c>
      <c r="U769" s="24">
        <f>IF($B769="",0,IF(COUNTIFS($B$5:$B769,$B769,$C$5:$C769,$C769)=1,1,0))</f>
        <v/>
      </c>
      <c r="V769" s="24">
        <f>IF(OR($B769="",$G769="",$G769="لا توجد مشاهدات"),0,1)</f>
        <v/>
      </c>
      <c r="W769" s="24">
        <f>IF(AND($B769&lt;&gt;"",$I769="تم تحرير مخالفة"),1,0)</f>
        <v/>
      </c>
      <c r="X769" s="24">
        <f>IF($B769="","",IF($S769=WkStart,COUNTIF($S$5:$S769,WkStart),""))</f>
        <v/>
      </c>
    </row>
    <row r="770">
      <c r="A770" s="16">
        <f>IF($B770="","",ROW()-4)</f>
        <v/>
      </c>
      <c r="B770" s="17" t="n"/>
      <c r="C770" s="18" t="n"/>
      <c r="D770" s="18" t="n"/>
      <c r="E770" s="19" t="n"/>
      <c r="F770" s="19" t="n"/>
      <c r="G770" s="18" t="n"/>
      <c r="H770" s="18" t="n"/>
      <c r="I770" s="18" t="n"/>
      <c r="J770" s="20" t="n"/>
      <c r="K770" s="21" t="n"/>
      <c r="L770" s="21" t="n"/>
      <c r="M770" s="18" t="n"/>
      <c r="N770" s="22">
        <f>IF($B770="","",CHOOSE(WEEKDAY($B770),"الأحد","الاثنين","الثلاثاء","الأربعاء","الخميس","الجمعة","السبت"))</f>
        <v/>
      </c>
      <c r="O770" s="23">
        <f>IF(OR($K770="",$L770=""),"",HYPERLINK("https://maps.google.com/?q="&amp;$K770&amp;","&amp;$L770,"عرض الموقع"))</f>
        <v/>
      </c>
      <c r="P770" s="23">
        <f>IF(OR($B770="",N($J770)=0),"",HYPERLINK(PhotoDir&amp;"/"&amp;YEAR($B770)&amp;"-"&amp;TEXT(MONTH($B770),"00")&amp;"-"&amp;TEXT(DAY($B770),"00")&amp;"_"&amp;$D770,"فتح الصور ("&amp;$J770&amp;")"))</f>
        <v/>
      </c>
      <c r="Q770" s="24">
        <f>IF($B770="","",MONTH($B770))</f>
        <v/>
      </c>
      <c r="R770" s="24">
        <f>IF($B770="","",YEAR($B770))</f>
        <v/>
      </c>
      <c r="S770" s="25">
        <f>IF($B770="","",$B770-WEEKDAY($B770,3))</f>
        <v/>
      </c>
      <c r="T770" s="24">
        <f>IF($B770="",0,IF(COUNTIFS($B$5:$B770,$B770,$D$5:$D770,$D770)=1,1,0))</f>
        <v/>
      </c>
      <c r="U770" s="24">
        <f>IF($B770="",0,IF(COUNTIFS($B$5:$B770,$B770,$C$5:$C770,$C770)=1,1,0))</f>
        <v/>
      </c>
      <c r="V770" s="24">
        <f>IF(OR($B770="",$G770="",$G770="لا توجد مشاهدات"),0,1)</f>
        <v/>
      </c>
      <c r="W770" s="24">
        <f>IF(AND($B770&lt;&gt;"",$I770="تم تحرير مخالفة"),1,0)</f>
        <v/>
      </c>
      <c r="X770" s="24">
        <f>IF($B770="","",IF($S770=WkStart,COUNTIF($S$5:$S770,WkStart),""))</f>
        <v/>
      </c>
    </row>
    <row r="771">
      <c r="A771" s="16">
        <f>IF($B771="","",ROW()-4)</f>
        <v/>
      </c>
      <c r="B771" s="17" t="n"/>
      <c r="C771" s="18" t="n"/>
      <c r="D771" s="18" t="n"/>
      <c r="E771" s="19" t="n"/>
      <c r="F771" s="19" t="n"/>
      <c r="G771" s="18" t="n"/>
      <c r="H771" s="18" t="n"/>
      <c r="I771" s="18" t="n"/>
      <c r="J771" s="20" t="n"/>
      <c r="K771" s="21" t="n"/>
      <c r="L771" s="21" t="n"/>
      <c r="M771" s="18" t="n"/>
      <c r="N771" s="22">
        <f>IF($B771="","",CHOOSE(WEEKDAY($B771),"الأحد","الاثنين","الثلاثاء","الأربعاء","الخميس","الجمعة","السبت"))</f>
        <v/>
      </c>
      <c r="O771" s="23">
        <f>IF(OR($K771="",$L771=""),"",HYPERLINK("https://maps.google.com/?q="&amp;$K771&amp;","&amp;$L771,"عرض الموقع"))</f>
        <v/>
      </c>
      <c r="P771" s="23">
        <f>IF(OR($B771="",N($J771)=0),"",HYPERLINK(PhotoDir&amp;"/"&amp;YEAR($B771)&amp;"-"&amp;TEXT(MONTH($B771),"00")&amp;"-"&amp;TEXT(DAY($B771),"00")&amp;"_"&amp;$D771,"فتح الصور ("&amp;$J771&amp;")"))</f>
        <v/>
      </c>
      <c r="Q771" s="24">
        <f>IF($B771="","",MONTH($B771))</f>
        <v/>
      </c>
      <c r="R771" s="24">
        <f>IF($B771="","",YEAR($B771))</f>
        <v/>
      </c>
      <c r="S771" s="25">
        <f>IF($B771="","",$B771-WEEKDAY($B771,3))</f>
        <v/>
      </c>
      <c r="T771" s="24">
        <f>IF($B771="",0,IF(COUNTIFS($B$5:$B771,$B771,$D$5:$D771,$D771)=1,1,0))</f>
        <v/>
      </c>
      <c r="U771" s="24">
        <f>IF($B771="",0,IF(COUNTIFS($B$5:$B771,$B771,$C$5:$C771,$C771)=1,1,0))</f>
        <v/>
      </c>
      <c r="V771" s="24">
        <f>IF(OR($B771="",$G771="",$G771="لا توجد مشاهدات"),0,1)</f>
        <v/>
      </c>
      <c r="W771" s="24">
        <f>IF(AND($B771&lt;&gt;"",$I771="تم تحرير مخالفة"),1,0)</f>
        <v/>
      </c>
      <c r="X771" s="24">
        <f>IF($B771="","",IF($S771=WkStart,COUNTIF($S$5:$S771,WkStart),""))</f>
        <v/>
      </c>
    </row>
    <row r="772">
      <c r="A772" s="16">
        <f>IF($B772="","",ROW()-4)</f>
        <v/>
      </c>
      <c r="B772" s="17" t="n"/>
      <c r="C772" s="18" t="n"/>
      <c r="D772" s="18" t="n"/>
      <c r="E772" s="19" t="n"/>
      <c r="F772" s="19" t="n"/>
      <c r="G772" s="18" t="n"/>
      <c r="H772" s="18" t="n"/>
      <c r="I772" s="18" t="n"/>
      <c r="J772" s="20" t="n"/>
      <c r="K772" s="21" t="n"/>
      <c r="L772" s="21" t="n"/>
      <c r="M772" s="18" t="n"/>
      <c r="N772" s="22">
        <f>IF($B772="","",CHOOSE(WEEKDAY($B772),"الأحد","الاثنين","الثلاثاء","الأربعاء","الخميس","الجمعة","السبت"))</f>
        <v/>
      </c>
      <c r="O772" s="23">
        <f>IF(OR($K772="",$L772=""),"",HYPERLINK("https://maps.google.com/?q="&amp;$K772&amp;","&amp;$L772,"عرض الموقع"))</f>
        <v/>
      </c>
      <c r="P772" s="23">
        <f>IF(OR($B772="",N($J772)=0),"",HYPERLINK(PhotoDir&amp;"/"&amp;YEAR($B772)&amp;"-"&amp;TEXT(MONTH($B772),"00")&amp;"-"&amp;TEXT(DAY($B772),"00")&amp;"_"&amp;$D772,"فتح الصور ("&amp;$J772&amp;")"))</f>
        <v/>
      </c>
      <c r="Q772" s="24">
        <f>IF($B772="","",MONTH($B772))</f>
        <v/>
      </c>
      <c r="R772" s="24">
        <f>IF($B772="","",YEAR($B772))</f>
        <v/>
      </c>
      <c r="S772" s="25">
        <f>IF($B772="","",$B772-WEEKDAY($B772,3))</f>
        <v/>
      </c>
      <c r="T772" s="24">
        <f>IF($B772="",0,IF(COUNTIFS($B$5:$B772,$B772,$D$5:$D772,$D772)=1,1,0))</f>
        <v/>
      </c>
      <c r="U772" s="24">
        <f>IF($B772="",0,IF(COUNTIFS($B$5:$B772,$B772,$C$5:$C772,$C772)=1,1,0))</f>
        <v/>
      </c>
      <c r="V772" s="24">
        <f>IF(OR($B772="",$G772="",$G772="لا توجد مشاهدات"),0,1)</f>
        <v/>
      </c>
      <c r="W772" s="24">
        <f>IF(AND($B772&lt;&gt;"",$I772="تم تحرير مخالفة"),1,0)</f>
        <v/>
      </c>
      <c r="X772" s="24">
        <f>IF($B772="","",IF($S772=WkStart,COUNTIF($S$5:$S772,WkStart),""))</f>
        <v/>
      </c>
    </row>
    <row r="773">
      <c r="A773" s="16">
        <f>IF($B773="","",ROW()-4)</f>
        <v/>
      </c>
      <c r="B773" s="17" t="n"/>
      <c r="C773" s="18" t="n"/>
      <c r="D773" s="18" t="n"/>
      <c r="E773" s="19" t="n"/>
      <c r="F773" s="19" t="n"/>
      <c r="G773" s="18" t="n"/>
      <c r="H773" s="18" t="n"/>
      <c r="I773" s="18" t="n"/>
      <c r="J773" s="20" t="n"/>
      <c r="K773" s="21" t="n"/>
      <c r="L773" s="21" t="n"/>
      <c r="M773" s="18" t="n"/>
      <c r="N773" s="22">
        <f>IF($B773="","",CHOOSE(WEEKDAY($B773),"الأحد","الاثنين","الثلاثاء","الأربعاء","الخميس","الجمعة","السبت"))</f>
        <v/>
      </c>
      <c r="O773" s="23">
        <f>IF(OR($K773="",$L773=""),"",HYPERLINK("https://maps.google.com/?q="&amp;$K773&amp;","&amp;$L773,"عرض الموقع"))</f>
        <v/>
      </c>
      <c r="P773" s="23">
        <f>IF(OR($B773="",N($J773)=0),"",HYPERLINK(PhotoDir&amp;"/"&amp;YEAR($B773)&amp;"-"&amp;TEXT(MONTH($B773),"00")&amp;"-"&amp;TEXT(DAY($B773),"00")&amp;"_"&amp;$D773,"فتح الصور ("&amp;$J773&amp;")"))</f>
        <v/>
      </c>
      <c r="Q773" s="24">
        <f>IF($B773="","",MONTH($B773))</f>
        <v/>
      </c>
      <c r="R773" s="24">
        <f>IF($B773="","",YEAR($B773))</f>
        <v/>
      </c>
      <c r="S773" s="25">
        <f>IF($B773="","",$B773-WEEKDAY($B773,3))</f>
        <v/>
      </c>
      <c r="T773" s="24">
        <f>IF($B773="",0,IF(COUNTIFS($B$5:$B773,$B773,$D$5:$D773,$D773)=1,1,0))</f>
        <v/>
      </c>
      <c r="U773" s="24">
        <f>IF($B773="",0,IF(COUNTIFS($B$5:$B773,$B773,$C$5:$C773,$C773)=1,1,0))</f>
        <v/>
      </c>
      <c r="V773" s="24">
        <f>IF(OR($B773="",$G773="",$G773="لا توجد مشاهدات"),0,1)</f>
        <v/>
      </c>
      <c r="W773" s="24">
        <f>IF(AND($B773&lt;&gt;"",$I773="تم تحرير مخالفة"),1,0)</f>
        <v/>
      </c>
      <c r="X773" s="24">
        <f>IF($B773="","",IF($S773=WkStart,COUNTIF($S$5:$S773,WkStart),""))</f>
        <v/>
      </c>
    </row>
    <row r="774">
      <c r="A774" s="16">
        <f>IF($B774="","",ROW()-4)</f>
        <v/>
      </c>
      <c r="B774" s="17" t="n"/>
      <c r="C774" s="18" t="n"/>
      <c r="D774" s="18" t="n"/>
      <c r="E774" s="19" t="n"/>
      <c r="F774" s="19" t="n"/>
      <c r="G774" s="18" t="n"/>
      <c r="H774" s="18" t="n"/>
      <c r="I774" s="18" t="n"/>
      <c r="J774" s="20" t="n"/>
      <c r="K774" s="21" t="n"/>
      <c r="L774" s="21" t="n"/>
      <c r="M774" s="18" t="n"/>
      <c r="N774" s="22">
        <f>IF($B774="","",CHOOSE(WEEKDAY($B774),"الأحد","الاثنين","الثلاثاء","الأربعاء","الخميس","الجمعة","السبت"))</f>
        <v/>
      </c>
      <c r="O774" s="23">
        <f>IF(OR($K774="",$L774=""),"",HYPERLINK("https://maps.google.com/?q="&amp;$K774&amp;","&amp;$L774,"عرض الموقع"))</f>
        <v/>
      </c>
      <c r="P774" s="23">
        <f>IF(OR($B774="",N($J774)=0),"",HYPERLINK(PhotoDir&amp;"/"&amp;YEAR($B774)&amp;"-"&amp;TEXT(MONTH($B774),"00")&amp;"-"&amp;TEXT(DAY($B774),"00")&amp;"_"&amp;$D774,"فتح الصور ("&amp;$J774&amp;")"))</f>
        <v/>
      </c>
      <c r="Q774" s="24">
        <f>IF($B774="","",MONTH($B774))</f>
        <v/>
      </c>
      <c r="R774" s="24">
        <f>IF($B774="","",YEAR($B774))</f>
        <v/>
      </c>
      <c r="S774" s="25">
        <f>IF($B774="","",$B774-WEEKDAY($B774,3))</f>
        <v/>
      </c>
      <c r="T774" s="24">
        <f>IF($B774="",0,IF(COUNTIFS($B$5:$B774,$B774,$D$5:$D774,$D774)=1,1,0))</f>
        <v/>
      </c>
      <c r="U774" s="24">
        <f>IF($B774="",0,IF(COUNTIFS($B$5:$B774,$B774,$C$5:$C774,$C774)=1,1,0))</f>
        <v/>
      </c>
      <c r="V774" s="24">
        <f>IF(OR($B774="",$G774="",$G774="لا توجد مشاهدات"),0,1)</f>
        <v/>
      </c>
      <c r="W774" s="24">
        <f>IF(AND($B774&lt;&gt;"",$I774="تم تحرير مخالفة"),1,0)</f>
        <v/>
      </c>
      <c r="X774" s="24">
        <f>IF($B774="","",IF($S774=WkStart,COUNTIF($S$5:$S774,WkStart),""))</f>
        <v/>
      </c>
    </row>
    <row r="775">
      <c r="A775" s="16">
        <f>IF($B775="","",ROW()-4)</f>
        <v/>
      </c>
      <c r="B775" s="17" t="n"/>
      <c r="C775" s="18" t="n"/>
      <c r="D775" s="18" t="n"/>
      <c r="E775" s="19" t="n"/>
      <c r="F775" s="19" t="n"/>
      <c r="G775" s="18" t="n"/>
      <c r="H775" s="18" t="n"/>
      <c r="I775" s="18" t="n"/>
      <c r="J775" s="20" t="n"/>
      <c r="K775" s="21" t="n"/>
      <c r="L775" s="21" t="n"/>
      <c r="M775" s="18" t="n"/>
      <c r="N775" s="22">
        <f>IF($B775="","",CHOOSE(WEEKDAY($B775),"الأحد","الاثنين","الثلاثاء","الأربعاء","الخميس","الجمعة","السبت"))</f>
        <v/>
      </c>
      <c r="O775" s="23">
        <f>IF(OR($K775="",$L775=""),"",HYPERLINK("https://maps.google.com/?q="&amp;$K775&amp;","&amp;$L775,"عرض الموقع"))</f>
        <v/>
      </c>
      <c r="P775" s="23">
        <f>IF(OR($B775="",N($J775)=0),"",HYPERLINK(PhotoDir&amp;"/"&amp;YEAR($B775)&amp;"-"&amp;TEXT(MONTH($B775),"00")&amp;"-"&amp;TEXT(DAY($B775),"00")&amp;"_"&amp;$D775,"فتح الصور ("&amp;$J775&amp;")"))</f>
        <v/>
      </c>
      <c r="Q775" s="24">
        <f>IF($B775="","",MONTH($B775))</f>
        <v/>
      </c>
      <c r="R775" s="24">
        <f>IF($B775="","",YEAR($B775))</f>
        <v/>
      </c>
      <c r="S775" s="25">
        <f>IF($B775="","",$B775-WEEKDAY($B775,3))</f>
        <v/>
      </c>
      <c r="T775" s="24">
        <f>IF($B775="",0,IF(COUNTIFS($B$5:$B775,$B775,$D$5:$D775,$D775)=1,1,0))</f>
        <v/>
      </c>
      <c r="U775" s="24">
        <f>IF($B775="",0,IF(COUNTIFS($B$5:$B775,$B775,$C$5:$C775,$C775)=1,1,0))</f>
        <v/>
      </c>
      <c r="V775" s="24">
        <f>IF(OR($B775="",$G775="",$G775="لا توجد مشاهدات"),0,1)</f>
        <v/>
      </c>
      <c r="W775" s="24">
        <f>IF(AND($B775&lt;&gt;"",$I775="تم تحرير مخالفة"),1,0)</f>
        <v/>
      </c>
      <c r="X775" s="24">
        <f>IF($B775="","",IF($S775=WkStart,COUNTIF($S$5:$S775,WkStart),""))</f>
        <v/>
      </c>
    </row>
    <row r="776">
      <c r="A776" s="16">
        <f>IF($B776="","",ROW()-4)</f>
        <v/>
      </c>
      <c r="B776" s="17" t="n"/>
      <c r="C776" s="18" t="n"/>
      <c r="D776" s="18" t="n"/>
      <c r="E776" s="19" t="n"/>
      <c r="F776" s="19" t="n"/>
      <c r="G776" s="18" t="n"/>
      <c r="H776" s="18" t="n"/>
      <c r="I776" s="18" t="n"/>
      <c r="J776" s="20" t="n"/>
      <c r="K776" s="21" t="n"/>
      <c r="L776" s="21" t="n"/>
      <c r="M776" s="18" t="n"/>
      <c r="N776" s="22">
        <f>IF($B776="","",CHOOSE(WEEKDAY($B776),"الأحد","الاثنين","الثلاثاء","الأربعاء","الخميس","الجمعة","السبت"))</f>
        <v/>
      </c>
      <c r="O776" s="23">
        <f>IF(OR($K776="",$L776=""),"",HYPERLINK("https://maps.google.com/?q="&amp;$K776&amp;","&amp;$L776,"عرض الموقع"))</f>
        <v/>
      </c>
      <c r="P776" s="23">
        <f>IF(OR($B776="",N($J776)=0),"",HYPERLINK(PhotoDir&amp;"/"&amp;YEAR($B776)&amp;"-"&amp;TEXT(MONTH($B776),"00")&amp;"-"&amp;TEXT(DAY($B776),"00")&amp;"_"&amp;$D776,"فتح الصور ("&amp;$J776&amp;")"))</f>
        <v/>
      </c>
      <c r="Q776" s="24">
        <f>IF($B776="","",MONTH($B776))</f>
        <v/>
      </c>
      <c r="R776" s="24">
        <f>IF($B776="","",YEAR($B776))</f>
        <v/>
      </c>
      <c r="S776" s="25">
        <f>IF($B776="","",$B776-WEEKDAY($B776,3))</f>
        <v/>
      </c>
      <c r="T776" s="24">
        <f>IF($B776="",0,IF(COUNTIFS($B$5:$B776,$B776,$D$5:$D776,$D776)=1,1,0))</f>
        <v/>
      </c>
      <c r="U776" s="24">
        <f>IF($B776="",0,IF(COUNTIFS($B$5:$B776,$B776,$C$5:$C776,$C776)=1,1,0))</f>
        <v/>
      </c>
      <c r="V776" s="24">
        <f>IF(OR($B776="",$G776="",$G776="لا توجد مشاهدات"),0,1)</f>
        <v/>
      </c>
      <c r="W776" s="24">
        <f>IF(AND($B776&lt;&gt;"",$I776="تم تحرير مخالفة"),1,0)</f>
        <v/>
      </c>
      <c r="X776" s="24">
        <f>IF($B776="","",IF($S776=WkStart,COUNTIF($S$5:$S776,WkStart),""))</f>
        <v/>
      </c>
    </row>
    <row r="777">
      <c r="A777" s="16">
        <f>IF($B777="","",ROW()-4)</f>
        <v/>
      </c>
      <c r="B777" s="17" t="n"/>
      <c r="C777" s="18" t="n"/>
      <c r="D777" s="18" t="n"/>
      <c r="E777" s="19" t="n"/>
      <c r="F777" s="19" t="n"/>
      <c r="G777" s="18" t="n"/>
      <c r="H777" s="18" t="n"/>
      <c r="I777" s="18" t="n"/>
      <c r="J777" s="20" t="n"/>
      <c r="K777" s="21" t="n"/>
      <c r="L777" s="21" t="n"/>
      <c r="M777" s="18" t="n"/>
      <c r="N777" s="22">
        <f>IF($B777="","",CHOOSE(WEEKDAY($B777),"الأحد","الاثنين","الثلاثاء","الأربعاء","الخميس","الجمعة","السبت"))</f>
        <v/>
      </c>
      <c r="O777" s="23">
        <f>IF(OR($K777="",$L777=""),"",HYPERLINK("https://maps.google.com/?q="&amp;$K777&amp;","&amp;$L777,"عرض الموقع"))</f>
        <v/>
      </c>
      <c r="P777" s="23">
        <f>IF(OR($B777="",N($J777)=0),"",HYPERLINK(PhotoDir&amp;"/"&amp;YEAR($B777)&amp;"-"&amp;TEXT(MONTH($B777),"00")&amp;"-"&amp;TEXT(DAY($B777),"00")&amp;"_"&amp;$D777,"فتح الصور ("&amp;$J777&amp;")"))</f>
        <v/>
      </c>
      <c r="Q777" s="24">
        <f>IF($B777="","",MONTH($B777))</f>
        <v/>
      </c>
      <c r="R777" s="24">
        <f>IF($B777="","",YEAR($B777))</f>
        <v/>
      </c>
      <c r="S777" s="25">
        <f>IF($B777="","",$B777-WEEKDAY($B777,3))</f>
        <v/>
      </c>
      <c r="T777" s="24">
        <f>IF($B777="",0,IF(COUNTIFS($B$5:$B777,$B777,$D$5:$D777,$D777)=1,1,0))</f>
        <v/>
      </c>
      <c r="U777" s="24">
        <f>IF($B777="",0,IF(COUNTIFS($B$5:$B777,$B777,$C$5:$C777,$C777)=1,1,0))</f>
        <v/>
      </c>
      <c r="V777" s="24">
        <f>IF(OR($B777="",$G777="",$G777="لا توجد مشاهدات"),0,1)</f>
        <v/>
      </c>
      <c r="W777" s="24">
        <f>IF(AND($B777&lt;&gt;"",$I777="تم تحرير مخالفة"),1,0)</f>
        <v/>
      </c>
      <c r="X777" s="24">
        <f>IF($B777="","",IF($S777=WkStart,COUNTIF($S$5:$S777,WkStart),""))</f>
        <v/>
      </c>
    </row>
    <row r="778">
      <c r="A778" s="16">
        <f>IF($B778="","",ROW()-4)</f>
        <v/>
      </c>
      <c r="B778" s="17" t="n"/>
      <c r="C778" s="18" t="n"/>
      <c r="D778" s="18" t="n"/>
      <c r="E778" s="19" t="n"/>
      <c r="F778" s="19" t="n"/>
      <c r="G778" s="18" t="n"/>
      <c r="H778" s="18" t="n"/>
      <c r="I778" s="18" t="n"/>
      <c r="J778" s="20" t="n"/>
      <c r="K778" s="21" t="n"/>
      <c r="L778" s="21" t="n"/>
      <c r="M778" s="18" t="n"/>
      <c r="N778" s="22">
        <f>IF($B778="","",CHOOSE(WEEKDAY($B778),"الأحد","الاثنين","الثلاثاء","الأربعاء","الخميس","الجمعة","السبت"))</f>
        <v/>
      </c>
      <c r="O778" s="23">
        <f>IF(OR($K778="",$L778=""),"",HYPERLINK("https://maps.google.com/?q="&amp;$K778&amp;","&amp;$L778,"عرض الموقع"))</f>
        <v/>
      </c>
      <c r="P778" s="23">
        <f>IF(OR($B778="",N($J778)=0),"",HYPERLINK(PhotoDir&amp;"/"&amp;YEAR($B778)&amp;"-"&amp;TEXT(MONTH($B778),"00")&amp;"-"&amp;TEXT(DAY($B778),"00")&amp;"_"&amp;$D778,"فتح الصور ("&amp;$J778&amp;")"))</f>
        <v/>
      </c>
      <c r="Q778" s="24">
        <f>IF($B778="","",MONTH($B778))</f>
        <v/>
      </c>
      <c r="R778" s="24">
        <f>IF($B778="","",YEAR($B778))</f>
        <v/>
      </c>
      <c r="S778" s="25">
        <f>IF($B778="","",$B778-WEEKDAY($B778,3))</f>
        <v/>
      </c>
      <c r="T778" s="24">
        <f>IF($B778="",0,IF(COUNTIFS($B$5:$B778,$B778,$D$5:$D778,$D778)=1,1,0))</f>
        <v/>
      </c>
      <c r="U778" s="24">
        <f>IF($B778="",0,IF(COUNTIFS($B$5:$B778,$B778,$C$5:$C778,$C778)=1,1,0))</f>
        <v/>
      </c>
      <c r="V778" s="24">
        <f>IF(OR($B778="",$G778="",$G778="لا توجد مشاهدات"),0,1)</f>
        <v/>
      </c>
      <c r="W778" s="24">
        <f>IF(AND($B778&lt;&gt;"",$I778="تم تحرير مخالفة"),1,0)</f>
        <v/>
      </c>
      <c r="X778" s="24">
        <f>IF($B778="","",IF($S778=WkStart,COUNTIF($S$5:$S778,WkStart),""))</f>
        <v/>
      </c>
    </row>
    <row r="779">
      <c r="A779" s="16">
        <f>IF($B779="","",ROW()-4)</f>
        <v/>
      </c>
      <c r="B779" s="17" t="n"/>
      <c r="C779" s="18" t="n"/>
      <c r="D779" s="18" t="n"/>
      <c r="E779" s="19" t="n"/>
      <c r="F779" s="19" t="n"/>
      <c r="G779" s="18" t="n"/>
      <c r="H779" s="18" t="n"/>
      <c r="I779" s="18" t="n"/>
      <c r="J779" s="20" t="n"/>
      <c r="K779" s="21" t="n"/>
      <c r="L779" s="21" t="n"/>
      <c r="M779" s="18" t="n"/>
      <c r="N779" s="22">
        <f>IF($B779="","",CHOOSE(WEEKDAY($B779),"الأحد","الاثنين","الثلاثاء","الأربعاء","الخميس","الجمعة","السبت"))</f>
        <v/>
      </c>
      <c r="O779" s="23">
        <f>IF(OR($K779="",$L779=""),"",HYPERLINK("https://maps.google.com/?q="&amp;$K779&amp;","&amp;$L779,"عرض الموقع"))</f>
        <v/>
      </c>
      <c r="P779" s="23">
        <f>IF(OR($B779="",N($J779)=0),"",HYPERLINK(PhotoDir&amp;"/"&amp;YEAR($B779)&amp;"-"&amp;TEXT(MONTH($B779),"00")&amp;"-"&amp;TEXT(DAY($B779),"00")&amp;"_"&amp;$D779,"فتح الصور ("&amp;$J779&amp;")"))</f>
        <v/>
      </c>
      <c r="Q779" s="24">
        <f>IF($B779="","",MONTH($B779))</f>
        <v/>
      </c>
      <c r="R779" s="24">
        <f>IF($B779="","",YEAR($B779))</f>
        <v/>
      </c>
      <c r="S779" s="25">
        <f>IF($B779="","",$B779-WEEKDAY($B779,3))</f>
        <v/>
      </c>
      <c r="T779" s="24">
        <f>IF($B779="",0,IF(COUNTIFS($B$5:$B779,$B779,$D$5:$D779,$D779)=1,1,0))</f>
        <v/>
      </c>
      <c r="U779" s="24">
        <f>IF($B779="",0,IF(COUNTIFS($B$5:$B779,$B779,$C$5:$C779,$C779)=1,1,0))</f>
        <v/>
      </c>
      <c r="V779" s="24">
        <f>IF(OR($B779="",$G779="",$G779="لا توجد مشاهدات"),0,1)</f>
        <v/>
      </c>
      <c r="W779" s="24">
        <f>IF(AND($B779&lt;&gt;"",$I779="تم تحرير مخالفة"),1,0)</f>
        <v/>
      </c>
      <c r="X779" s="24">
        <f>IF($B779="","",IF($S779=WkStart,COUNTIF($S$5:$S779,WkStart),""))</f>
        <v/>
      </c>
    </row>
    <row r="780">
      <c r="A780" s="16">
        <f>IF($B780="","",ROW()-4)</f>
        <v/>
      </c>
      <c r="B780" s="17" t="n"/>
      <c r="C780" s="18" t="n"/>
      <c r="D780" s="18" t="n"/>
      <c r="E780" s="19" t="n"/>
      <c r="F780" s="19" t="n"/>
      <c r="G780" s="18" t="n"/>
      <c r="H780" s="18" t="n"/>
      <c r="I780" s="18" t="n"/>
      <c r="J780" s="20" t="n"/>
      <c r="K780" s="21" t="n"/>
      <c r="L780" s="21" t="n"/>
      <c r="M780" s="18" t="n"/>
      <c r="N780" s="22">
        <f>IF($B780="","",CHOOSE(WEEKDAY($B780),"الأحد","الاثنين","الثلاثاء","الأربعاء","الخميس","الجمعة","السبت"))</f>
        <v/>
      </c>
      <c r="O780" s="23">
        <f>IF(OR($K780="",$L780=""),"",HYPERLINK("https://maps.google.com/?q="&amp;$K780&amp;","&amp;$L780,"عرض الموقع"))</f>
        <v/>
      </c>
      <c r="P780" s="23">
        <f>IF(OR($B780="",N($J780)=0),"",HYPERLINK(PhotoDir&amp;"/"&amp;YEAR($B780)&amp;"-"&amp;TEXT(MONTH($B780),"00")&amp;"-"&amp;TEXT(DAY($B780),"00")&amp;"_"&amp;$D780,"فتح الصور ("&amp;$J780&amp;")"))</f>
        <v/>
      </c>
      <c r="Q780" s="24">
        <f>IF($B780="","",MONTH($B780))</f>
        <v/>
      </c>
      <c r="R780" s="24">
        <f>IF($B780="","",YEAR($B780))</f>
        <v/>
      </c>
      <c r="S780" s="25">
        <f>IF($B780="","",$B780-WEEKDAY($B780,3))</f>
        <v/>
      </c>
      <c r="T780" s="24">
        <f>IF($B780="",0,IF(COUNTIFS($B$5:$B780,$B780,$D$5:$D780,$D780)=1,1,0))</f>
        <v/>
      </c>
      <c r="U780" s="24">
        <f>IF($B780="",0,IF(COUNTIFS($B$5:$B780,$B780,$C$5:$C780,$C780)=1,1,0))</f>
        <v/>
      </c>
      <c r="V780" s="24">
        <f>IF(OR($B780="",$G780="",$G780="لا توجد مشاهدات"),0,1)</f>
        <v/>
      </c>
      <c r="W780" s="24">
        <f>IF(AND($B780&lt;&gt;"",$I780="تم تحرير مخالفة"),1,0)</f>
        <v/>
      </c>
      <c r="X780" s="24">
        <f>IF($B780="","",IF($S780=WkStart,COUNTIF($S$5:$S780,WkStart),""))</f>
        <v/>
      </c>
    </row>
    <row r="781">
      <c r="A781" s="16">
        <f>IF($B781="","",ROW()-4)</f>
        <v/>
      </c>
      <c r="B781" s="17" t="n"/>
      <c r="C781" s="18" t="n"/>
      <c r="D781" s="18" t="n"/>
      <c r="E781" s="19" t="n"/>
      <c r="F781" s="19" t="n"/>
      <c r="G781" s="18" t="n"/>
      <c r="H781" s="18" t="n"/>
      <c r="I781" s="18" t="n"/>
      <c r="J781" s="20" t="n"/>
      <c r="K781" s="21" t="n"/>
      <c r="L781" s="21" t="n"/>
      <c r="M781" s="18" t="n"/>
      <c r="N781" s="22">
        <f>IF($B781="","",CHOOSE(WEEKDAY($B781),"الأحد","الاثنين","الثلاثاء","الأربعاء","الخميس","الجمعة","السبت"))</f>
        <v/>
      </c>
      <c r="O781" s="23">
        <f>IF(OR($K781="",$L781=""),"",HYPERLINK("https://maps.google.com/?q="&amp;$K781&amp;","&amp;$L781,"عرض الموقع"))</f>
        <v/>
      </c>
      <c r="P781" s="23">
        <f>IF(OR($B781="",N($J781)=0),"",HYPERLINK(PhotoDir&amp;"/"&amp;YEAR($B781)&amp;"-"&amp;TEXT(MONTH($B781),"00")&amp;"-"&amp;TEXT(DAY($B781),"00")&amp;"_"&amp;$D781,"فتح الصور ("&amp;$J781&amp;")"))</f>
        <v/>
      </c>
      <c r="Q781" s="24">
        <f>IF($B781="","",MONTH($B781))</f>
        <v/>
      </c>
      <c r="R781" s="24">
        <f>IF($B781="","",YEAR($B781))</f>
        <v/>
      </c>
      <c r="S781" s="25">
        <f>IF($B781="","",$B781-WEEKDAY($B781,3))</f>
        <v/>
      </c>
      <c r="T781" s="24">
        <f>IF($B781="",0,IF(COUNTIFS($B$5:$B781,$B781,$D$5:$D781,$D781)=1,1,0))</f>
        <v/>
      </c>
      <c r="U781" s="24">
        <f>IF($B781="",0,IF(COUNTIFS($B$5:$B781,$B781,$C$5:$C781,$C781)=1,1,0))</f>
        <v/>
      </c>
      <c r="V781" s="24">
        <f>IF(OR($B781="",$G781="",$G781="لا توجد مشاهدات"),0,1)</f>
        <v/>
      </c>
      <c r="W781" s="24">
        <f>IF(AND($B781&lt;&gt;"",$I781="تم تحرير مخالفة"),1,0)</f>
        <v/>
      </c>
      <c r="X781" s="24">
        <f>IF($B781="","",IF($S781=WkStart,COUNTIF($S$5:$S781,WkStart),""))</f>
        <v/>
      </c>
    </row>
    <row r="782">
      <c r="A782" s="16">
        <f>IF($B782="","",ROW()-4)</f>
        <v/>
      </c>
      <c r="B782" s="17" t="n"/>
      <c r="C782" s="18" t="n"/>
      <c r="D782" s="18" t="n"/>
      <c r="E782" s="19" t="n"/>
      <c r="F782" s="19" t="n"/>
      <c r="G782" s="18" t="n"/>
      <c r="H782" s="18" t="n"/>
      <c r="I782" s="18" t="n"/>
      <c r="J782" s="20" t="n"/>
      <c r="K782" s="21" t="n"/>
      <c r="L782" s="21" t="n"/>
      <c r="M782" s="18" t="n"/>
      <c r="N782" s="22">
        <f>IF($B782="","",CHOOSE(WEEKDAY($B782),"الأحد","الاثنين","الثلاثاء","الأربعاء","الخميس","الجمعة","السبت"))</f>
        <v/>
      </c>
      <c r="O782" s="23">
        <f>IF(OR($K782="",$L782=""),"",HYPERLINK("https://maps.google.com/?q="&amp;$K782&amp;","&amp;$L782,"عرض الموقع"))</f>
        <v/>
      </c>
      <c r="P782" s="23">
        <f>IF(OR($B782="",N($J782)=0),"",HYPERLINK(PhotoDir&amp;"/"&amp;YEAR($B782)&amp;"-"&amp;TEXT(MONTH($B782),"00")&amp;"-"&amp;TEXT(DAY($B782),"00")&amp;"_"&amp;$D782,"فتح الصور ("&amp;$J782&amp;")"))</f>
        <v/>
      </c>
      <c r="Q782" s="24">
        <f>IF($B782="","",MONTH($B782))</f>
        <v/>
      </c>
      <c r="R782" s="24">
        <f>IF($B782="","",YEAR($B782))</f>
        <v/>
      </c>
      <c r="S782" s="25">
        <f>IF($B782="","",$B782-WEEKDAY($B782,3))</f>
        <v/>
      </c>
      <c r="T782" s="24">
        <f>IF($B782="",0,IF(COUNTIFS($B$5:$B782,$B782,$D$5:$D782,$D782)=1,1,0))</f>
        <v/>
      </c>
      <c r="U782" s="24">
        <f>IF($B782="",0,IF(COUNTIFS($B$5:$B782,$B782,$C$5:$C782,$C782)=1,1,0))</f>
        <v/>
      </c>
      <c r="V782" s="24">
        <f>IF(OR($B782="",$G782="",$G782="لا توجد مشاهدات"),0,1)</f>
        <v/>
      </c>
      <c r="W782" s="24">
        <f>IF(AND($B782&lt;&gt;"",$I782="تم تحرير مخالفة"),1,0)</f>
        <v/>
      </c>
      <c r="X782" s="24">
        <f>IF($B782="","",IF($S782=WkStart,COUNTIF($S$5:$S782,WkStart),""))</f>
        <v/>
      </c>
    </row>
    <row r="783">
      <c r="A783" s="16">
        <f>IF($B783="","",ROW()-4)</f>
        <v/>
      </c>
      <c r="B783" s="17" t="n"/>
      <c r="C783" s="18" t="n"/>
      <c r="D783" s="18" t="n"/>
      <c r="E783" s="19" t="n"/>
      <c r="F783" s="19" t="n"/>
      <c r="G783" s="18" t="n"/>
      <c r="H783" s="18" t="n"/>
      <c r="I783" s="18" t="n"/>
      <c r="J783" s="20" t="n"/>
      <c r="K783" s="21" t="n"/>
      <c r="L783" s="21" t="n"/>
      <c r="M783" s="18" t="n"/>
      <c r="N783" s="22">
        <f>IF($B783="","",CHOOSE(WEEKDAY($B783),"الأحد","الاثنين","الثلاثاء","الأربعاء","الخميس","الجمعة","السبت"))</f>
        <v/>
      </c>
      <c r="O783" s="23">
        <f>IF(OR($K783="",$L783=""),"",HYPERLINK("https://maps.google.com/?q="&amp;$K783&amp;","&amp;$L783,"عرض الموقع"))</f>
        <v/>
      </c>
      <c r="P783" s="23">
        <f>IF(OR($B783="",N($J783)=0),"",HYPERLINK(PhotoDir&amp;"/"&amp;YEAR($B783)&amp;"-"&amp;TEXT(MONTH($B783),"00")&amp;"-"&amp;TEXT(DAY($B783),"00")&amp;"_"&amp;$D783,"فتح الصور ("&amp;$J783&amp;")"))</f>
        <v/>
      </c>
      <c r="Q783" s="24">
        <f>IF($B783="","",MONTH($B783))</f>
        <v/>
      </c>
      <c r="R783" s="24">
        <f>IF($B783="","",YEAR($B783))</f>
        <v/>
      </c>
      <c r="S783" s="25">
        <f>IF($B783="","",$B783-WEEKDAY($B783,3))</f>
        <v/>
      </c>
      <c r="T783" s="24">
        <f>IF($B783="",0,IF(COUNTIFS($B$5:$B783,$B783,$D$5:$D783,$D783)=1,1,0))</f>
        <v/>
      </c>
      <c r="U783" s="24">
        <f>IF($B783="",0,IF(COUNTIFS($B$5:$B783,$B783,$C$5:$C783,$C783)=1,1,0))</f>
        <v/>
      </c>
      <c r="V783" s="24">
        <f>IF(OR($B783="",$G783="",$G783="لا توجد مشاهدات"),0,1)</f>
        <v/>
      </c>
      <c r="W783" s="24">
        <f>IF(AND($B783&lt;&gt;"",$I783="تم تحرير مخالفة"),1,0)</f>
        <v/>
      </c>
      <c r="X783" s="24">
        <f>IF($B783="","",IF($S783=WkStart,COUNTIF($S$5:$S783,WkStart),""))</f>
        <v/>
      </c>
    </row>
    <row r="784">
      <c r="A784" s="16">
        <f>IF($B784="","",ROW()-4)</f>
        <v/>
      </c>
      <c r="B784" s="17" t="n"/>
      <c r="C784" s="18" t="n"/>
      <c r="D784" s="18" t="n"/>
      <c r="E784" s="19" t="n"/>
      <c r="F784" s="19" t="n"/>
      <c r="G784" s="18" t="n"/>
      <c r="H784" s="18" t="n"/>
      <c r="I784" s="18" t="n"/>
      <c r="J784" s="20" t="n"/>
      <c r="K784" s="21" t="n"/>
      <c r="L784" s="21" t="n"/>
      <c r="M784" s="18" t="n"/>
      <c r="N784" s="22">
        <f>IF($B784="","",CHOOSE(WEEKDAY($B784),"الأحد","الاثنين","الثلاثاء","الأربعاء","الخميس","الجمعة","السبت"))</f>
        <v/>
      </c>
      <c r="O784" s="23">
        <f>IF(OR($K784="",$L784=""),"",HYPERLINK("https://maps.google.com/?q="&amp;$K784&amp;","&amp;$L784,"عرض الموقع"))</f>
        <v/>
      </c>
      <c r="P784" s="23">
        <f>IF(OR($B784="",N($J784)=0),"",HYPERLINK(PhotoDir&amp;"/"&amp;YEAR($B784)&amp;"-"&amp;TEXT(MONTH($B784),"00")&amp;"-"&amp;TEXT(DAY($B784),"00")&amp;"_"&amp;$D784,"فتح الصور ("&amp;$J784&amp;")"))</f>
        <v/>
      </c>
      <c r="Q784" s="24">
        <f>IF($B784="","",MONTH($B784))</f>
        <v/>
      </c>
      <c r="R784" s="24">
        <f>IF($B784="","",YEAR($B784))</f>
        <v/>
      </c>
      <c r="S784" s="25">
        <f>IF($B784="","",$B784-WEEKDAY($B784,3))</f>
        <v/>
      </c>
      <c r="T784" s="24">
        <f>IF($B784="",0,IF(COUNTIFS($B$5:$B784,$B784,$D$5:$D784,$D784)=1,1,0))</f>
        <v/>
      </c>
      <c r="U784" s="24">
        <f>IF($B784="",0,IF(COUNTIFS($B$5:$B784,$B784,$C$5:$C784,$C784)=1,1,0))</f>
        <v/>
      </c>
      <c r="V784" s="24">
        <f>IF(OR($B784="",$G784="",$G784="لا توجد مشاهدات"),0,1)</f>
        <v/>
      </c>
      <c r="W784" s="24">
        <f>IF(AND($B784&lt;&gt;"",$I784="تم تحرير مخالفة"),1,0)</f>
        <v/>
      </c>
      <c r="X784" s="24">
        <f>IF($B784="","",IF($S784=WkStart,COUNTIF($S$5:$S784,WkStart),""))</f>
        <v/>
      </c>
    </row>
    <row r="785">
      <c r="A785" s="16">
        <f>IF($B785="","",ROW()-4)</f>
        <v/>
      </c>
      <c r="B785" s="17" t="n"/>
      <c r="C785" s="18" t="n"/>
      <c r="D785" s="18" t="n"/>
      <c r="E785" s="19" t="n"/>
      <c r="F785" s="19" t="n"/>
      <c r="G785" s="18" t="n"/>
      <c r="H785" s="18" t="n"/>
      <c r="I785" s="18" t="n"/>
      <c r="J785" s="20" t="n"/>
      <c r="K785" s="21" t="n"/>
      <c r="L785" s="21" t="n"/>
      <c r="M785" s="18" t="n"/>
      <c r="N785" s="22">
        <f>IF($B785="","",CHOOSE(WEEKDAY($B785),"الأحد","الاثنين","الثلاثاء","الأربعاء","الخميس","الجمعة","السبت"))</f>
        <v/>
      </c>
      <c r="O785" s="23">
        <f>IF(OR($K785="",$L785=""),"",HYPERLINK("https://maps.google.com/?q="&amp;$K785&amp;","&amp;$L785,"عرض الموقع"))</f>
        <v/>
      </c>
      <c r="P785" s="23">
        <f>IF(OR($B785="",N($J785)=0),"",HYPERLINK(PhotoDir&amp;"/"&amp;YEAR($B785)&amp;"-"&amp;TEXT(MONTH($B785),"00")&amp;"-"&amp;TEXT(DAY($B785),"00")&amp;"_"&amp;$D785,"فتح الصور ("&amp;$J785&amp;")"))</f>
        <v/>
      </c>
      <c r="Q785" s="24">
        <f>IF($B785="","",MONTH($B785))</f>
        <v/>
      </c>
      <c r="R785" s="24">
        <f>IF($B785="","",YEAR($B785))</f>
        <v/>
      </c>
      <c r="S785" s="25">
        <f>IF($B785="","",$B785-WEEKDAY($B785,3))</f>
        <v/>
      </c>
      <c r="T785" s="24">
        <f>IF($B785="",0,IF(COUNTIFS($B$5:$B785,$B785,$D$5:$D785,$D785)=1,1,0))</f>
        <v/>
      </c>
      <c r="U785" s="24">
        <f>IF($B785="",0,IF(COUNTIFS($B$5:$B785,$B785,$C$5:$C785,$C785)=1,1,0))</f>
        <v/>
      </c>
      <c r="V785" s="24">
        <f>IF(OR($B785="",$G785="",$G785="لا توجد مشاهدات"),0,1)</f>
        <v/>
      </c>
      <c r="W785" s="24">
        <f>IF(AND($B785&lt;&gt;"",$I785="تم تحرير مخالفة"),1,0)</f>
        <v/>
      </c>
      <c r="X785" s="24">
        <f>IF($B785="","",IF($S785=WkStart,COUNTIF($S$5:$S785,WkStart),""))</f>
        <v/>
      </c>
    </row>
    <row r="786">
      <c r="A786" s="16">
        <f>IF($B786="","",ROW()-4)</f>
        <v/>
      </c>
      <c r="B786" s="17" t="n"/>
      <c r="C786" s="18" t="n"/>
      <c r="D786" s="18" t="n"/>
      <c r="E786" s="19" t="n"/>
      <c r="F786" s="19" t="n"/>
      <c r="G786" s="18" t="n"/>
      <c r="H786" s="18" t="n"/>
      <c r="I786" s="18" t="n"/>
      <c r="J786" s="20" t="n"/>
      <c r="K786" s="21" t="n"/>
      <c r="L786" s="21" t="n"/>
      <c r="M786" s="18" t="n"/>
      <c r="N786" s="22">
        <f>IF($B786="","",CHOOSE(WEEKDAY($B786),"الأحد","الاثنين","الثلاثاء","الأربعاء","الخميس","الجمعة","السبت"))</f>
        <v/>
      </c>
      <c r="O786" s="23">
        <f>IF(OR($K786="",$L786=""),"",HYPERLINK("https://maps.google.com/?q="&amp;$K786&amp;","&amp;$L786,"عرض الموقع"))</f>
        <v/>
      </c>
      <c r="P786" s="23">
        <f>IF(OR($B786="",N($J786)=0),"",HYPERLINK(PhotoDir&amp;"/"&amp;YEAR($B786)&amp;"-"&amp;TEXT(MONTH($B786),"00")&amp;"-"&amp;TEXT(DAY($B786),"00")&amp;"_"&amp;$D786,"فتح الصور ("&amp;$J786&amp;")"))</f>
        <v/>
      </c>
      <c r="Q786" s="24">
        <f>IF($B786="","",MONTH($B786))</f>
        <v/>
      </c>
      <c r="R786" s="24">
        <f>IF($B786="","",YEAR($B786))</f>
        <v/>
      </c>
      <c r="S786" s="25">
        <f>IF($B786="","",$B786-WEEKDAY($B786,3))</f>
        <v/>
      </c>
      <c r="T786" s="24">
        <f>IF($B786="",0,IF(COUNTIFS($B$5:$B786,$B786,$D$5:$D786,$D786)=1,1,0))</f>
        <v/>
      </c>
      <c r="U786" s="24">
        <f>IF($B786="",0,IF(COUNTIFS($B$5:$B786,$B786,$C$5:$C786,$C786)=1,1,0))</f>
        <v/>
      </c>
      <c r="V786" s="24">
        <f>IF(OR($B786="",$G786="",$G786="لا توجد مشاهدات"),0,1)</f>
        <v/>
      </c>
      <c r="W786" s="24">
        <f>IF(AND($B786&lt;&gt;"",$I786="تم تحرير مخالفة"),1,0)</f>
        <v/>
      </c>
      <c r="X786" s="24">
        <f>IF($B786="","",IF($S786=WkStart,COUNTIF($S$5:$S786,WkStart),""))</f>
        <v/>
      </c>
    </row>
    <row r="787">
      <c r="A787" s="16">
        <f>IF($B787="","",ROW()-4)</f>
        <v/>
      </c>
      <c r="B787" s="17" t="n"/>
      <c r="C787" s="18" t="n"/>
      <c r="D787" s="18" t="n"/>
      <c r="E787" s="19" t="n"/>
      <c r="F787" s="19" t="n"/>
      <c r="G787" s="18" t="n"/>
      <c r="H787" s="18" t="n"/>
      <c r="I787" s="18" t="n"/>
      <c r="J787" s="20" t="n"/>
      <c r="K787" s="21" t="n"/>
      <c r="L787" s="21" t="n"/>
      <c r="M787" s="18" t="n"/>
      <c r="N787" s="22">
        <f>IF($B787="","",CHOOSE(WEEKDAY($B787),"الأحد","الاثنين","الثلاثاء","الأربعاء","الخميس","الجمعة","السبت"))</f>
        <v/>
      </c>
      <c r="O787" s="23">
        <f>IF(OR($K787="",$L787=""),"",HYPERLINK("https://maps.google.com/?q="&amp;$K787&amp;","&amp;$L787,"عرض الموقع"))</f>
        <v/>
      </c>
      <c r="P787" s="23">
        <f>IF(OR($B787="",N($J787)=0),"",HYPERLINK(PhotoDir&amp;"/"&amp;YEAR($B787)&amp;"-"&amp;TEXT(MONTH($B787),"00")&amp;"-"&amp;TEXT(DAY($B787),"00")&amp;"_"&amp;$D787,"فتح الصور ("&amp;$J787&amp;")"))</f>
        <v/>
      </c>
      <c r="Q787" s="24">
        <f>IF($B787="","",MONTH($B787))</f>
        <v/>
      </c>
      <c r="R787" s="24">
        <f>IF($B787="","",YEAR($B787))</f>
        <v/>
      </c>
      <c r="S787" s="25">
        <f>IF($B787="","",$B787-WEEKDAY($B787,3))</f>
        <v/>
      </c>
      <c r="T787" s="24">
        <f>IF($B787="",0,IF(COUNTIFS($B$5:$B787,$B787,$D$5:$D787,$D787)=1,1,0))</f>
        <v/>
      </c>
      <c r="U787" s="24">
        <f>IF($B787="",0,IF(COUNTIFS($B$5:$B787,$B787,$C$5:$C787,$C787)=1,1,0))</f>
        <v/>
      </c>
      <c r="V787" s="24">
        <f>IF(OR($B787="",$G787="",$G787="لا توجد مشاهدات"),0,1)</f>
        <v/>
      </c>
      <c r="W787" s="24">
        <f>IF(AND($B787&lt;&gt;"",$I787="تم تحرير مخالفة"),1,0)</f>
        <v/>
      </c>
      <c r="X787" s="24">
        <f>IF($B787="","",IF($S787=WkStart,COUNTIF($S$5:$S787,WkStart),""))</f>
        <v/>
      </c>
    </row>
    <row r="788">
      <c r="A788" s="16">
        <f>IF($B788="","",ROW()-4)</f>
        <v/>
      </c>
      <c r="B788" s="17" t="n"/>
      <c r="C788" s="18" t="n"/>
      <c r="D788" s="18" t="n"/>
      <c r="E788" s="19" t="n"/>
      <c r="F788" s="19" t="n"/>
      <c r="G788" s="18" t="n"/>
      <c r="H788" s="18" t="n"/>
      <c r="I788" s="18" t="n"/>
      <c r="J788" s="20" t="n"/>
      <c r="K788" s="21" t="n"/>
      <c r="L788" s="21" t="n"/>
      <c r="M788" s="18" t="n"/>
      <c r="N788" s="22">
        <f>IF($B788="","",CHOOSE(WEEKDAY($B788),"الأحد","الاثنين","الثلاثاء","الأربعاء","الخميس","الجمعة","السبت"))</f>
        <v/>
      </c>
      <c r="O788" s="23">
        <f>IF(OR($K788="",$L788=""),"",HYPERLINK("https://maps.google.com/?q="&amp;$K788&amp;","&amp;$L788,"عرض الموقع"))</f>
        <v/>
      </c>
      <c r="P788" s="23">
        <f>IF(OR($B788="",N($J788)=0),"",HYPERLINK(PhotoDir&amp;"/"&amp;YEAR($B788)&amp;"-"&amp;TEXT(MONTH($B788),"00")&amp;"-"&amp;TEXT(DAY($B788),"00")&amp;"_"&amp;$D788,"فتح الصور ("&amp;$J788&amp;")"))</f>
        <v/>
      </c>
      <c r="Q788" s="24">
        <f>IF($B788="","",MONTH($B788))</f>
        <v/>
      </c>
      <c r="R788" s="24">
        <f>IF($B788="","",YEAR($B788))</f>
        <v/>
      </c>
      <c r="S788" s="25">
        <f>IF($B788="","",$B788-WEEKDAY($B788,3))</f>
        <v/>
      </c>
      <c r="T788" s="24">
        <f>IF($B788="",0,IF(COUNTIFS($B$5:$B788,$B788,$D$5:$D788,$D788)=1,1,0))</f>
        <v/>
      </c>
      <c r="U788" s="24">
        <f>IF($B788="",0,IF(COUNTIFS($B$5:$B788,$B788,$C$5:$C788,$C788)=1,1,0))</f>
        <v/>
      </c>
      <c r="V788" s="24">
        <f>IF(OR($B788="",$G788="",$G788="لا توجد مشاهدات"),0,1)</f>
        <v/>
      </c>
      <c r="W788" s="24">
        <f>IF(AND($B788&lt;&gt;"",$I788="تم تحرير مخالفة"),1,0)</f>
        <v/>
      </c>
      <c r="X788" s="24">
        <f>IF($B788="","",IF($S788=WkStart,COUNTIF($S$5:$S788,WkStart),""))</f>
        <v/>
      </c>
    </row>
    <row r="789">
      <c r="A789" s="16">
        <f>IF($B789="","",ROW()-4)</f>
        <v/>
      </c>
      <c r="B789" s="17" t="n"/>
      <c r="C789" s="18" t="n"/>
      <c r="D789" s="18" t="n"/>
      <c r="E789" s="19" t="n"/>
      <c r="F789" s="19" t="n"/>
      <c r="G789" s="18" t="n"/>
      <c r="H789" s="18" t="n"/>
      <c r="I789" s="18" t="n"/>
      <c r="J789" s="20" t="n"/>
      <c r="K789" s="21" t="n"/>
      <c r="L789" s="21" t="n"/>
      <c r="M789" s="18" t="n"/>
      <c r="N789" s="22">
        <f>IF($B789="","",CHOOSE(WEEKDAY($B789),"الأحد","الاثنين","الثلاثاء","الأربعاء","الخميس","الجمعة","السبت"))</f>
        <v/>
      </c>
      <c r="O789" s="23">
        <f>IF(OR($K789="",$L789=""),"",HYPERLINK("https://maps.google.com/?q="&amp;$K789&amp;","&amp;$L789,"عرض الموقع"))</f>
        <v/>
      </c>
      <c r="P789" s="23">
        <f>IF(OR($B789="",N($J789)=0),"",HYPERLINK(PhotoDir&amp;"/"&amp;YEAR($B789)&amp;"-"&amp;TEXT(MONTH($B789),"00")&amp;"-"&amp;TEXT(DAY($B789),"00")&amp;"_"&amp;$D789,"فتح الصور ("&amp;$J789&amp;")"))</f>
        <v/>
      </c>
      <c r="Q789" s="24">
        <f>IF($B789="","",MONTH($B789))</f>
        <v/>
      </c>
      <c r="R789" s="24">
        <f>IF($B789="","",YEAR($B789))</f>
        <v/>
      </c>
      <c r="S789" s="25">
        <f>IF($B789="","",$B789-WEEKDAY($B789,3))</f>
        <v/>
      </c>
      <c r="T789" s="24">
        <f>IF($B789="",0,IF(COUNTIFS($B$5:$B789,$B789,$D$5:$D789,$D789)=1,1,0))</f>
        <v/>
      </c>
      <c r="U789" s="24">
        <f>IF($B789="",0,IF(COUNTIFS($B$5:$B789,$B789,$C$5:$C789,$C789)=1,1,0))</f>
        <v/>
      </c>
      <c r="V789" s="24">
        <f>IF(OR($B789="",$G789="",$G789="لا توجد مشاهدات"),0,1)</f>
        <v/>
      </c>
      <c r="W789" s="24">
        <f>IF(AND($B789&lt;&gt;"",$I789="تم تحرير مخالفة"),1,0)</f>
        <v/>
      </c>
      <c r="X789" s="24">
        <f>IF($B789="","",IF($S789=WkStart,COUNTIF($S$5:$S789,WkStart),""))</f>
        <v/>
      </c>
    </row>
    <row r="790">
      <c r="A790" s="16">
        <f>IF($B790="","",ROW()-4)</f>
        <v/>
      </c>
      <c r="B790" s="17" t="n"/>
      <c r="C790" s="18" t="n"/>
      <c r="D790" s="18" t="n"/>
      <c r="E790" s="19" t="n"/>
      <c r="F790" s="19" t="n"/>
      <c r="G790" s="18" t="n"/>
      <c r="H790" s="18" t="n"/>
      <c r="I790" s="18" t="n"/>
      <c r="J790" s="20" t="n"/>
      <c r="K790" s="21" t="n"/>
      <c r="L790" s="21" t="n"/>
      <c r="M790" s="18" t="n"/>
      <c r="N790" s="22">
        <f>IF($B790="","",CHOOSE(WEEKDAY($B790),"الأحد","الاثنين","الثلاثاء","الأربعاء","الخميس","الجمعة","السبت"))</f>
        <v/>
      </c>
      <c r="O790" s="23">
        <f>IF(OR($K790="",$L790=""),"",HYPERLINK("https://maps.google.com/?q="&amp;$K790&amp;","&amp;$L790,"عرض الموقع"))</f>
        <v/>
      </c>
      <c r="P790" s="23">
        <f>IF(OR($B790="",N($J790)=0),"",HYPERLINK(PhotoDir&amp;"/"&amp;YEAR($B790)&amp;"-"&amp;TEXT(MONTH($B790),"00")&amp;"-"&amp;TEXT(DAY($B790),"00")&amp;"_"&amp;$D790,"فتح الصور ("&amp;$J790&amp;")"))</f>
        <v/>
      </c>
      <c r="Q790" s="24">
        <f>IF($B790="","",MONTH($B790))</f>
        <v/>
      </c>
      <c r="R790" s="24">
        <f>IF($B790="","",YEAR($B790))</f>
        <v/>
      </c>
      <c r="S790" s="25">
        <f>IF($B790="","",$B790-WEEKDAY($B790,3))</f>
        <v/>
      </c>
      <c r="T790" s="24">
        <f>IF($B790="",0,IF(COUNTIFS($B$5:$B790,$B790,$D$5:$D790,$D790)=1,1,0))</f>
        <v/>
      </c>
      <c r="U790" s="24">
        <f>IF($B790="",0,IF(COUNTIFS($B$5:$B790,$B790,$C$5:$C790,$C790)=1,1,0))</f>
        <v/>
      </c>
      <c r="V790" s="24">
        <f>IF(OR($B790="",$G790="",$G790="لا توجد مشاهدات"),0,1)</f>
        <v/>
      </c>
      <c r="W790" s="24">
        <f>IF(AND($B790&lt;&gt;"",$I790="تم تحرير مخالفة"),1,0)</f>
        <v/>
      </c>
      <c r="X790" s="24">
        <f>IF($B790="","",IF($S790=WkStart,COUNTIF($S$5:$S790,WkStart),""))</f>
        <v/>
      </c>
    </row>
    <row r="791">
      <c r="A791" s="16">
        <f>IF($B791="","",ROW()-4)</f>
        <v/>
      </c>
      <c r="B791" s="17" t="n"/>
      <c r="C791" s="18" t="n"/>
      <c r="D791" s="18" t="n"/>
      <c r="E791" s="19" t="n"/>
      <c r="F791" s="19" t="n"/>
      <c r="G791" s="18" t="n"/>
      <c r="H791" s="18" t="n"/>
      <c r="I791" s="18" t="n"/>
      <c r="J791" s="20" t="n"/>
      <c r="K791" s="21" t="n"/>
      <c r="L791" s="21" t="n"/>
      <c r="M791" s="18" t="n"/>
      <c r="N791" s="22">
        <f>IF($B791="","",CHOOSE(WEEKDAY($B791),"الأحد","الاثنين","الثلاثاء","الأربعاء","الخميس","الجمعة","السبت"))</f>
        <v/>
      </c>
      <c r="O791" s="23">
        <f>IF(OR($K791="",$L791=""),"",HYPERLINK("https://maps.google.com/?q="&amp;$K791&amp;","&amp;$L791,"عرض الموقع"))</f>
        <v/>
      </c>
      <c r="P791" s="23">
        <f>IF(OR($B791="",N($J791)=0),"",HYPERLINK(PhotoDir&amp;"/"&amp;YEAR($B791)&amp;"-"&amp;TEXT(MONTH($B791),"00")&amp;"-"&amp;TEXT(DAY($B791),"00")&amp;"_"&amp;$D791,"فتح الصور ("&amp;$J791&amp;")"))</f>
        <v/>
      </c>
      <c r="Q791" s="24">
        <f>IF($B791="","",MONTH($B791))</f>
        <v/>
      </c>
      <c r="R791" s="24">
        <f>IF($B791="","",YEAR($B791))</f>
        <v/>
      </c>
      <c r="S791" s="25">
        <f>IF($B791="","",$B791-WEEKDAY($B791,3))</f>
        <v/>
      </c>
      <c r="T791" s="24">
        <f>IF($B791="",0,IF(COUNTIFS($B$5:$B791,$B791,$D$5:$D791,$D791)=1,1,0))</f>
        <v/>
      </c>
      <c r="U791" s="24">
        <f>IF($B791="",0,IF(COUNTIFS($B$5:$B791,$B791,$C$5:$C791,$C791)=1,1,0))</f>
        <v/>
      </c>
      <c r="V791" s="24">
        <f>IF(OR($B791="",$G791="",$G791="لا توجد مشاهدات"),0,1)</f>
        <v/>
      </c>
      <c r="W791" s="24">
        <f>IF(AND($B791&lt;&gt;"",$I791="تم تحرير مخالفة"),1,0)</f>
        <v/>
      </c>
      <c r="X791" s="24">
        <f>IF($B791="","",IF($S791=WkStart,COUNTIF($S$5:$S791,WkStart),""))</f>
        <v/>
      </c>
    </row>
    <row r="792">
      <c r="A792" s="16">
        <f>IF($B792="","",ROW()-4)</f>
        <v/>
      </c>
      <c r="B792" s="17" t="n"/>
      <c r="C792" s="18" t="n"/>
      <c r="D792" s="18" t="n"/>
      <c r="E792" s="19" t="n"/>
      <c r="F792" s="19" t="n"/>
      <c r="G792" s="18" t="n"/>
      <c r="H792" s="18" t="n"/>
      <c r="I792" s="18" t="n"/>
      <c r="J792" s="20" t="n"/>
      <c r="K792" s="21" t="n"/>
      <c r="L792" s="21" t="n"/>
      <c r="M792" s="18" t="n"/>
      <c r="N792" s="22">
        <f>IF($B792="","",CHOOSE(WEEKDAY($B792),"الأحد","الاثنين","الثلاثاء","الأربعاء","الخميس","الجمعة","السبت"))</f>
        <v/>
      </c>
      <c r="O792" s="23">
        <f>IF(OR($K792="",$L792=""),"",HYPERLINK("https://maps.google.com/?q="&amp;$K792&amp;","&amp;$L792,"عرض الموقع"))</f>
        <v/>
      </c>
      <c r="P792" s="23">
        <f>IF(OR($B792="",N($J792)=0),"",HYPERLINK(PhotoDir&amp;"/"&amp;YEAR($B792)&amp;"-"&amp;TEXT(MONTH($B792),"00")&amp;"-"&amp;TEXT(DAY($B792),"00")&amp;"_"&amp;$D792,"فتح الصور ("&amp;$J792&amp;")"))</f>
        <v/>
      </c>
      <c r="Q792" s="24">
        <f>IF($B792="","",MONTH($B792))</f>
        <v/>
      </c>
      <c r="R792" s="24">
        <f>IF($B792="","",YEAR($B792))</f>
        <v/>
      </c>
      <c r="S792" s="25">
        <f>IF($B792="","",$B792-WEEKDAY($B792,3))</f>
        <v/>
      </c>
      <c r="T792" s="24">
        <f>IF($B792="",0,IF(COUNTIFS($B$5:$B792,$B792,$D$5:$D792,$D792)=1,1,0))</f>
        <v/>
      </c>
      <c r="U792" s="24">
        <f>IF($B792="",0,IF(COUNTIFS($B$5:$B792,$B792,$C$5:$C792,$C792)=1,1,0))</f>
        <v/>
      </c>
      <c r="V792" s="24">
        <f>IF(OR($B792="",$G792="",$G792="لا توجد مشاهدات"),0,1)</f>
        <v/>
      </c>
      <c r="W792" s="24">
        <f>IF(AND($B792&lt;&gt;"",$I792="تم تحرير مخالفة"),1,0)</f>
        <v/>
      </c>
      <c r="X792" s="24">
        <f>IF($B792="","",IF($S792=WkStart,COUNTIF($S$5:$S792,WkStart),""))</f>
        <v/>
      </c>
    </row>
    <row r="793">
      <c r="A793" s="16">
        <f>IF($B793="","",ROW()-4)</f>
        <v/>
      </c>
      <c r="B793" s="17" t="n"/>
      <c r="C793" s="18" t="n"/>
      <c r="D793" s="18" t="n"/>
      <c r="E793" s="19" t="n"/>
      <c r="F793" s="19" t="n"/>
      <c r="G793" s="18" t="n"/>
      <c r="H793" s="18" t="n"/>
      <c r="I793" s="18" t="n"/>
      <c r="J793" s="20" t="n"/>
      <c r="K793" s="21" t="n"/>
      <c r="L793" s="21" t="n"/>
      <c r="M793" s="18" t="n"/>
      <c r="N793" s="22">
        <f>IF($B793="","",CHOOSE(WEEKDAY($B793),"الأحد","الاثنين","الثلاثاء","الأربعاء","الخميس","الجمعة","السبت"))</f>
        <v/>
      </c>
      <c r="O793" s="23">
        <f>IF(OR($K793="",$L793=""),"",HYPERLINK("https://maps.google.com/?q="&amp;$K793&amp;","&amp;$L793,"عرض الموقع"))</f>
        <v/>
      </c>
      <c r="P793" s="23">
        <f>IF(OR($B793="",N($J793)=0),"",HYPERLINK(PhotoDir&amp;"/"&amp;YEAR($B793)&amp;"-"&amp;TEXT(MONTH($B793),"00")&amp;"-"&amp;TEXT(DAY($B793),"00")&amp;"_"&amp;$D793,"فتح الصور ("&amp;$J793&amp;")"))</f>
        <v/>
      </c>
      <c r="Q793" s="24">
        <f>IF($B793="","",MONTH($B793))</f>
        <v/>
      </c>
      <c r="R793" s="24">
        <f>IF($B793="","",YEAR($B793))</f>
        <v/>
      </c>
      <c r="S793" s="25">
        <f>IF($B793="","",$B793-WEEKDAY($B793,3))</f>
        <v/>
      </c>
      <c r="T793" s="24">
        <f>IF($B793="",0,IF(COUNTIFS($B$5:$B793,$B793,$D$5:$D793,$D793)=1,1,0))</f>
        <v/>
      </c>
      <c r="U793" s="24">
        <f>IF($B793="",0,IF(COUNTIFS($B$5:$B793,$B793,$C$5:$C793,$C793)=1,1,0))</f>
        <v/>
      </c>
      <c r="V793" s="24">
        <f>IF(OR($B793="",$G793="",$G793="لا توجد مشاهدات"),0,1)</f>
        <v/>
      </c>
      <c r="W793" s="24">
        <f>IF(AND($B793&lt;&gt;"",$I793="تم تحرير مخالفة"),1,0)</f>
        <v/>
      </c>
      <c r="X793" s="24">
        <f>IF($B793="","",IF($S793=WkStart,COUNTIF($S$5:$S793,WkStart),""))</f>
        <v/>
      </c>
    </row>
    <row r="794">
      <c r="A794" s="16">
        <f>IF($B794="","",ROW()-4)</f>
        <v/>
      </c>
      <c r="B794" s="17" t="n"/>
      <c r="C794" s="18" t="n"/>
      <c r="D794" s="18" t="n"/>
      <c r="E794" s="19" t="n"/>
      <c r="F794" s="19" t="n"/>
      <c r="G794" s="18" t="n"/>
      <c r="H794" s="18" t="n"/>
      <c r="I794" s="18" t="n"/>
      <c r="J794" s="20" t="n"/>
      <c r="K794" s="21" t="n"/>
      <c r="L794" s="21" t="n"/>
      <c r="M794" s="18" t="n"/>
      <c r="N794" s="22">
        <f>IF($B794="","",CHOOSE(WEEKDAY($B794),"الأحد","الاثنين","الثلاثاء","الأربعاء","الخميس","الجمعة","السبت"))</f>
        <v/>
      </c>
      <c r="O794" s="23">
        <f>IF(OR($K794="",$L794=""),"",HYPERLINK("https://maps.google.com/?q="&amp;$K794&amp;","&amp;$L794,"عرض الموقع"))</f>
        <v/>
      </c>
      <c r="P794" s="23">
        <f>IF(OR($B794="",N($J794)=0),"",HYPERLINK(PhotoDir&amp;"/"&amp;YEAR($B794)&amp;"-"&amp;TEXT(MONTH($B794),"00")&amp;"-"&amp;TEXT(DAY($B794),"00")&amp;"_"&amp;$D794,"فتح الصور ("&amp;$J794&amp;")"))</f>
        <v/>
      </c>
      <c r="Q794" s="24">
        <f>IF($B794="","",MONTH($B794))</f>
        <v/>
      </c>
      <c r="R794" s="24">
        <f>IF($B794="","",YEAR($B794))</f>
        <v/>
      </c>
      <c r="S794" s="25">
        <f>IF($B794="","",$B794-WEEKDAY($B794,3))</f>
        <v/>
      </c>
      <c r="T794" s="24">
        <f>IF($B794="",0,IF(COUNTIFS($B$5:$B794,$B794,$D$5:$D794,$D794)=1,1,0))</f>
        <v/>
      </c>
      <c r="U794" s="24">
        <f>IF($B794="",0,IF(COUNTIFS($B$5:$B794,$B794,$C$5:$C794,$C794)=1,1,0))</f>
        <v/>
      </c>
      <c r="V794" s="24">
        <f>IF(OR($B794="",$G794="",$G794="لا توجد مشاهدات"),0,1)</f>
        <v/>
      </c>
      <c r="W794" s="24">
        <f>IF(AND($B794&lt;&gt;"",$I794="تم تحرير مخالفة"),1,0)</f>
        <v/>
      </c>
      <c r="X794" s="24">
        <f>IF($B794="","",IF($S794=WkStart,COUNTIF($S$5:$S794,WkStart),""))</f>
        <v/>
      </c>
    </row>
    <row r="795">
      <c r="A795" s="16">
        <f>IF($B795="","",ROW()-4)</f>
        <v/>
      </c>
      <c r="B795" s="17" t="n"/>
      <c r="C795" s="18" t="n"/>
      <c r="D795" s="18" t="n"/>
      <c r="E795" s="19" t="n"/>
      <c r="F795" s="19" t="n"/>
      <c r="G795" s="18" t="n"/>
      <c r="H795" s="18" t="n"/>
      <c r="I795" s="18" t="n"/>
      <c r="J795" s="20" t="n"/>
      <c r="K795" s="21" t="n"/>
      <c r="L795" s="21" t="n"/>
      <c r="M795" s="18" t="n"/>
      <c r="N795" s="22">
        <f>IF($B795="","",CHOOSE(WEEKDAY($B795),"الأحد","الاثنين","الثلاثاء","الأربعاء","الخميس","الجمعة","السبت"))</f>
        <v/>
      </c>
      <c r="O795" s="23">
        <f>IF(OR($K795="",$L795=""),"",HYPERLINK("https://maps.google.com/?q="&amp;$K795&amp;","&amp;$L795,"عرض الموقع"))</f>
        <v/>
      </c>
      <c r="P795" s="23">
        <f>IF(OR($B795="",N($J795)=0),"",HYPERLINK(PhotoDir&amp;"/"&amp;YEAR($B795)&amp;"-"&amp;TEXT(MONTH($B795),"00")&amp;"-"&amp;TEXT(DAY($B795),"00")&amp;"_"&amp;$D795,"فتح الصور ("&amp;$J795&amp;")"))</f>
        <v/>
      </c>
      <c r="Q795" s="24">
        <f>IF($B795="","",MONTH($B795))</f>
        <v/>
      </c>
      <c r="R795" s="24">
        <f>IF($B795="","",YEAR($B795))</f>
        <v/>
      </c>
      <c r="S795" s="25">
        <f>IF($B795="","",$B795-WEEKDAY($B795,3))</f>
        <v/>
      </c>
      <c r="T795" s="24">
        <f>IF($B795="",0,IF(COUNTIFS($B$5:$B795,$B795,$D$5:$D795,$D795)=1,1,0))</f>
        <v/>
      </c>
      <c r="U795" s="24">
        <f>IF($B795="",0,IF(COUNTIFS($B$5:$B795,$B795,$C$5:$C795,$C795)=1,1,0))</f>
        <v/>
      </c>
      <c r="V795" s="24">
        <f>IF(OR($B795="",$G795="",$G795="لا توجد مشاهدات"),0,1)</f>
        <v/>
      </c>
      <c r="W795" s="24">
        <f>IF(AND($B795&lt;&gt;"",$I795="تم تحرير مخالفة"),1,0)</f>
        <v/>
      </c>
      <c r="X795" s="24">
        <f>IF($B795="","",IF($S795=WkStart,COUNTIF($S$5:$S795,WkStart),""))</f>
        <v/>
      </c>
    </row>
    <row r="796">
      <c r="A796" s="16">
        <f>IF($B796="","",ROW()-4)</f>
        <v/>
      </c>
      <c r="B796" s="17" t="n"/>
      <c r="C796" s="18" t="n"/>
      <c r="D796" s="18" t="n"/>
      <c r="E796" s="19" t="n"/>
      <c r="F796" s="19" t="n"/>
      <c r="G796" s="18" t="n"/>
      <c r="H796" s="18" t="n"/>
      <c r="I796" s="18" t="n"/>
      <c r="J796" s="20" t="n"/>
      <c r="K796" s="21" t="n"/>
      <c r="L796" s="21" t="n"/>
      <c r="M796" s="18" t="n"/>
      <c r="N796" s="22">
        <f>IF($B796="","",CHOOSE(WEEKDAY($B796),"الأحد","الاثنين","الثلاثاء","الأربعاء","الخميس","الجمعة","السبت"))</f>
        <v/>
      </c>
      <c r="O796" s="23">
        <f>IF(OR($K796="",$L796=""),"",HYPERLINK("https://maps.google.com/?q="&amp;$K796&amp;","&amp;$L796,"عرض الموقع"))</f>
        <v/>
      </c>
      <c r="P796" s="23">
        <f>IF(OR($B796="",N($J796)=0),"",HYPERLINK(PhotoDir&amp;"/"&amp;YEAR($B796)&amp;"-"&amp;TEXT(MONTH($B796),"00")&amp;"-"&amp;TEXT(DAY($B796),"00")&amp;"_"&amp;$D796,"فتح الصور ("&amp;$J796&amp;")"))</f>
        <v/>
      </c>
      <c r="Q796" s="24">
        <f>IF($B796="","",MONTH($B796))</f>
        <v/>
      </c>
      <c r="R796" s="24">
        <f>IF($B796="","",YEAR($B796))</f>
        <v/>
      </c>
      <c r="S796" s="25">
        <f>IF($B796="","",$B796-WEEKDAY($B796,3))</f>
        <v/>
      </c>
      <c r="T796" s="24">
        <f>IF($B796="",0,IF(COUNTIFS($B$5:$B796,$B796,$D$5:$D796,$D796)=1,1,0))</f>
        <v/>
      </c>
      <c r="U796" s="24">
        <f>IF($B796="",0,IF(COUNTIFS($B$5:$B796,$B796,$C$5:$C796,$C796)=1,1,0))</f>
        <v/>
      </c>
      <c r="V796" s="24">
        <f>IF(OR($B796="",$G796="",$G796="لا توجد مشاهدات"),0,1)</f>
        <v/>
      </c>
      <c r="W796" s="24">
        <f>IF(AND($B796&lt;&gt;"",$I796="تم تحرير مخالفة"),1,0)</f>
        <v/>
      </c>
      <c r="X796" s="24">
        <f>IF($B796="","",IF($S796=WkStart,COUNTIF($S$5:$S796,WkStart),""))</f>
        <v/>
      </c>
    </row>
    <row r="797">
      <c r="A797" s="16">
        <f>IF($B797="","",ROW()-4)</f>
        <v/>
      </c>
      <c r="B797" s="17" t="n"/>
      <c r="C797" s="18" t="n"/>
      <c r="D797" s="18" t="n"/>
      <c r="E797" s="19" t="n"/>
      <c r="F797" s="19" t="n"/>
      <c r="G797" s="18" t="n"/>
      <c r="H797" s="18" t="n"/>
      <c r="I797" s="18" t="n"/>
      <c r="J797" s="20" t="n"/>
      <c r="K797" s="21" t="n"/>
      <c r="L797" s="21" t="n"/>
      <c r="M797" s="18" t="n"/>
      <c r="N797" s="22">
        <f>IF($B797="","",CHOOSE(WEEKDAY($B797),"الأحد","الاثنين","الثلاثاء","الأربعاء","الخميس","الجمعة","السبت"))</f>
        <v/>
      </c>
      <c r="O797" s="23">
        <f>IF(OR($K797="",$L797=""),"",HYPERLINK("https://maps.google.com/?q="&amp;$K797&amp;","&amp;$L797,"عرض الموقع"))</f>
        <v/>
      </c>
      <c r="P797" s="23">
        <f>IF(OR($B797="",N($J797)=0),"",HYPERLINK(PhotoDir&amp;"/"&amp;YEAR($B797)&amp;"-"&amp;TEXT(MONTH($B797),"00")&amp;"-"&amp;TEXT(DAY($B797),"00")&amp;"_"&amp;$D797,"فتح الصور ("&amp;$J797&amp;")"))</f>
        <v/>
      </c>
      <c r="Q797" s="24">
        <f>IF($B797="","",MONTH($B797))</f>
        <v/>
      </c>
      <c r="R797" s="24">
        <f>IF($B797="","",YEAR($B797))</f>
        <v/>
      </c>
      <c r="S797" s="25">
        <f>IF($B797="","",$B797-WEEKDAY($B797,3))</f>
        <v/>
      </c>
      <c r="T797" s="24">
        <f>IF($B797="",0,IF(COUNTIFS($B$5:$B797,$B797,$D$5:$D797,$D797)=1,1,0))</f>
        <v/>
      </c>
      <c r="U797" s="24">
        <f>IF($B797="",0,IF(COUNTIFS($B$5:$B797,$B797,$C$5:$C797,$C797)=1,1,0))</f>
        <v/>
      </c>
      <c r="V797" s="24">
        <f>IF(OR($B797="",$G797="",$G797="لا توجد مشاهدات"),0,1)</f>
        <v/>
      </c>
      <c r="W797" s="24">
        <f>IF(AND($B797&lt;&gt;"",$I797="تم تحرير مخالفة"),1,0)</f>
        <v/>
      </c>
      <c r="X797" s="24">
        <f>IF($B797="","",IF($S797=WkStart,COUNTIF($S$5:$S797,WkStart),""))</f>
        <v/>
      </c>
    </row>
    <row r="798">
      <c r="A798" s="16">
        <f>IF($B798="","",ROW()-4)</f>
        <v/>
      </c>
      <c r="B798" s="17" t="n"/>
      <c r="C798" s="18" t="n"/>
      <c r="D798" s="18" t="n"/>
      <c r="E798" s="19" t="n"/>
      <c r="F798" s="19" t="n"/>
      <c r="G798" s="18" t="n"/>
      <c r="H798" s="18" t="n"/>
      <c r="I798" s="18" t="n"/>
      <c r="J798" s="20" t="n"/>
      <c r="K798" s="21" t="n"/>
      <c r="L798" s="21" t="n"/>
      <c r="M798" s="18" t="n"/>
      <c r="N798" s="22">
        <f>IF($B798="","",CHOOSE(WEEKDAY($B798),"الأحد","الاثنين","الثلاثاء","الأربعاء","الخميس","الجمعة","السبت"))</f>
        <v/>
      </c>
      <c r="O798" s="23">
        <f>IF(OR($K798="",$L798=""),"",HYPERLINK("https://maps.google.com/?q="&amp;$K798&amp;","&amp;$L798,"عرض الموقع"))</f>
        <v/>
      </c>
      <c r="P798" s="23">
        <f>IF(OR($B798="",N($J798)=0),"",HYPERLINK(PhotoDir&amp;"/"&amp;YEAR($B798)&amp;"-"&amp;TEXT(MONTH($B798),"00")&amp;"-"&amp;TEXT(DAY($B798),"00")&amp;"_"&amp;$D798,"فتح الصور ("&amp;$J798&amp;")"))</f>
        <v/>
      </c>
      <c r="Q798" s="24">
        <f>IF($B798="","",MONTH($B798))</f>
        <v/>
      </c>
      <c r="R798" s="24">
        <f>IF($B798="","",YEAR($B798))</f>
        <v/>
      </c>
      <c r="S798" s="25">
        <f>IF($B798="","",$B798-WEEKDAY($B798,3))</f>
        <v/>
      </c>
      <c r="T798" s="24">
        <f>IF($B798="",0,IF(COUNTIFS($B$5:$B798,$B798,$D$5:$D798,$D798)=1,1,0))</f>
        <v/>
      </c>
      <c r="U798" s="24">
        <f>IF($B798="",0,IF(COUNTIFS($B$5:$B798,$B798,$C$5:$C798,$C798)=1,1,0))</f>
        <v/>
      </c>
      <c r="V798" s="24">
        <f>IF(OR($B798="",$G798="",$G798="لا توجد مشاهدات"),0,1)</f>
        <v/>
      </c>
      <c r="W798" s="24">
        <f>IF(AND($B798&lt;&gt;"",$I798="تم تحرير مخالفة"),1,0)</f>
        <v/>
      </c>
      <c r="X798" s="24">
        <f>IF($B798="","",IF($S798=WkStart,COUNTIF($S$5:$S798,WkStart),""))</f>
        <v/>
      </c>
    </row>
    <row r="799">
      <c r="A799" s="16">
        <f>IF($B799="","",ROW()-4)</f>
        <v/>
      </c>
      <c r="B799" s="17" t="n"/>
      <c r="C799" s="18" t="n"/>
      <c r="D799" s="18" t="n"/>
      <c r="E799" s="19" t="n"/>
      <c r="F799" s="19" t="n"/>
      <c r="G799" s="18" t="n"/>
      <c r="H799" s="18" t="n"/>
      <c r="I799" s="18" t="n"/>
      <c r="J799" s="20" t="n"/>
      <c r="K799" s="21" t="n"/>
      <c r="L799" s="21" t="n"/>
      <c r="M799" s="18" t="n"/>
      <c r="N799" s="22">
        <f>IF($B799="","",CHOOSE(WEEKDAY($B799),"الأحد","الاثنين","الثلاثاء","الأربعاء","الخميس","الجمعة","السبت"))</f>
        <v/>
      </c>
      <c r="O799" s="23">
        <f>IF(OR($K799="",$L799=""),"",HYPERLINK("https://maps.google.com/?q="&amp;$K799&amp;","&amp;$L799,"عرض الموقع"))</f>
        <v/>
      </c>
      <c r="P799" s="23">
        <f>IF(OR($B799="",N($J799)=0),"",HYPERLINK(PhotoDir&amp;"/"&amp;YEAR($B799)&amp;"-"&amp;TEXT(MONTH($B799),"00")&amp;"-"&amp;TEXT(DAY($B799),"00")&amp;"_"&amp;$D799,"فتح الصور ("&amp;$J799&amp;")"))</f>
        <v/>
      </c>
      <c r="Q799" s="24">
        <f>IF($B799="","",MONTH($B799))</f>
        <v/>
      </c>
      <c r="R799" s="24">
        <f>IF($B799="","",YEAR($B799))</f>
        <v/>
      </c>
      <c r="S799" s="25">
        <f>IF($B799="","",$B799-WEEKDAY($B799,3))</f>
        <v/>
      </c>
      <c r="T799" s="24">
        <f>IF($B799="",0,IF(COUNTIFS($B$5:$B799,$B799,$D$5:$D799,$D799)=1,1,0))</f>
        <v/>
      </c>
      <c r="U799" s="24">
        <f>IF($B799="",0,IF(COUNTIFS($B$5:$B799,$B799,$C$5:$C799,$C799)=1,1,0))</f>
        <v/>
      </c>
      <c r="V799" s="24">
        <f>IF(OR($B799="",$G799="",$G799="لا توجد مشاهدات"),0,1)</f>
        <v/>
      </c>
      <c r="W799" s="24">
        <f>IF(AND($B799&lt;&gt;"",$I799="تم تحرير مخالفة"),1,0)</f>
        <v/>
      </c>
      <c r="X799" s="24">
        <f>IF($B799="","",IF($S799=WkStart,COUNTIF($S$5:$S799,WkStart),""))</f>
        <v/>
      </c>
    </row>
    <row r="800">
      <c r="A800" s="16">
        <f>IF($B800="","",ROW()-4)</f>
        <v/>
      </c>
      <c r="B800" s="17" t="n"/>
      <c r="C800" s="18" t="n"/>
      <c r="D800" s="18" t="n"/>
      <c r="E800" s="19" t="n"/>
      <c r="F800" s="19" t="n"/>
      <c r="G800" s="18" t="n"/>
      <c r="H800" s="18" t="n"/>
      <c r="I800" s="18" t="n"/>
      <c r="J800" s="20" t="n"/>
      <c r="K800" s="21" t="n"/>
      <c r="L800" s="21" t="n"/>
      <c r="M800" s="18" t="n"/>
      <c r="N800" s="22">
        <f>IF($B800="","",CHOOSE(WEEKDAY($B800),"الأحد","الاثنين","الثلاثاء","الأربعاء","الخميس","الجمعة","السبت"))</f>
        <v/>
      </c>
      <c r="O800" s="23">
        <f>IF(OR($K800="",$L800=""),"",HYPERLINK("https://maps.google.com/?q="&amp;$K800&amp;","&amp;$L800,"عرض الموقع"))</f>
        <v/>
      </c>
      <c r="P800" s="23">
        <f>IF(OR($B800="",N($J800)=0),"",HYPERLINK(PhotoDir&amp;"/"&amp;YEAR($B800)&amp;"-"&amp;TEXT(MONTH($B800),"00")&amp;"-"&amp;TEXT(DAY($B800),"00")&amp;"_"&amp;$D800,"فتح الصور ("&amp;$J800&amp;")"))</f>
        <v/>
      </c>
      <c r="Q800" s="24">
        <f>IF($B800="","",MONTH($B800))</f>
        <v/>
      </c>
      <c r="R800" s="24">
        <f>IF($B800="","",YEAR($B800))</f>
        <v/>
      </c>
      <c r="S800" s="25">
        <f>IF($B800="","",$B800-WEEKDAY($B800,3))</f>
        <v/>
      </c>
      <c r="T800" s="24">
        <f>IF($B800="",0,IF(COUNTIFS($B$5:$B800,$B800,$D$5:$D800,$D800)=1,1,0))</f>
        <v/>
      </c>
      <c r="U800" s="24">
        <f>IF($B800="",0,IF(COUNTIFS($B$5:$B800,$B800,$C$5:$C800,$C800)=1,1,0))</f>
        <v/>
      </c>
      <c r="V800" s="24">
        <f>IF(OR($B800="",$G800="",$G800="لا توجد مشاهدات"),0,1)</f>
        <v/>
      </c>
      <c r="W800" s="24">
        <f>IF(AND($B800&lt;&gt;"",$I800="تم تحرير مخالفة"),1,0)</f>
        <v/>
      </c>
      <c r="X800" s="24">
        <f>IF($B800="","",IF($S800=WkStart,COUNTIF($S$5:$S800,WkStart),""))</f>
        <v/>
      </c>
    </row>
    <row r="801">
      <c r="A801" s="16">
        <f>IF($B801="","",ROW()-4)</f>
        <v/>
      </c>
      <c r="B801" s="17" t="n"/>
      <c r="C801" s="18" t="n"/>
      <c r="D801" s="18" t="n"/>
      <c r="E801" s="19" t="n"/>
      <c r="F801" s="19" t="n"/>
      <c r="G801" s="18" t="n"/>
      <c r="H801" s="18" t="n"/>
      <c r="I801" s="18" t="n"/>
      <c r="J801" s="20" t="n"/>
      <c r="K801" s="21" t="n"/>
      <c r="L801" s="21" t="n"/>
      <c r="M801" s="18" t="n"/>
      <c r="N801" s="22">
        <f>IF($B801="","",CHOOSE(WEEKDAY($B801),"الأحد","الاثنين","الثلاثاء","الأربعاء","الخميس","الجمعة","السبت"))</f>
        <v/>
      </c>
      <c r="O801" s="23">
        <f>IF(OR($K801="",$L801=""),"",HYPERLINK("https://maps.google.com/?q="&amp;$K801&amp;","&amp;$L801,"عرض الموقع"))</f>
        <v/>
      </c>
      <c r="P801" s="23">
        <f>IF(OR($B801="",N($J801)=0),"",HYPERLINK(PhotoDir&amp;"/"&amp;YEAR($B801)&amp;"-"&amp;TEXT(MONTH($B801),"00")&amp;"-"&amp;TEXT(DAY($B801),"00")&amp;"_"&amp;$D801,"فتح الصور ("&amp;$J801&amp;")"))</f>
        <v/>
      </c>
      <c r="Q801" s="24">
        <f>IF($B801="","",MONTH($B801))</f>
        <v/>
      </c>
      <c r="R801" s="24">
        <f>IF($B801="","",YEAR($B801))</f>
        <v/>
      </c>
      <c r="S801" s="25">
        <f>IF($B801="","",$B801-WEEKDAY($B801,3))</f>
        <v/>
      </c>
      <c r="T801" s="24">
        <f>IF($B801="",0,IF(COUNTIFS($B$5:$B801,$B801,$D$5:$D801,$D801)=1,1,0))</f>
        <v/>
      </c>
      <c r="U801" s="24">
        <f>IF($B801="",0,IF(COUNTIFS($B$5:$B801,$B801,$C$5:$C801,$C801)=1,1,0))</f>
        <v/>
      </c>
      <c r="V801" s="24">
        <f>IF(OR($B801="",$G801="",$G801="لا توجد مشاهدات"),0,1)</f>
        <v/>
      </c>
      <c r="W801" s="24">
        <f>IF(AND($B801&lt;&gt;"",$I801="تم تحرير مخالفة"),1,0)</f>
        <v/>
      </c>
      <c r="X801" s="24">
        <f>IF($B801="","",IF($S801=WkStart,COUNTIF($S$5:$S801,WkStart),""))</f>
        <v/>
      </c>
    </row>
    <row r="802">
      <c r="A802" s="16">
        <f>IF($B802="","",ROW()-4)</f>
        <v/>
      </c>
      <c r="B802" s="17" t="n"/>
      <c r="C802" s="18" t="n"/>
      <c r="D802" s="18" t="n"/>
      <c r="E802" s="19" t="n"/>
      <c r="F802" s="19" t="n"/>
      <c r="G802" s="18" t="n"/>
      <c r="H802" s="18" t="n"/>
      <c r="I802" s="18" t="n"/>
      <c r="J802" s="20" t="n"/>
      <c r="K802" s="21" t="n"/>
      <c r="L802" s="21" t="n"/>
      <c r="M802" s="18" t="n"/>
      <c r="N802" s="22">
        <f>IF($B802="","",CHOOSE(WEEKDAY($B802),"الأحد","الاثنين","الثلاثاء","الأربعاء","الخميس","الجمعة","السبت"))</f>
        <v/>
      </c>
      <c r="O802" s="23">
        <f>IF(OR($K802="",$L802=""),"",HYPERLINK("https://maps.google.com/?q="&amp;$K802&amp;","&amp;$L802,"عرض الموقع"))</f>
        <v/>
      </c>
      <c r="P802" s="23">
        <f>IF(OR($B802="",N($J802)=0),"",HYPERLINK(PhotoDir&amp;"/"&amp;YEAR($B802)&amp;"-"&amp;TEXT(MONTH($B802),"00")&amp;"-"&amp;TEXT(DAY($B802),"00")&amp;"_"&amp;$D802,"فتح الصور ("&amp;$J802&amp;")"))</f>
        <v/>
      </c>
      <c r="Q802" s="24">
        <f>IF($B802="","",MONTH($B802))</f>
        <v/>
      </c>
      <c r="R802" s="24">
        <f>IF($B802="","",YEAR($B802))</f>
        <v/>
      </c>
      <c r="S802" s="25">
        <f>IF($B802="","",$B802-WEEKDAY($B802,3))</f>
        <v/>
      </c>
      <c r="T802" s="24">
        <f>IF($B802="",0,IF(COUNTIFS($B$5:$B802,$B802,$D$5:$D802,$D802)=1,1,0))</f>
        <v/>
      </c>
      <c r="U802" s="24">
        <f>IF($B802="",0,IF(COUNTIFS($B$5:$B802,$B802,$C$5:$C802,$C802)=1,1,0))</f>
        <v/>
      </c>
      <c r="V802" s="24">
        <f>IF(OR($B802="",$G802="",$G802="لا توجد مشاهدات"),0,1)</f>
        <v/>
      </c>
      <c r="W802" s="24">
        <f>IF(AND($B802&lt;&gt;"",$I802="تم تحرير مخالفة"),1,0)</f>
        <v/>
      </c>
      <c r="X802" s="24">
        <f>IF($B802="","",IF($S802=WkStart,COUNTIF($S$5:$S802,WkStart),""))</f>
        <v/>
      </c>
    </row>
    <row r="803">
      <c r="A803" s="16">
        <f>IF($B803="","",ROW()-4)</f>
        <v/>
      </c>
      <c r="B803" s="17" t="n"/>
      <c r="C803" s="18" t="n"/>
      <c r="D803" s="18" t="n"/>
      <c r="E803" s="19" t="n"/>
      <c r="F803" s="19" t="n"/>
      <c r="G803" s="18" t="n"/>
      <c r="H803" s="18" t="n"/>
      <c r="I803" s="18" t="n"/>
      <c r="J803" s="20" t="n"/>
      <c r="K803" s="21" t="n"/>
      <c r="L803" s="21" t="n"/>
      <c r="M803" s="18" t="n"/>
      <c r="N803" s="22">
        <f>IF($B803="","",CHOOSE(WEEKDAY($B803),"الأحد","الاثنين","الثلاثاء","الأربعاء","الخميس","الجمعة","السبت"))</f>
        <v/>
      </c>
      <c r="O803" s="23">
        <f>IF(OR($K803="",$L803=""),"",HYPERLINK("https://maps.google.com/?q="&amp;$K803&amp;","&amp;$L803,"عرض الموقع"))</f>
        <v/>
      </c>
      <c r="P803" s="23">
        <f>IF(OR($B803="",N($J803)=0),"",HYPERLINK(PhotoDir&amp;"/"&amp;YEAR($B803)&amp;"-"&amp;TEXT(MONTH($B803),"00")&amp;"-"&amp;TEXT(DAY($B803),"00")&amp;"_"&amp;$D803,"فتح الصور ("&amp;$J803&amp;")"))</f>
        <v/>
      </c>
      <c r="Q803" s="24">
        <f>IF($B803="","",MONTH($B803))</f>
        <v/>
      </c>
      <c r="R803" s="24">
        <f>IF($B803="","",YEAR($B803))</f>
        <v/>
      </c>
      <c r="S803" s="25">
        <f>IF($B803="","",$B803-WEEKDAY($B803,3))</f>
        <v/>
      </c>
      <c r="T803" s="24">
        <f>IF($B803="",0,IF(COUNTIFS($B$5:$B803,$B803,$D$5:$D803,$D803)=1,1,0))</f>
        <v/>
      </c>
      <c r="U803" s="24">
        <f>IF($B803="",0,IF(COUNTIFS($B$5:$B803,$B803,$C$5:$C803,$C803)=1,1,0))</f>
        <v/>
      </c>
      <c r="V803" s="24">
        <f>IF(OR($B803="",$G803="",$G803="لا توجد مشاهدات"),0,1)</f>
        <v/>
      </c>
      <c r="W803" s="24">
        <f>IF(AND($B803&lt;&gt;"",$I803="تم تحرير مخالفة"),1,0)</f>
        <v/>
      </c>
      <c r="X803" s="24">
        <f>IF($B803="","",IF($S803=WkStart,COUNTIF($S$5:$S803,WkStart),""))</f>
        <v/>
      </c>
    </row>
    <row r="804">
      <c r="A804" s="16">
        <f>IF($B804="","",ROW()-4)</f>
        <v/>
      </c>
      <c r="B804" s="17" t="n"/>
      <c r="C804" s="18" t="n"/>
      <c r="D804" s="18" t="n"/>
      <c r="E804" s="19" t="n"/>
      <c r="F804" s="19" t="n"/>
      <c r="G804" s="18" t="n"/>
      <c r="H804" s="18" t="n"/>
      <c r="I804" s="18" t="n"/>
      <c r="J804" s="20" t="n"/>
      <c r="K804" s="21" t="n"/>
      <c r="L804" s="21" t="n"/>
      <c r="M804" s="18" t="n"/>
      <c r="N804" s="22">
        <f>IF($B804="","",CHOOSE(WEEKDAY($B804),"الأحد","الاثنين","الثلاثاء","الأربعاء","الخميس","الجمعة","السبت"))</f>
        <v/>
      </c>
      <c r="O804" s="23">
        <f>IF(OR($K804="",$L804=""),"",HYPERLINK("https://maps.google.com/?q="&amp;$K804&amp;","&amp;$L804,"عرض الموقع"))</f>
        <v/>
      </c>
      <c r="P804" s="23">
        <f>IF(OR($B804="",N($J804)=0),"",HYPERLINK(PhotoDir&amp;"/"&amp;YEAR($B804)&amp;"-"&amp;TEXT(MONTH($B804),"00")&amp;"-"&amp;TEXT(DAY($B804),"00")&amp;"_"&amp;$D804,"فتح الصور ("&amp;$J804&amp;")"))</f>
        <v/>
      </c>
      <c r="Q804" s="24">
        <f>IF($B804="","",MONTH($B804))</f>
        <v/>
      </c>
      <c r="R804" s="24">
        <f>IF($B804="","",YEAR($B804))</f>
        <v/>
      </c>
      <c r="S804" s="25">
        <f>IF($B804="","",$B804-WEEKDAY($B804,3))</f>
        <v/>
      </c>
      <c r="T804" s="24">
        <f>IF($B804="",0,IF(COUNTIFS($B$5:$B804,$B804,$D$5:$D804,$D804)=1,1,0))</f>
        <v/>
      </c>
      <c r="U804" s="24">
        <f>IF($B804="",0,IF(COUNTIFS($B$5:$B804,$B804,$C$5:$C804,$C804)=1,1,0))</f>
        <v/>
      </c>
      <c r="V804" s="24">
        <f>IF(OR($B804="",$G804="",$G804="لا توجد مشاهدات"),0,1)</f>
        <v/>
      </c>
      <c r="W804" s="24">
        <f>IF(AND($B804&lt;&gt;"",$I804="تم تحرير مخالفة"),1,0)</f>
        <v/>
      </c>
      <c r="X804" s="24">
        <f>IF($B804="","",IF($S804=WkStart,COUNTIF($S$5:$S804,WkStart),""))</f>
        <v/>
      </c>
    </row>
    <row r="805">
      <c r="A805" s="16">
        <f>IF($B805="","",ROW()-4)</f>
        <v/>
      </c>
      <c r="B805" s="17" t="n"/>
      <c r="C805" s="18" t="n"/>
      <c r="D805" s="18" t="n"/>
      <c r="E805" s="19" t="n"/>
      <c r="F805" s="19" t="n"/>
      <c r="G805" s="18" t="n"/>
      <c r="H805" s="18" t="n"/>
      <c r="I805" s="18" t="n"/>
      <c r="J805" s="20" t="n"/>
      <c r="K805" s="21" t="n"/>
      <c r="L805" s="21" t="n"/>
      <c r="M805" s="18" t="n"/>
      <c r="N805" s="22">
        <f>IF($B805="","",CHOOSE(WEEKDAY($B805),"الأحد","الاثنين","الثلاثاء","الأربعاء","الخميس","الجمعة","السبت"))</f>
        <v/>
      </c>
      <c r="O805" s="23">
        <f>IF(OR($K805="",$L805=""),"",HYPERLINK("https://maps.google.com/?q="&amp;$K805&amp;","&amp;$L805,"عرض الموقع"))</f>
        <v/>
      </c>
      <c r="P805" s="23">
        <f>IF(OR($B805="",N($J805)=0),"",HYPERLINK(PhotoDir&amp;"/"&amp;YEAR($B805)&amp;"-"&amp;TEXT(MONTH($B805),"00")&amp;"-"&amp;TEXT(DAY($B805),"00")&amp;"_"&amp;$D805,"فتح الصور ("&amp;$J805&amp;")"))</f>
        <v/>
      </c>
      <c r="Q805" s="24">
        <f>IF($B805="","",MONTH($B805))</f>
        <v/>
      </c>
      <c r="R805" s="24">
        <f>IF($B805="","",YEAR($B805))</f>
        <v/>
      </c>
      <c r="S805" s="25">
        <f>IF($B805="","",$B805-WEEKDAY($B805,3))</f>
        <v/>
      </c>
      <c r="T805" s="24">
        <f>IF($B805="",0,IF(COUNTIFS($B$5:$B805,$B805,$D$5:$D805,$D805)=1,1,0))</f>
        <v/>
      </c>
      <c r="U805" s="24">
        <f>IF($B805="",0,IF(COUNTIFS($B$5:$B805,$B805,$C$5:$C805,$C805)=1,1,0))</f>
        <v/>
      </c>
      <c r="V805" s="24">
        <f>IF(OR($B805="",$G805="",$G805="لا توجد مشاهدات"),0,1)</f>
        <v/>
      </c>
      <c r="W805" s="24">
        <f>IF(AND($B805&lt;&gt;"",$I805="تم تحرير مخالفة"),1,0)</f>
        <v/>
      </c>
      <c r="X805" s="24">
        <f>IF($B805="","",IF($S805=WkStart,COUNTIF($S$5:$S805,WkStart),""))</f>
        <v/>
      </c>
    </row>
    <row r="806">
      <c r="A806" s="16">
        <f>IF($B806="","",ROW()-4)</f>
        <v/>
      </c>
      <c r="B806" s="17" t="n"/>
      <c r="C806" s="18" t="n"/>
      <c r="D806" s="18" t="n"/>
      <c r="E806" s="19" t="n"/>
      <c r="F806" s="19" t="n"/>
      <c r="G806" s="18" t="n"/>
      <c r="H806" s="18" t="n"/>
      <c r="I806" s="18" t="n"/>
      <c r="J806" s="20" t="n"/>
      <c r="K806" s="21" t="n"/>
      <c r="L806" s="21" t="n"/>
      <c r="M806" s="18" t="n"/>
      <c r="N806" s="22">
        <f>IF($B806="","",CHOOSE(WEEKDAY($B806),"الأحد","الاثنين","الثلاثاء","الأربعاء","الخميس","الجمعة","السبت"))</f>
        <v/>
      </c>
      <c r="O806" s="23">
        <f>IF(OR($K806="",$L806=""),"",HYPERLINK("https://maps.google.com/?q="&amp;$K806&amp;","&amp;$L806,"عرض الموقع"))</f>
        <v/>
      </c>
      <c r="P806" s="23">
        <f>IF(OR($B806="",N($J806)=0),"",HYPERLINK(PhotoDir&amp;"/"&amp;YEAR($B806)&amp;"-"&amp;TEXT(MONTH($B806),"00")&amp;"-"&amp;TEXT(DAY($B806),"00")&amp;"_"&amp;$D806,"فتح الصور ("&amp;$J806&amp;")"))</f>
        <v/>
      </c>
      <c r="Q806" s="24">
        <f>IF($B806="","",MONTH($B806))</f>
        <v/>
      </c>
      <c r="R806" s="24">
        <f>IF($B806="","",YEAR($B806))</f>
        <v/>
      </c>
      <c r="S806" s="25">
        <f>IF($B806="","",$B806-WEEKDAY($B806,3))</f>
        <v/>
      </c>
      <c r="T806" s="24">
        <f>IF($B806="",0,IF(COUNTIFS($B$5:$B806,$B806,$D$5:$D806,$D806)=1,1,0))</f>
        <v/>
      </c>
      <c r="U806" s="24">
        <f>IF($B806="",0,IF(COUNTIFS($B$5:$B806,$B806,$C$5:$C806,$C806)=1,1,0))</f>
        <v/>
      </c>
      <c r="V806" s="24">
        <f>IF(OR($B806="",$G806="",$G806="لا توجد مشاهدات"),0,1)</f>
        <v/>
      </c>
      <c r="W806" s="24">
        <f>IF(AND($B806&lt;&gt;"",$I806="تم تحرير مخالفة"),1,0)</f>
        <v/>
      </c>
      <c r="X806" s="24">
        <f>IF($B806="","",IF($S806=WkStart,COUNTIF($S$5:$S806,WkStart),""))</f>
        <v/>
      </c>
    </row>
    <row r="807">
      <c r="A807" s="16">
        <f>IF($B807="","",ROW()-4)</f>
        <v/>
      </c>
      <c r="B807" s="17" t="n"/>
      <c r="C807" s="18" t="n"/>
      <c r="D807" s="18" t="n"/>
      <c r="E807" s="19" t="n"/>
      <c r="F807" s="19" t="n"/>
      <c r="G807" s="18" t="n"/>
      <c r="H807" s="18" t="n"/>
      <c r="I807" s="18" t="n"/>
      <c r="J807" s="20" t="n"/>
      <c r="K807" s="21" t="n"/>
      <c r="L807" s="21" t="n"/>
      <c r="M807" s="18" t="n"/>
      <c r="N807" s="22">
        <f>IF($B807="","",CHOOSE(WEEKDAY($B807),"الأحد","الاثنين","الثلاثاء","الأربعاء","الخميس","الجمعة","السبت"))</f>
        <v/>
      </c>
      <c r="O807" s="23">
        <f>IF(OR($K807="",$L807=""),"",HYPERLINK("https://maps.google.com/?q="&amp;$K807&amp;","&amp;$L807,"عرض الموقع"))</f>
        <v/>
      </c>
      <c r="P807" s="23">
        <f>IF(OR($B807="",N($J807)=0),"",HYPERLINK(PhotoDir&amp;"/"&amp;YEAR($B807)&amp;"-"&amp;TEXT(MONTH($B807),"00")&amp;"-"&amp;TEXT(DAY($B807),"00")&amp;"_"&amp;$D807,"فتح الصور ("&amp;$J807&amp;")"))</f>
        <v/>
      </c>
      <c r="Q807" s="24">
        <f>IF($B807="","",MONTH($B807))</f>
        <v/>
      </c>
      <c r="R807" s="24">
        <f>IF($B807="","",YEAR($B807))</f>
        <v/>
      </c>
      <c r="S807" s="25">
        <f>IF($B807="","",$B807-WEEKDAY($B807,3))</f>
        <v/>
      </c>
      <c r="T807" s="24">
        <f>IF($B807="",0,IF(COUNTIFS($B$5:$B807,$B807,$D$5:$D807,$D807)=1,1,0))</f>
        <v/>
      </c>
      <c r="U807" s="24">
        <f>IF($B807="",0,IF(COUNTIFS($B$5:$B807,$B807,$C$5:$C807,$C807)=1,1,0))</f>
        <v/>
      </c>
      <c r="V807" s="24">
        <f>IF(OR($B807="",$G807="",$G807="لا توجد مشاهدات"),0,1)</f>
        <v/>
      </c>
      <c r="W807" s="24">
        <f>IF(AND($B807&lt;&gt;"",$I807="تم تحرير مخالفة"),1,0)</f>
        <v/>
      </c>
      <c r="X807" s="24">
        <f>IF($B807="","",IF($S807=WkStart,COUNTIF($S$5:$S807,WkStart),""))</f>
        <v/>
      </c>
    </row>
    <row r="808">
      <c r="A808" s="16">
        <f>IF($B808="","",ROW()-4)</f>
        <v/>
      </c>
      <c r="B808" s="17" t="n"/>
      <c r="C808" s="18" t="n"/>
      <c r="D808" s="18" t="n"/>
      <c r="E808" s="19" t="n"/>
      <c r="F808" s="19" t="n"/>
      <c r="G808" s="18" t="n"/>
      <c r="H808" s="18" t="n"/>
      <c r="I808" s="18" t="n"/>
      <c r="J808" s="20" t="n"/>
      <c r="K808" s="21" t="n"/>
      <c r="L808" s="21" t="n"/>
      <c r="M808" s="18" t="n"/>
      <c r="N808" s="22">
        <f>IF($B808="","",CHOOSE(WEEKDAY($B808),"الأحد","الاثنين","الثلاثاء","الأربعاء","الخميس","الجمعة","السبت"))</f>
        <v/>
      </c>
      <c r="O808" s="23">
        <f>IF(OR($K808="",$L808=""),"",HYPERLINK("https://maps.google.com/?q="&amp;$K808&amp;","&amp;$L808,"عرض الموقع"))</f>
        <v/>
      </c>
      <c r="P808" s="23">
        <f>IF(OR($B808="",N($J808)=0),"",HYPERLINK(PhotoDir&amp;"/"&amp;YEAR($B808)&amp;"-"&amp;TEXT(MONTH($B808),"00")&amp;"-"&amp;TEXT(DAY($B808),"00")&amp;"_"&amp;$D808,"فتح الصور ("&amp;$J808&amp;")"))</f>
        <v/>
      </c>
      <c r="Q808" s="24">
        <f>IF($B808="","",MONTH($B808))</f>
        <v/>
      </c>
      <c r="R808" s="24">
        <f>IF($B808="","",YEAR($B808))</f>
        <v/>
      </c>
      <c r="S808" s="25">
        <f>IF($B808="","",$B808-WEEKDAY($B808,3))</f>
        <v/>
      </c>
      <c r="T808" s="24">
        <f>IF($B808="",0,IF(COUNTIFS($B$5:$B808,$B808,$D$5:$D808,$D808)=1,1,0))</f>
        <v/>
      </c>
      <c r="U808" s="24">
        <f>IF($B808="",0,IF(COUNTIFS($B$5:$B808,$B808,$C$5:$C808,$C808)=1,1,0))</f>
        <v/>
      </c>
      <c r="V808" s="24">
        <f>IF(OR($B808="",$G808="",$G808="لا توجد مشاهدات"),0,1)</f>
        <v/>
      </c>
      <c r="W808" s="24">
        <f>IF(AND($B808&lt;&gt;"",$I808="تم تحرير مخالفة"),1,0)</f>
        <v/>
      </c>
      <c r="X808" s="24">
        <f>IF($B808="","",IF($S808=WkStart,COUNTIF($S$5:$S808,WkStart),""))</f>
        <v/>
      </c>
    </row>
    <row r="809">
      <c r="A809" s="16">
        <f>IF($B809="","",ROW()-4)</f>
        <v/>
      </c>
      <c r="B809" s="17" t="n"/>
      <c r="C809" s="18" t="n"/>
      <c r="D809" s="18" t="n"/>
      <c r="E809" s="19" t="n"/>
      <c r="F809" s="19" t="n"/>
      <c r="G809" s="18" t="n"/>
      <c r="H809" s="18" t="n"/>
      <c r="I809" s="18" t="n"/>
      <c r="J809" s="20" t="n"/>
      <c r="K809" s="21" t="n"/>
      <c r="L809" s="21" t="n"/>
      <c r="M809" s="18" t="n"/>
      <c r="N809" s="22">
        <f>IF($B809="","",CHOOSE(WEEKDAY($B809),"الأحد","الاثنين","الثلاثاء","الأربعاء","الخميس","الجمعة","السبت"))</f>
        <v/>
      </c>
      <c r="O809" s="23">
        <f>IF(OR($K809="",$L809=""),"",HYPERLINK("https://maps.google.com/?q="&amp;$K809&amp;","&amp;$L809,"عرض الموقع"))</f>
        <v/>
      </c>
      <c r="P809" s="23">
        <f>IF(OR($B809="",N($J809)=0),"",HYPERLINK(PhotoDir&amp;"/"&amp;YEAR($B809)&amp;"-"&amp;TEXT(MONTH($B809),"00")&amp;"-"&amp;TEXT(DAY($B809),"00")&amp;"_"&amp;$D809,"فتح الصور ("&amp;$J809&amp;")"))</f>
        <v/>
      </c>
      <c r="Q809" s="24">
        <f>IF($B809="","",MONTH($B809))</f>
        <v/>
      </c>
      <c r="R809" s="24">
        <f>IF($B809="","",YEAR($B809))</f>
        <v/>
      </c>
      <c r="S809" s="25">
        <f>IF($B809="","",$B809-WEEKDAY($B809,3))</f>
        <v/>
      </c>
      <c r="T809" s="24">
        <f>IF($B809="",0,IF(COUNTIFS($B$5:$B809,$B809,$D$5:$D809,$D809)=1,1,0))</f>
        <v/>
      </c>
      <c r="U809" s="24">
        <f>IF($B809="",0,IF(COUNTIFS($B$5:$B809,$B809,$C$5:$C809,$C809)=1,1,0))</f>
        <v/>
      </c>
      <c r="V809" s="24">
        <f>IF(OR($B809="",$G809="",$G809="لا توجد مشاهدات"),0,1)</f>
        <v/>
      </c>
      <c r="W809" s="24">
        <f>IF(AND($B809&lt;&gt;"",$I809="تم تحرير مخالفة"),1,0)</f>
        <v/>
      </c>
      <c r="X809" s="24">
        <f>IF($B809="","",IF($S809=WkStart,COUNTIF($S$5:$S809,WkStart),""))</f>
        <v/>
      </c>
    </row>
    <row r="810">
      <c r="A810" s="16">
        <f>IF($B810="","",ROW()-4)</f>
        <v/>
      </c>
      <c r="B810" s="17" t="n"/>
      <c r="C810" s="18" t="n"/>
      <c r="D810" s="18" t="n"/>
      <c r="E810" s="19" t="n"/>
      <c r="F810" s="19" t="n"/>
      <c r="G810" s="18" t="n"/>
      <c r="H810" s="18" t="n"/>
      <c r="I810" s="18" t="n"/>
      <c r="J810" s="20" t="n"/>
      <c r="K810" s="21" t="n"/>
      <c r="L810" s="21" t="n"/>
      <c r="M810" s="18" t="n"/>
      <c r="N810" s="22">
        <f>IF($B810="","",CHOOSE(WEEKDAY($B810),"الأحد","الاثنين","الثلاثاء","الأربعاء","الخميس","الجمعة","السبت"))</f>
        <v/>
      </c>
      <c r="O810" s="23">
        <f>IF(OR($K810="",$L810=""),"",HYPERLINK("https://maps.google.com/?q="&amp;$K810&amp;","&amp;$L810,"عرض الموقع"))</f>
        <v/>
      </c>
      <c r="P810" s="23">
        <f>IF(OR($B810="",N($J810)=0),"",HYPERLINK(PhotoDir&amp;"/"&amp;YEAR($B810)&amp;"-"&amp;TEXT(MONTH($B810),"00")&amp;"-"&amp;TEXT(DAY($B810),"00")&amp;"_"&amp;$D810,"فتح الصور ("&amp;$J810&amp;")"))</f>
        <v/>
      </c>
      <c r="Q810" s="24">
        <f>IF($B810="","",MONTH($B810))</f>
        <v/>
      </c>
      <c r="R810" s="24">
        <f>IF($B810="","",YEAR($B810))</f>
        <v/>
      </c>
      <c r="S810" s="25">
        <f>IF($B810="","",$B810-WEEKDAY($B810,3))</f>
        <v/>
      </c>
      <c r="T810" s="24">
        <f>IF($B810="",0,IF(COUNTIFS($B$5:$B810,$B810,$D$5:$D810,$D810)=1,1,0))</f>
        <v/>
      </c>
      <c r="U810" s="24">
        <f>IF($B810="",0,IF(COUNTIFS($B$5:$B810,$B810,$C$5:$C810,$C810)=1,1,0))</f>
        <v/>
      </c>
      <c r="V810" s="24">
        <f>IF(OR($B810="",$G810="",$G810="لا توجد مشاهدات"),0,1)</f>
        <v/>
      </c>
      <c r="W810" s="24">
        <f>IF(AND($B810&lt;&gt;"",$I810="تم تحرير مخالفة"),1,0)</f>
        <v/>
      </c>
      <c r="X810" s="24">
        <f>IF($B810="","",IF($S810=WkStart,COUNTIF($S$5:$S810,WkStart),""))</f>
        <v/>
      </c>
    </row>
    <row r="811">
      <c r="A811" s="16">
        <f>IF($B811="","",ROW()-4)</f>
        <v/>
      </c>
      <c r="B811" s="17" t="n"/>
      <c r="C811" s="18" t="n"/>
      <c r="D811" s="18" t="n"/>
      <c r="E811" s="19" t="n"/>
      <c r="F811" s="19" t="n"/>
      <c r="G811" s="18" t="n"/>
      <c r="H811" s="18" t="n"/>
      <c r="I811" s="18" t="n"/>
      <c r="J811" s="20" t="n"/>
      <c r="K811" s="21" t="n"/>
      <c r="L811" s="21" t="n"/>
      <c r="M811" s="18" t="n"/>
      <c r="N811" s="22">
        <f>IF($B811="","",CHOOSE(WEEKDAY($B811),"الأحد","الاثنين","الثلاثاء","الأربعاء","الخميس","الجمعة","السبت"))</f>
        <v/>
      </c>
      <c r="O811" s="23">
        <f>IF(OR($K811="",$L811=""),"",HYPERLINK("https://maps.google.com/?q="&amp;$K811&amp;","&amp;$L811,"عرض الموقع"))</f>
        <v/>
      </c>
      <c r="P811" s="23">
        <f>IF(OR($B811="",N($J811)=0),"",HYPERLINK(PhotoDir&amp;"/"&amp;YEAR($B811)&amp;"-"&amp;TEXT(MONTH($B811),"00")&amp;"-"&amp;TEXT(DAY($B811),"00")&amp;"_"&amp;$D811,"فتح الصور ("&amp;$J811&amp;")"))</f>
        <v/>
      </c>
      <c r="Q811" s="24">
        <f>IF($B811="","",MONTH($B811))</f>
        <v/>
      </c>
      <c r="R811" s="24">
        <f>IF($B811="","",YEAR($B811))</f>
        <v/>
      </c>
      <c r="S811" s="25">
        <f>IF($B811="","",$B811-WEEKDAY($B811,3))</f>
        <v/>
      </c>
      <c r="T811" s="24">
        <f>IF($B811="",0,IF(COUNTIFS($B$5:$B811,$B811,$D$5:$D811,$D811)=1,1,0))</f>
        <v/>
      </c>
      <c r="U811" s="24">
        <f>IF($B811="",0,IF(COUNTIFS($B$5:$B811,$B811,$C$5:$C811,$C811)=1,1,0))</f>
        <v/>
      </c>
      <c r="V811" s="24">
        <f>IF(OR($B811="",$G811="",$G811="لا توجد مشاهدات"),0,1)</f>
        <v/>
      </c>
      <c r="W811" s="24">
        <f>IF(AND($B811&lt;&gt;"",$I811="تم تحرير مخالفة"),1,0)</f>
        <v/>
      </c>
      <c r="X811" s="24">
        <f>IF($B811="","",IF($S811=WkStart,COUNTIF($S$5:$S811,WkStart),""))</f>
        <v/>
      </c>
    </row>
    <row r="812">
      <c r="A812" s="16">
        <f>IF($B812="","",ROW()-4)</f>
        <v/>
      </c>
      <c r="B812" s="17" t="n"/>
      <c r="C812" s="18" t="n"/>
      <c r="D812" s="18" t="n"/>
      <c r="E812" s="19" t="n"/>
      <c r="F812" s="19" t="n"/>
      <c r="G812" s="18" t="n"/>
      <c r="H812" s="18" t="n"/>
      <c r="I812" s="18" t="n"/>
      <c r="J812" s="20" t="n"/>
      <c r="K812" s="21" t="n"/>
      <c r="L812" s="21" t="n"/>
      <c r="M812" s="18" t="n"/>
      <c r="N812" s="22">
        <f>IF($B812="","",CHOOSE(WEEKDAY($B812),"الأحد","الاثنين","الثلاثاء","الأربعاء","الخميس","الجمعة","السبت"))</f>
        <v/>
      </c>
      <c r="O812" s="23">
        <f>IF(OR($K812="",$L812=""),"",HYPERLINK("https://maps.google.com/?q="&amp;$K812&amp;","&amp;$L812,"عرض الموقع"))</f>
        <v/>
      </c>
      <c r="P812" s="23">
        <f>IF(OR($B812="",N($J812)=0),"",HYPERLINK(PhotoDir&amp;"/"&amp;YEAR($B812)&amp;"-"&amp;TEXT(MONTH($B812),"00")&amp;"-"&amp;TEXT(DAY($B812),"00")&amp;"_"&amp;$D812,"فتح الصور ("&amp;$J812&amp;")"))</f>
        <v/>
      </c>
      <c r="Q812" s="24">
        <f>IF($B812="","",MONTH($B812))</f>
        <v/>
      </c>
      <c r="R812" s="24">
        <f>IF($B812="","",YEAR($B812))</f>
        <v/>
      </c>
      <c r="S812" s="25">
        <f>IF($B812="","",$B812-WEEKDAY($B812,3))</f>
        <v/>
      </c>
      <c r="T812" s="24">
        <f>IF($B812="",0,IF(COUNTIFS($B$5:$B812,$B812,$D$5:$D812,$D812)=1,1,0))</f>
        <v/>
      </c>
      <c r="U812" s="24">
        <f>IF($B812="",0,IF(COUNTIFS($B$5:$B812,$B812,$C$5:$C812,$C812)=1,1,0))</f>
        <v/>
      </c>
      <c r="V812" s="24">
        <f>IF(OR($B812="",$G812="",$G812="لا توجد مشاهدات"),0,1)</f>
        <v/>
      </c>
      <c r="W812" s="24">
        <f>IF(AND($B812&lt;&gt;"",$I812="تم تحرير مخالفة"),1,0)</f>
        <v/>
      </c>
      <c r="X812" s="24">
        <f>IF($B812="","",IF($S812=WkStart,COUNTIF($S$5:$S812,WkStart),""))</f>
        <v/>
      </c>
    </row>
    <row r="813">
      <c r="A813" s="16">
        <f>IF($B813="","",ROW()-4)</f>
        <v/>
      </c>
      <c r="B813" s="17" t="n"/>
      <c r="C813" s="18" t="n"/>
      <c r="D813" s="18" t="n"/>
      <c r="E813" s="19" t="n"/>
      <c r="F813" s="19" t="n"/>
      <c r="G813" s="18" t="n"/>
      <c r="H813" s="18" t="n"/>
      <c r="I813" s="18" t="n"/>
      <c r="J813" s="20" t="n"/>
      <c r="K813" s="21" t="n"/>
      <c r="L813" s="21" t="n"/>
      <c r="M813" s="18" t="n"/>
      <c r="N813" s="22">
        <f>IF($B813="","",CHOOSE(WEEKDAY($B813),"الأحد","الاثنين","الثلاثاء","الأربعاء","الخميس","الجمعة","السبت"))</f>
        <v/>
      </c>
      <c r="O813" s="23">
        <f>IF(OR($K813="",$L813=""),"",HYPERLINK("https://maps.google.com/?q="&amp;$K813&amp;","&amp;$L813,"عرض الموقع"))</f>
        <v/>
      </c>
      <c r="P813" s="23">
        <f>IF(OR($B813="",N($J813)=0),"",HYPERLINK(PhotoDir&amp;"/"&amp;YEAR($B813)&amp;"-"&amp;TEXT(MONTH($B813),"00")&amp;"-"&amp;TEXT(DAY($B813),"00")&amp;"_"&amp;$D813,"فتح الصور ("&amp;$J813&amp;")"))</f>
        <v/>
      </c>
      <c r="Q813" s="24">
        <f>IF($B813="","",MONTH($B813))</f>
        <v/>
      </c>
      <c r="R813" s="24">
        <f>IF($B813="","",YEAR($B813))</f>
        <v/>
      </c>
      <c r="S813" s="25">
        <f>IF($B813="","",$B813-WEEKDAY($B813,3))</f>
        <v/>
      </c>
      <c r="T813" s="24">
        <f>IF($B813="",0,IF(COUNTIFS($B$5:$B813,$B813,$D$5:$D813,$D813)=1,1,0))</f>
        <v/>
      </c>
      <c r="U813" s="24">
        <f>IF($B813="",0,IF(COUNTIFS($B$5:$B813,$B813,$C$5:$C813,$C813)=1,1,0))</f>
        <v/>
      </c>
      <c r="V813" s="24">
        <f>IF(OR($B813="",$G813="",$G813="لا توجد مشاهدات"),0,1)</f>
        <v/>
      </c>
      <c r="W813" s="24">
        <f>IF(AND($B813&lt;&gt;"",$I813="تم تحرير مخالفة"),1,0)</f>
        <v/>
      </c>
      <c r="X813" s="24">
        <f>IF($B813="","",IF($S813=WkStart,COUNTIF($S$5:$S813,WkStart),""))</f>
        <v/>
      </c>
    </row>
    <row r="814">
      <c r="A814" s="16">
        <f>IF($B814="","",ROW()-4)</f>
        <v/>
      </c>
      <c r="B814" s="17" t="n"/>
      <c r="C814" s="18" t="n"/>
      <c r="D814" s="18" t="n"/>
      <c r="E814" s="19" t="n"/>
      <c r="F814" s="19" t="n"/>
      <c r="G814" s="18" t="n"/>
      <c r="H814" s="18" t="n"/>
      <c r="I814" s="18" t="n"/>
      <c r="J814" s="20" t="n"/>
      <c r="K814" s="21" t="n"/>
      <c r="L814" s="21" t="n"/>
      <c r="M814" s="18" t="n"/>
      <c r="N814" s="22">
        <f>IF($B814="","",CHOOSE(WEEKDAY($B814),"الأحد","الاثنين","الثلاثاء","الأربعاء","الخميس","الجمعة","السبت"))</f>
        <v/>
      </c>
      <c r="O814" s="23">
        <f>IF(OR($K814="",$L814=""),"",HYPERLINK("https://maps.google.com/?q="&amp;$K814&amp;","&amp;$L814,"عرض الموقع"))</f>
        <v/>
      </c>
      <c r="P814" s="23">
        <f>IF(OR($B814="",N($J814)=0),"",HYPERLINK(PhotoDir&amp;"/"&amp;YEAR($B814)&amp;"-"&amp;TEXT(MONTH($B814),"00")&amp;"-"&amp;TEXT(DAY($B814),"00")&amp;"_"&amp;$D814,"فتح الصور ("&amp;$J814&amp;")"))</f>
        <v/>
      </c>
      <c r="Q814" s="24">
        <f>IF($B814="","",MONTH($B814))</f>
        <v/>
      </c>
      <c r="R814" s="24">
        <f>IF($B814="","",YEAR($B814))</f>
        <v/>
      </c>
      <c r="S814" s="25">
        <f>IF($B814="","",$B814-WEEKDAY($B814,3))</f>
        <v/>
      </c>
      <c r="T814" s="24">
        <f>IF($B814="",0,IF(COUNTIFS($B$5:$B814,$B814,$D$5:$D814,$D814)=1,1,0))</f>
        <v/>
      </c>
      <c r="U814" s="24">
        <f>IF($B814="",0,IF(COUNTIFS($B$5:$B814,$B814,$C$5:$C814,$C814)=1,1,0))</f>
        <v/>
      </c>
      <c r="V814" s="24">
        <f>IF(OR($B814="",$G814="",$G814="لا توجد مشاهدات"),0,1)</f>
        <v/>
      </c>
      <c r="W814" s="24">
        <f>IF(AND($B814&lt;&gt;"",$I814="تم تحرير مخالفة"),1,0)</f>
        <v/>
      </c>
      <c r="X814" s="24">
        <f>IF($B814="","",IF($S814=WkStart,COUNTIF($S$5:$S814,WkStart),""))</f>
        <v/>
      </c>
    </row>
    <row r="815">
      <c r="A815" s="16">
        <f>IF($B815="","",ROW()-4)</f>
        <v/>
      </c>
      <c r="B815" s="17" t="n"/>
      <c r="C815" s="18" t="n"/>
      <c r="D815" s="18" t="n"/>
      <c r="E815" s="19" t="n"/>
      <c r="F815" s="19" t="n"/>
      <c r="G815" s="18" t="n"/>
      <c r="H815" s="18" t="n"/>
      <c r="I815" s="18" t="n"/>
      <c r="J815" s="20" t="n"/>
      <c r="K815" s="21" t="n"/>
      <c r="L815" s="21" t="n"/>
      <c r="M815" s="18" t="n"/>
      <c r="N815" s="22">
        <f>IF($B815="","",CHOOSE(WEEKDAY($B815),"الأحد","الاثنين","الثلاثاء","الأربعاء","الخميس","الجمعة","السبت"))</f>
        <v/>
      </c>
      <c r="O815" s="23">
        <f>IF(OR($K815="",$L815=""),"",HYPERLINK("https://maps.google.com/?q="&amp;$K815&amp;","&amp;$L815,"عرض الموقع"))</f>
        <v/>
      </c>
      <c r="P815" s="23">
        <f>IF(OR($B815="",N($J815)=0),"",HYPERLINK(PhotoDir&amp;"/"&amp;YEAR($B815)&amp;"-"&amp;TEXT(MONTH($B815),"00")&amp;"-"&amp;TEXT(DAY($B815),"00")&amp;"_"&amp;$D815,"فتح الصور ("&amp;$J815&amp;")"))</f>
        <v/>
      </c>
      <c r="Q815" s="24">
        <f>IF($B815="","",MONTH($B815))</f>
        <v/>
      </c>
      <c r="R815" s="24">
        <f>IF($B815="","",YEAR($B815))</f>
        <v/>
      </c>
      <c r="S815" s="25">
        <f>IF($B815="","",$B815-WEEKDAY($B815,3))</f>
        <v/>
      </c>
      <c r="T815" s="24">
        <f>IF($B815="",0,IF(COUNTIFS($B$5:$B815,$B815,$D$5:$D815,$D815)=1,1,0))</f>
        <v/>
      </c>
      <c r="U815" s="24">
        <f>IF($B815="",0,IF(COUNTIFS($B$5:$B815,$B815,$C$5:$C815,$C815)=1,1,0))</f>
        <v/>
      </c>
      <c r="V815" s="24">
        <f>IF(OR($B815="",$G815="",$G815="لا توجد مشاهدات"),0,1)</f>
        <v/>
      </c>
      <c r="W815" s="24">
        <f>IF(AND($B815&lt;&gt;"",$I815="تم تحرير مخالفة"),1,0)</f>
        <v/>
      </c>
      <c r="X815" s="24">
        <f>IF($B815="","",IF($S815=WkStart,COUNTIF($S$5:$S815,WkStart),""))</f>
        <v/>
      </c>
    </row>
    <row r="816">
      <c r="A816" s="16">
        <f>IF($B816="","",ROW()-4)</f>
        <v/>
      </c>
      <c r="B816" s="17" t="n"/>
      <c r="C816" s="18" t="n"/>
      <c r="D816" s="18" t="n"/>
      <c r="E816" s="19" t="n"/>
      <c r="F816" s="19" t="n"/>
      <c r="G816" s="18" t="n"/>
      <c r="H816" s="18" t="n"/>
      <c r="I816" s="18" t="n"/>
      <c r="J816" s="20" t="n"/>
      <c r="K816" s="21" t="n"/>
      <c r="L816" s="21" t="n"/>
      <c r="M816" s="18" t="n"/>
      <c r="N816" s="22">
        <f>IF($B816="","",CHOOSE(WEEKDAY($B816),"الأحد","الاثنين","الثلاثاء","الأربعاء","الخميس","الجمعة","السبت"))</f>
        <v/>
      </c>
      <c r="O816" s="23">
        <f>IF(OR($K816="",$L816=""),"",HYPERLINK("https://maps.google.com/?q="&amp;$K816&amp;","&amp;$L816,"عرض الموقع"))</f>
        <v/>
      </c>
      <c r="P816" s="23">
        <f>IF(OR($B816="",N($J816)=0),"",HYPERLINK(PhotoDir&amp;"/"&amp;YEAR($B816)&amp;"-"&amp;TEXT(MONTH($B816),"00")&amp;"-"&amp;TEXT(DAY($B816),"00")&amp;"_"&amp;$D816,"فتح الصور ("&amp;$J816&amp;")"))</f>
        <v/>
      </c>
      <c r="Q816" s="24">
        <f>IF($B816="","",MONTH($B816))</f>
        <v/>
      </c>
      <c r="R816" s="24">
        <f>IF($B816="","",YEAR($B816))</f>
        <v/>
      </c>
      <c r="S816" s="25">
        <f>IF($B816="","",$B816-WEEKDAY($B816,3))</f>
        <v/>
      </c>
      <c r="T816" s="24">
        <f>IF($B816="",0,IF(COUNTIFS($B$5:$B816,$B816,$D$5:$D816,$D816)=1,1,0))</f>
        <v/>
      </c>
      <c r="U816" s="24">
        <f>IF($B816="",0,IF(COUNTIFS($B$5:$B816,$B816,$C$5:$C816,$C816)=1,1,0))</f>
        <v/>
      </c>
      <c r="V816" s="24">
        <f>IF(OR($B816="",$G816="",$G816="لا توجد مشاهدات"),0,1)</f>
        <v/>
      </c>
      <c r="W816" s="24">
        <f>IF(AND($B816&lt;&gt;"",$I816="تم تحرير مخالفة"),1,0)</f>
        <v/>
      </c>
      <c r="X816" s="24">
        <f>IF($B816="","",IF($S816=WkStart,COUNTIF($S$5:$S816,WkStart),""))</f>
        <v/>
      </c>
    </row>
    <row r="817">
      <c r="A817" s="16">
        <f>IF($B817="","",ROW()-4)</f>
        <v/>
      </c>
      <c r="B817" s="17" t="n"/>
      <c r="C817" s="18" t="n"/>
      <c r="D817" s="18" t="n"/>
      <c r="E817" s="19" t="n"/>
      <c r="F817" s="19" t="n"/>
      <c r="G817" s="18" t="n"/>
      <c r="H817" s="18" t="n"/>
      <c r="I817" s="18" t="n"/>
      <c r="J817" s="20" t="n"/>
      <c r="K817" s="21" t="n"/>
      <c r="L817" s="21" t="n"/>
      <c r="M817" s="18" t="n"/>
      <c r="N817" s="22">
        <f>IF($B817="","",CHOOSE(WEEKDAY($B817),"الأحد","الاثنين","الثلاثاء","الأربعاء","الخميس","الجمعة","السبت"))</f>
        <v/>
      </c>
      <c r="O817" s="23">
        <f>IF(OR($K817="",$L817=""),"",HYPERLINK("https://maps.google.com/?q="&amp;$K817&amp;","&amp;$L817,"عرض الموقع"))</f>
        <v/>
      </c>
      <c r="P817" s="23">
        <f>IF(OR($B817="",N($J817)=0),"",HYPERLINK(PhotoDir&amp;"/"&amp;YEAR($B817)&amp;"-"&amp;TEXT(MONTH($B817),"00")&amp;"-"&amp;TEXT(DAY($B817),"00")&amp;"_"&amp;$D817,"فتح الصور ("&amp;$J817&amp;")"))</f>
        <v/>
      </c>
      <c r="Q817" s="24">
        <f>IF($B817="","",MONTH($B817))</f>
        <v/>
      </c>
      <c r="R817" s="24">
        <f>IF($B817="","",YEAR($B817))</f>
        <v/>
      </c>
      <c r="S817" s="25">
        <f>IF($B817="","",$B817-WEEKDAY($B817,3))</f>
        <v/>
      </c>
      <c r="T817" s="24">
        <f>IF($B817="",0,IF(COUNTIFS($B$5:$B817,$B817,$D$5:$D817,$D817)=1,1,0))</f>
        <v/>
      </c>
      <c r="U817" s="24">
        <f>IF($B817="",0,IF(COUNTIFS($B$5:$B817,$B817,$C$5:$C817,$C817)=1,1,0))</f>
        <v/>
      </c>
      <c r="V817" s="24">
        <f>IF(OR($B817="",$G817="",$G817="لا توجد مشاهدات"),0,1)</f>
        <v/>
      </c>
      <c r="W817" s="24">
        <f>IF(AND($B817&lt;&gt;"",$I817="تم تحرير مخالفة"),1,0)</f>
        <v/>
      </c>
      <c r="X817" s="24">
        <f>IF($B817="","",IF($S817=WkStart,COUNTIF($S$5:$S817,WkStart),""))</f>
        <v/>
      </c>
    </row>
    <row r="818">
      <c r="A818" s="16">
        <f>IF($B818="","",ROW()-4)</f>
        <v/>
      </c>
      <c r="B818" s="17" t="n"/>
      <c r="C818" s="18" t="n"/>
      <c r="D818" s="18" t="n"/>
      <c r="E818" s="19" t="n"/>
      <c r="F818" s="19" t="n"/>
      <c r="G818" s="18" t="n"/>
      <c r="H818" s="18" t="n"/>
      <c r="I818" s="18" t="n"/>
      <c r="J818" s="20" t="n"/>
      <c r="K818" s="21" t="n"/>
      <c r="L818" s="21" t="n"/>
      <c r="M818" s="18" t="n"/>
      <c r="N818" s="22">
        <f>IF($B818="","",CHOOSE(WEEKDAY($B818),"الأحد","الاثنين","الثلاثاء","الأربعاء","الخميس","الجمعة","السبت"))</f>
        <v/>
      </c>
      <c r="O818" s="23">
        <f>IF(OR($K818="",$L818=""),"",HYPERLINK("https://maps.google.com/?q="&amp;$K818&amp;","&amp;$L818,"عرض الموقع"))</f>
        <v/>
      </c>
      <c r="P818" s="23">
        <f>IF(OR($B818="",N($J818)=0),"",HYPERLINK(PhotoDir&amp;"/"&amp;YEAR($B818)&amp;"-"&amp;TEXT(MONTH($B818),"00")&amp;"-"&amp;TEXT(DAY($B818),"00")&amp;"_"&amp;$D818,"فتح الصور ("&amp;$J818&amp;")"))</f>
        <v/>
      </c>
      <c r="Q818" s="24">
        <f>IF($B818="","",MONTH($B818))</f>
        <v/>
      </c>
      <c r="R818" s="24">
        <f>IF($B818="","",YEAR($B818))</f>
        <v/>
      </c>
      <c r="S818" s="25">
        <f>IF($B818="","",$B818-WEEKDAY($B818,3))</f>
        <v/>
      </c>
      <c r="T818" s="24">
        <f>IF($B818="",0,IF(COUNTIFS($B$5:$B818,$B818,$D$5:$D818,$D818)=1,1,0))</f>
        <v/>
      </c>
      <c r="U818" s="24">
        <f>IF($B818="",0,IF(COUNTIFS($B$5:$B818,$B818,$C$5:$C818,$C818)=1,1,0))</f>
        <v/>
      </c>
      <c r="V818" s="24">
        <f>IF(OR($B818="",$G818="",$G818="لا توجد مشاهدات"),0,1)</f>
        <v/>
      </c>
      <c r="W818" s="24">
        <f>IF(AND($B818&lt;&gt;"",$I818="تم تحرير مخالفة"),1,0)</f>
        <v/>
      </c>
      <c r="X818" s="24">
        <f>IF($B818="","",IF($S818=WkStart,COUNTIF($S$5:$S818,WkStart),""))</f>
        <v/>
      </c>
    </row>
    <row r="819">
      <c r="A819" s="16">
        <f>IF($B819="","",ROW()-4)</f>
        <v/>
      </c>
      <c r="B819" s="17" t="n"/>
      <c r="C819" s="18" t="n"/>
      <c r="D819" s="18" t="n"/>
      <c r="E819" s="19" t="n"/>
      <c r="F819" s="19" t="n"/>
      <c r="G819" s="18" t="n"/>
      <c r="H819" s="18" t="n"/>
      <c r="I819" s="18" t="n"/>
      <c r="J819" s="20" t="n"/>
      <c r="K819" s="21" t="n"/>
      <c r="L819" s="21" t="n"/>
      <c r="M819" s="18" t="n"/>
      <c r="N819" s="22">
        <f>IF($B819="","",CHOOSE(WEEKDAY($B819),"الأحد","الاثنين","الثلاثاء","الأربعاء","الخميس","الجمعة","السبت"))</f>
        <v/>
      </c>
      <c r="O819" s="23">
        <f>IF(OR($K819="",$L819=""),"",HYPERLINK("https://maps.google.com/?q="&amp;$K819&amp;","&amp;$L819,"عرض الموقع"))</f>
        <v/>
      </c>
      <c r="P819" s="23">
        <f>IF(OR($B819="",N($J819)=0),"",HYPERLINK(PhotoDir&amp;"/"&amp;YEAR($B819)&amp;"-"&amp;TEXT(MONTH($B819),"00")&amp;"-"&amp;TEXT(DAY($B819),"00")&amp;"_"&amp;$D819,"فتح الصور ("&amp;$J819&amp;")"))</f>
        <v/>
      </c>
      <c r="Q819" s="24">
        <f>IF($B819="","",MONTH($B819))</f>
        <v/>
      </c>
      <c r="R819" s="24">
        <f>IF($B819="","",YEAR($B819))</f>
        <v/>
      </c>
      <c r="S819" s="25">
        <f>IF($B819="","",$B819-WEEKDAY($B819,3))</f>
        <v/>
      </c>
      <c r="T819" s="24">
        <f>IF($B819="",0,IF(COUNTIFS($B$5:$B819,$B819,$D$5:$D819,$D819)=1,1,0))</f>
        <v/>
      </c>
      <c r="U819" s="24">
        <f>IF($B819="",0,IF(COUNTIFS($B$5:$B819,$B819,$C$5:$C819,$C819)=1,1,0))</f>
        <v/>
      </c>
      <c r="V819" s="24">
        <f>IF(OR($B819="",$G819="",$G819="لا توجد مشاهدات"),0,1)</f>
        <v/>
      </c>
      <c r="W819" s="24">
        <f>IF(AND($B819&lt;&gt;"",$I819="تم تحرير مخالفة"),1,0)</f>
        <v/>
      </c>
      <c r="X819" s="24">
        <f>IF($B819="","",IF($S819=WkStart,COUNTIF($S$5:$S819,WkStart),""))</f>
        <v/>
      </c>
    </row>
    <row r="820">
      <c r="A820" s="16">
        <f>IF($B820="","",ROW()-4)</f>
        <v/>
      </c>
      <c r="B820" s="17" t="n"/>
      <c r="C820" s="18" t="n"/>
      <c r="D820" s="18" t="n"/>
      <c r="E820" s="19" t="n"/>
      <c r="F820" s="19" t="n"/>
      <c r="G820" s="18" t="n"/>
      <c r="H820" s="18" t="n"/>
      <c r="I820" s="18" t="n"/>
      <c r="J820" s="20" t="n"/>
      <c r="K820" s="21" t="n"/>
      <c r="L820" s="21" t="n"/>
      <c r="M820" s="18" t="n"/>
      <c r="N820" s="22">
        <f>IF($B820="","",CHOOSE(WEEKDAY($B820),"الأحد","الاثنين","الثلاثاء","الأربعاء","الخميس","الجمعة","السبت"))</f>
        <v/>
      </c>
      <c r="O820" s="23">
        <f>IF(OR($K820="",$L820=""),"",HYPERLINK("https://maps.google.com/?q="&amp;$K820&amp;","&amp;$L820,"عرض الموقع"))</f>
        <v/>
      </c>
      <c r="P820" s="23">
        <f>IF(OR($B820="",N($J820)=0),"",HYPERLINK(PhotoDir&amp;"/"&amp;YEAR($B820)&amp;"-"&amp;TEXT(MONTH($B820),"00")&amp;"-"&amp;TEXT(DAY($B820),"00")&amp;"_"&amp;$D820,"فتح الصور ("&amp;$J820&amp;")"))</f>
        <v/>
      </c>
      <c r="Q820" s="24">
        <f>IF($B820="","",MONTH($B820))</f>
        <v/>
      </c>
      <c r="R820" s="24">
        <f>IF($B820="","",YEAR($B820))</f>
        <v/>
      </c>
      <c r="S820" s="25">
        <f>IF($B820="","",$B820-WEEKDAY($B820,3))</f>
        <v/>
      </c>
      <c r="T820" s="24">
        <f>IF($B820="",0,IF(COUNTIFS($B$5:$B820,$B820,$D$5:$D820,$D820)=1,1,0))</f>
        <v/>
      </c>
      <c r="U820" s="24">
        <f>IF($B820="",0,IF(COUNTIFS($B$5:$B820,$B820,$C$5:$C820,$C820)=1,1,0))</f>
        <v/>
      </c>
      <c r="V820" s="24">
        <f>IF(OR($B820="",$G820="",$G820="لا توجد مشاهدات"),0,1)</f>
        <v/>
      </c>
      <c r="W820" s="24">
        <f>IF(AND($B820&lt;&gt;"",$I820="تم تحرير مخالفة"),1,0)</f>
        <v/>
      </c>
      <c r="X820" s="24">
        <f>IF($B820="","",IF($S820=WkStart,COUNTIF($S$5:$S820,WkStart),""))</f>
        <v/>
      </c>
    </row>
    <row r="821">
      <c r="A821" s="16">
        <f>IF($B821="","",ROW()-4)</f>
        <v/>
      </c>
      <c r="B821" s="17" t="n"/>
      <c r="C821" s="18" t="n"/>
      <c r="D821" s="18" t="n"/>
      <c r="E821" s="19" t="n"/>
      <c r="F821" s="19" t="n"/>
      <c r="G821" s="18" t="n"/>
      <c r="H821" s="18" t="n"/>
      <c r="I821" s="18" t="n"/>
      <c r="J821" s="20" t="n"/>
      <c r="K821" s="21" t="n"/>
      <c r="L821" s="21" t="n"/>
      <c r="M821" s="18" t="n"/>
      <c r="N821" s="22">
        <f>IF($B821="","",CHOOSE(WEEKDAY($B821),"الأحد","الاثنين","الثلاثاء","الأربعاء","الخميس","الجمعة","السبت"))</f>
        <v/>
      </c>
      <c r="O821" s="23">
        <f>IF(OR($K821="",$L821=""),"",HYPERLINK("https://maps.google.com/?q="&amp;$K821&amp;","&amp;$L821,"عرض الموقع"))</f>
        <v/>
      </c>
      <c r="P821" s="23">
        <f>IF(OR($B821="",N($J821)=0),"",HYPERLINK(PhotoDir&amp;"/"&amp;YEAR($B821)&amp;"-"&amp;TEXT(MONTH($B821),"00")&amp;"-"&amp;TEXT(DAY($B821),"00")&amp;"_"&amp;$D821,"فتح الصور ("&amp;$J821&amp;")"))</f>
        <v/>
      </c>
      <c r="Q821" s="24">
        <f>IF($B821="","",MONTH($B821))</f>
        <v/>
      </c>
      <c r="R821" s="24">
        <f>IF($B821="","",YEAR($B821))</f>
        <v/>
      </c>
      <c r="S821" s="25">
        <f>IF($B821="","",$B821-WEEKDAY($B821,3))</f>
        <v/>
      </c>
      <c r="T821" s="24">
        <f>IF($B821="",0,IF(COUNTIFS($B$5:$B821,$B821,$D$5:$D821,$D821)=1,1,0))</f>
        <v/>
      </c>
      <c r="U821" s="24">
        <f>IF($B821="",0,IF(COUNTIFS($B$5:$B821,$B821,$C$5:$C821,$C821)=1,1,0))</f>
        <v/>
      </c>
      <c r="V821" s="24">
        <f>IF(OR($B821="",$G821="",$G821="لا توجد مشاهدات"),0,1)</f>
        <v/>
      </c>
      <c r="W821" s="24">
        <f>IF(AND($B821&lt;&gt;"",$I821="تم تحرير مخالفة"),1,0)</f>
        <v/>
      </c>
      <c r="X821" s="24">
        <f>IF($B821="","",IF($S821=WkStart,COUNTIF($S$5:$S821,WkStart),""))</f>
        <v/>
      </c>
    </row>
    <row r="822">
      <c r="A822" s="16">
        <f>IF($B822="","",ROW()-4)</f>
        <v/>
      </c>
      <c r="B822" s="17" t="n"/>
      <c r="C822" s="18" t="n"/>
      <c r="D822" s="18" t="n"/>
      <c r="E822" s="19" t="n"/>
      <c r="F822" s="19" t="n"/>
      <c r="G822" s="18" t="n"/>
      <c r="H822" s="18" t="n"/>
      <c r="I822" s="18" t="n"/>
      <c r="J822" s="20" t="n"/>
      <c r="K822" s="21" t="n"/>
      <c r="L822" s="21" t="n"/>
      <c r="M822" s="18" t="n"/>
      <c r="N822" s="22">
        <f>IF($B822="","",CHOOSE(WEEKDAY($B822),"الأحد","الاثنين","الثلاثاء","الأربعاء","الخميس","الجمعة","السبت"))</f>
        <v/>
      </c>
      <c r="O822" s="23">
        <f>IF(OR($K822="",$L822=""),"",HYPERLINK("https://maps.google.com/?q="&amp;$K822&amp;","&amp;$L822,"عرض الموقع"))</f>
        <v/>
      </c>
      <c r="P822" s="23">
        <f>IF(OR($B822="",N($J822)=0),"",HYPERLINK(PhotoDir&amp;"/"&amp;YEAR($B822)&amp;"-"&amp;TEXT(MONTH($B822),"00")&amp;"-"&amp;TEXT(DAY($B822),"00")&amp;"_"&amp;$D822,"فتح الصور ("&amp;$J822&amp;")"))</f>
        <v/>
      </c>
      <c r="Q822" s="24">
        <f>IF($B822="","",MONTH($B822))</f>
        <v/>
      </c>
      <c r="R822" s="24">
        <f>IF($B822="","",YEAR($B822))</f>
        <v/>
      </c>
      <c r="S822" s="25">
        <f>IF($B822="","",$B822-WEEKDAY($B822,3))</f>
        <v/>
      </c>
      <c r="T822" s="24">
        <f>IF($B822="",0,IF(COUNTIFS($B$5:$B822,$B822,$D$5:$D822,$D822)=1,1,0))</f>
        <v/>
      </c>
      <c r="U822" s="24">
        <f>IF($B822="",0,IF(COUNTIFS($B$5:$B822,$B822,$C$5:$C822,$C822)=1,1,0))</f>
        <v/>
      </c>
      <c r="V822" s="24">
        <f>IF(OR($B822="",$G822="",$G822="لا توجد مشاهدات"),0,1)</f>
        <v/>
      </c>
      <c r="W822" s="24">
        <f>IF(AND($B822&lt;&gt;"",$I822="تم تحرير مخالفة"),1,0)</f>
        <v/>
      </c>
      <c r="X822" s="24">
        <f>IF($B822="","",IF($S822=WkStart,COUNTIF($S$5:$S822,WkStart),""))</f>
        <v/>
      </c>
    </row>
    <row r="823">
      <c r="A823" s="16">
        <f>IF($B823="","",ROW()-4)</f>
        <v/>
      </c>
      <c r="B823" s="17" t="n"/>
      <c r="C823" s="18" t="n"/>
      <c r="D823" s="18" t="n"/>
      <c r="E823" s="19" t="n"/>
      <c r="F823" s="19" t="n"/>
      <c r="G823" s="18" t="n"/>
      <c r="H823" s="18" t="n"/>
      <c r="I823" s="18" t="n"/>
      <c r="J823" s="20" t="n"/>
      <c r="K823" s="21" t="n"/>
      <c r="L823" s="21" t="n"/>
      <c r="M823" s="18" t="n"/>
      <c r="N823" s="22">
        <f>IF($B823="","",CHOOSE(WEEKDAY($B823),"الأحد","الاثنين","الثلاثاء","الأربعاء","الخميس","الجمعة","السبت"))</f>
        <v/>
      </c>
      <c r="O823" s="23">
        <f>IF(OR($K823="",$L823=""),"",HYPERLINK("https://maps.google.com/?q="&amp;$K823&amp;","&amp;$L823,"عرض الموقع"))</f>
        <v/>
      </c>
      <c r="P823" s="23">
        <f>IF(OR($B823="",N($J823)=0),"",HYPERLINK(PhotoDir&amp;"/"&amp;YEAR($B823)&amp;"-"&amp;TEXT(MONTH($B823),"00")&amp;"-"&amp;TEXT(DAY($B823),"00")&amp;"_"&amp;$D823,"فتح الصور ("&amp;$J823&amp;")"))</f>
        <v/>
      </c>
      <c r="Q823" s="24">
        <f>IF($B823="","",MONTH($B823))</f>
        <v/>
      </c>
      <c r="R823" s="24">
        <f>IF($B823="","",YEAR($B823))</f>
        <v/>
      </c>
      <c r="S823" s="25">
        <f>IF($B823="","",$B823-WEEKDAY($B823,3))</f>
        <v/>
      </c>
      <c r="T823" s="24">
        <f>IF($B823="",0,IF(COUNTIFS($B$5:$B823,$B823,$D$5:$D823,$D823)=1,1,0))</f>
        <v/>
      </c>
      <c r="U823" s="24">
        <f>IF($B823="",0,IF(COUNTIFS($B$5:$B823,$B823,$C$5:$C823,$C823)=1,1,0))</f>
        <v/>
      </c>
      <c r="V823" s="24">
        <f>IF(OR($B823="",$G823="",$G823="لا توجد مشاهدات"),0,1)</f>
        <v/>
      </c>
      <c r="W823" s="24">
        <f>IF(AND($B823&lt;&gt;"",$I823="تم تحرير مخالفة"),1,0)</f>
        <v/>
      </c>
      <c r="X823" s="24">
        <f>IF($B823="","",IF($S823=WkStart,COUNTIF($S$5:$S823,WkStart),""))</f>
        <v/>
      </c>
    </row>
    <row r="824">
      <c r="A824" s="16">
        <f>IF($B824="","",ROW()-4)</f>
        <v/>
      </c>
      <c r="B824" s="17" t="n"/>
      <c r="C824" s="18" t="n"/>
      <c r="D824" s="18" t="n"/>
      <c r="E824" s="19" t="n"/>
      <c r="F824" s="19" t="n"/>
      <c r="G824" s="18" t="n"/>
      <c r="H824" s="18" t="n"/>
      <c r="I824" s="18" t="n"/>
      <c r="J824" s="20" t="n"/>
      <c r="K824" s="21" t="n"/>
      <c r="L824" s="21" t="n"/>
      <c r="M824" s="18" t="n"/>
      <c r="N824" s="22">
        <f>IF($B824="","",CHOOSE(WEEKDAY($B824),"الأحد","الاثنين","الثلاثاء","الأربعاء","الخميس","الجمعة","السبت"))</f>
        <v/>
      </c>
      <c r="O824" s="23">
        <f>IF(OR($K824="",$L824=""),"",HYPERLINK("https://maps.google.com/?q="&amp;$K824&amp;","&amp;$L824,"عرض الموقع"))</f>
        <v/>
      </c>
      <c r="P824" s="23">
        <f>IF(OR($B824="",N($J824)=0),"",HYPERLINK(PhotoDir&amp;"/"&amp;YEAR($B824)&amp;"-"&amp;TEXT(MONTH($B824),"00")&amp;"-"&amp;TEXT(DAY($B824),"00")&amp;"_"&amp;$D824,"فتح الصور ("&amp;$J824&amp;")"))</f>
        <v/>
      </c>
      <c r="Q824" s="24">
        <f>IF($B824="","",MONTH($B824))</f>
        <v/>
      </c>
      <c r="R824" s="24">
        <f>IF($B824="","",YEAR($B824))</f>
        <v/>
      </c>
      <c r="S824" s="25">
        <f>IF($B824="","",$B824-WEEKDAY($B824,3))</f>
        <v/>
      </c>
      <c r="T824" s="24">
        <f>IF($B824="",0,IF(COUNTIFS($B$5:$B824,$B824,$D$5:$D824,$D824)=1,1,0))</f>
        <v/>
      </c>
      <c r="U824" s="24">
        <f>IF($B824="",0,IF(COUNTIFS($B$5:$B824,$B824,$C$5:$C824,$C824)=1,1,0))</f>
        <v/>
      </c>
      <c r="V824" s="24">
        <f>IF(OR($B824="",$G824="",$G824="لا توجد مشاهدات"),0,1)</f>
        <v/>
      </c>
      <c r="W824" s="24">
        <f>IF(AND($B824&lt;&gt;"",$I824="تم تحرير مخالفة"),1,0)</f>
        <v/>
      </c>
      <c r="X824" s="24">
        <f>IF($B824="","",IF($S824=WkStart,COUNTIF($S$5:$S824,WkStart),""))</f>
        <v/>
      </c>
    </row>
    <row r="825">
      <c r="A825" s="16">
        <f>IF($B825="","",ROW()-4)</f>
        <v/>
      </c>
      <c r="B825" s="17" t="n"/>
      <c r="C825" s="18" t="n"/>
      <c r="D825" s="18" t="n"/>
      <c r="E825" s="19" t="n"/>
      <c r="F825" s="19" t="n"/>
      <c r="G825" s="18" t="n"/>
      <c r="H825" s="18" t="n"/>
      <c r="I825" s="18" t="n"/>
      <c r="J825" s="20" t="n"/>
      <c r="K825" s="21" t="n"/>
      <c r="L825" s="21" t="n"/>
      <c r="M825" s="18" t="n"/>
      <c r="N825" s="22">
        <f>IF($B825="","",CHOOSE(WEEKDAY($B825),"الأحد","الاثنين","الثلاثاء","الأربعاء","الخميس","الجمعة","السبت"))</f>
        <v/>
      </c>
      <c r="O825" s="23">
        <f>IF(OR($K825="",$L825=""),"",HYPERLINK("https://maps.google.com/?q="&amp;$K825&amp;","&amp;$L825,"عرض الموقع"))</f>
        <v/>
      </c>
      <c r="P825" s="23">
        <f>IF(OR($B825="",N($J825)=0),"",HYPERLINK(PhotoDir&amp;"/"&amp;YEAR($B825)&amp;"-"&amp;TEXT(MONTH($B825),"00")&amp;"-"&amp;TEXT(DAY($B825),"00")&amp;"_"&amp;$D825,"فتح الصور ("&amp;$J825&amp;")"))</f>
        <v/>
      </c>
      <c r="Q825" s="24">
        <f>IF($B825="","",MONTH($B825))</f>
        <v/>
      </c>
      <c r="R825" s="24">
        <f>IF($B825="","",YEAR($B825))</f>
        <v/>
      </c>
      <c r="S825" s="25">
        <f>IF($B825="","",$B825-WEEKDAY($B825,3))</f>
        <v/>
      </c>
      <c r="T825" s="24">
        <f>IF($B825="",0,IF(COUNTIFS($B$5:$B825,$B825,$D$5:$D825,$D825)=1,1,0))</f>
        <v/>
      </c>
      <c r="U825" s="24">
        <f>IF($B825="",0,IF(COUNTIFS($B$5:$B825,$B825,$C$5:$C825,$C825)=1,1,0))</f>
        <v/>
      </c>
      <c r="V825" s="24">
        <f>IF(OR($B825="",$G825="",$G825="لا توجد مشاهدات"),0,1)</f>
        <v/>
      </c>
      <c r="W825" s="24">
        <f>IF(AND($B825&lt;&gt;"",$I825="تم تحرير مخالفة"),1,0)</f>
        <v/>
      </c>
      <c r="X825" s="24">
        <f>IF($B825="","",IF($S825=WkStart,COUNTIF($S$5:$S825,WkStart),""))</f>
        <v/>
      </c>
    </row>
    <row r="826">
      <c r="A826" s="16">
        <f>IF($B826="","",ROW()-4)</f>
        <v/>
      </c>
      <c r="B826" s="17" t="n"/>
      <c r="C826" s="18" t="n"/>
      <c r="D826" s="18" t="n"/>
      <c r="E826" s="19" t="n"/>
      <c r="F826" s="19" t="n"/>
      <c r="G826" s="18" t="n"/>
      <c r="H826" s="18" t="n"/>
      <c r="I826" s="18" t="n"/>
      <c r="J826" s="20" t="n"/>
      <c r="K826" s="21" t="n"/>
      <c r="L826" s="21" t="n"/>
      <c r="M826" s="18" t="n"/>
      <c r="N826" s="22">
        <f>IF($B826="","",CHOOSE(WEEKDAY($B826),"الأحد","الاثنين","الثلاثاء","الأربعاء","الخميس","الجمعة","السبت"))</f>
        <v/>
      </c>
      <c r="O826" s="23">
        <f>IF(OR($K826="",$L826=""),"",HYPERLINK("https://maps.google.com/?q="&amp;$K826&amp;","&amp;$L826,"عرض الموقع"))</f>
        <v/>
      </c>
      <c r="P826" s="23">
        <f>IF(OR($B826="",N($J826)=0),"",HYPERLINK(PhotoDir&amp;"/"&amp;YEAR($B826)&amp;"-"&amp;TEXT(MONTH($B826),"00")&amp;"-"&amp;TEXT(DAY($B826),"00")&amp;"_"&amp;$D826,"فتح الصور ("&amp;$J826&amp;")"))</f>
        <v/>
      </c>
      <c r="Q826" s="24">
        <f>IF($B826="","",MONTH($B826))</f>
        <v/>
      </c>
      <c r="R826" s="24">
        <f>IF($B826="","",YEAR($B826))</f>
        <v/>
      </c>
      <c r="S826" s="25">
        <f>IF($B826="","",$B826-WEEKDAY($B826,3))</f>
        <v/>
      </c>
      <c r="T826" s="24">
        <f>IF($B826="",0,IF(COUNTIFS($B$5:$B826,$B826,$D$5:$D826,$D826)=1,1,0))</f>
        <v/>
      </c>
      <c r="U826" s="24">
        <f>IF($B826="",0,IF(COUNTIFS($B$5:$B826,$B826,$C$5:$C826,$C826)=1,1,0))</f>
        <v/>
      </c>
      <c r="V826" s="24">
        <f>IF(OR($B826="",$G826="",$G826="لا توجد مشاهدات"),0,1)</f>
        <v/>
      </c>
      <c r="W826" s="24">
        <f>IF(AND($B826&lt;&gt;"",$I826="تم تحرير مخالفة"),1,0)</f>
        <v/>
      </c>
      <c r="X826" s="24">
        <f>IF($B826="","",IF($S826=WkStart,COUNTIF($S$5:$S826,WkStart),""))</f>
        <v/>
      </c>
    </row>
    <row r="827">
      <c r="A827" s="16">
        <f>IF($B827="","",ROW()-4)</f>
        <v/>
      </c>
      <c r="B827" s="17" t="n"/>
      <c r="C827" s="18" t="n"/>
      <c r="D827" s="18" t="n"/>
      <c r="E827" s="19" t="n"/>
      <c r="F827" s="19" t="n"/>
      <c r="G827" s="18" t="n"/>
      <c r="H827" s="18" t="n"/>
      <c r="I827" s="18" t="n"/>
      <c r="J827" s="20" t="n"/>
      <c r="K827" s="21" t="n"/>
      <c r="L827" s="21" t="n"/>
      <c r="M827" s="18" t="n"/>
      <c r="N827" s="22">
        <f>IF($B827="","",CHOOSE(WEEKDAY($B827),"الأحد","الاثنين","الثلاثاء","الأربعاء","الخميس","الجمعة","السبت"))</f>
        <v/>
      </c>
      <c r="O827" s="23">
        <f>IF(OR($K827="",$L827=""),"",HYPERLINK("https://maps.google.com/?q="&amp;$K827&amp;","&amp;$L827,"عرض الموقع"))</f>
        <v/>
      </c>
      <c r="P827" s="23">
        <f>IF(OR($B827="",N($J827)=0),"",HYPERLINK(PhotoDir&amp;"/"&amp;YEAR($B827)&amp;"-"&amp;TEXT(MONTH($B827),"00")&amp;"-"&amp;TEXT(DAY($B827),"00")&amp;"_"&amp;$D827,"فتح الصور ("&amp;$J827&amp;")"))</f>
        <v/>
      </c>
      <c r="Q827" s="24">
        <f>IF($B827="","",MONTH($B827))</f>
        <v/>
      </c>
      <c r="R827" s="24">
        <f>IF($B827="","",YEAR($B827))</f>
        <v/>
      </c>
      <c r="S827" s="25">
        <f>IF($B827="","",$B827-WEEKDAY($B827,3))</f>
        <v/>
      </c>
      <c r="T827" s="24">
        <f>IF($B827="",0,IF(COUNTIFS($B$5:$B827,$B827,$D$5:$D827,$D827)=1,1,0))</f>
        <v/>
      </c>
      <c r="U827" s="24">
        <f>IF($B827="",0,IF(COUNTIFS($B$5:$B827,$B827,$C$5:$C827,$C827)=1,1,0))</f>
        <v/>
      </c>
      <c r="V827" s="24">
        <f>IF(OR($B827="",$G827="",$G827="لا توجد مشاهدات"),0,1)</f>
        <v/>
      </c>
      <c r="W827" s="24">
        <f>IF(AND($B827&lt;&gt;"",$I827="تم تحرير مخالفة"),1,0)</f>
        <v/>
      </c>
      <c r="X827" s="24">
        <f>IF($B827="","",IF($S827=WkStart,COUNTIF($S$5:$S827,WkStart),""))</f>
        <v/>
      </c>
    </row>
    <row r="828">
      <c r="A828" s="16">
        <f>IF($B828="","",ROW()-4)</f>
        <v/>
      </c>
      <c r="B828" s="17" t="n"/>
      <c r="C828" s="18" t="n"/>
      <c r="D828" s="18" t="n"/>
      <c r="E828" s="19" t="n"/>
      <c r="F828" s="19" t="n"/>
      <c r="G828" s="18" t="n"/>
      <c r="H828" s="18" t="n"/>
      <c r="I828" s="18" t="n"/>
      <c r="J828" s="20" t="n"/>
      <c r="K828" s="21" t="n"/>
      <c r="L828" s="21" t="n"/>
      <c r="M828" s="18" t="n"/>
      <c r="N828" s="22">
        <f>IF($B828="","",CHOOSE(WEEKDAY($B828),"الأحد","الاثنين","الثلاثاء","الأربعاء","الخميس","الجمعة","السبت"))</f>
        <v/>
      </c>
      <c r="O828" s="23">
        <f>IF(OR($K828="",$L828=""),"",HYPERLINK("https://maps.google.com/?q="&amp;$K828&amp;","&amp;$L828,"عرض الموقع"))</f>
        <v/>
      </c>
      <c r="P828" s="23">
        <f>IF(OR($B828="",N($J828)=0),"",HYPERLINK(PhotoDir&amp;"/"&amp;YEAR($B828)&amp;"-"&amp;TEXT(MONTH($B828),"00")&amp;"-"&amp;TEXT(DAY($B828),"00")&amp;"_"&amp;$D828,"فتح الصور ("&amp;$J828&amp;")"))</f>
        <v/>
      </c>
      <c r="Q828" s="24">
        <f>IF($B828="","",MONTH($B828))</f>
        <v/>
      </c>
      <c r="R828" s="24">
        <f>IF($B828="","",YEAR($B828))</f>
        <v/>
      </c>
      <c r="S828" s="25">
        <f>IF($B828="","",$B828-WEEKDAY($B828,3))</f>
        <v/>
      </c>
      <c r="T828" s="24">
        <f>IF($B828="",0,IF(COUNTIFS($B$5:$B828,$B828,$D$5:$D828,$D828)=1,1,0))</f>
        <v/>
      </c>
      <c r="U828" s="24">
        <f>IF($B828="",0,IF(COUNTIFS($B$5:$B828,$B828,$C$5:$C828,$C828)=1,1,0))</f>
        <v/>
      </c>
      <c r="V828" s="24">
        <f>IF(OR($B828="",$G828="",$G828="لا توجد مشاهدات"),0,1)</f>
        <v/>
      </c>
      <c r="W828" s="24">
        <f>IF(AND($B828&lt;&gt;"",$I828="تم تحرير مخالفة"),1,0)</f>
        <v/>
      </c>
      <c r="X828" s="24">
        <f>IF($B828="","",IF($S828=WkStart,COUNTIF($S$5:$S828,WkStart),""))</f>
        <v/>
      </c>
    </row>
    <row r="829">
      <c r="A829" s="16">
        <f>IF($B829="","",ROW()-4)</f>
        <v/>
      </c>
      <c r="B829" s="17" t="n"/>
      <c r="C829" s="18" t="n"/>
      <c r="D829" s="18" t="n"/>
      <c r="E829" s="19" t="n"/>
      <c r="F829" s="19" t="n"/>
      <c r="G829" s="18" t="n"/>
      <c r="H829" s="18" t="n"/>
      <c r="I829" s="18" t="n"/>
      <c r="J829" s="20" t="n"/>
      <c r="K829" s="21" t="n"/>
      <c r="L829" s="21" t="n"/>
      <c r="M829" s="18" t="n"/>
      <c r="N829" s="22">
        <f>IF($B829="","",CHOOSE(WEEKDAY($B829),"الأحد","الاثنين","الثلاثاء","الأربعاء","الخميس","الجمعة","السبت"))</f>
        <v/>
      </c>
      <c r="O829" s="23">
        <f>IF(OR($K829="",$L829=""),"",HYPERLINK("https://maps.google.com/?q="&amp;$K829&amp;","&amp;$L829,"عرض الموقع"))</f>
        <v/>
      </c>
      <c r="P829" s="23">
        <f>IF(OR($B829="",N($J829)=0),"",HYPERLINK(PhotoDir&amp;"/"&amp;YEAR($B829)&amp;"-"&amp;TEXT(MONTH($B829),"00")&amp;"-"&amp;TEXT(DAY($B829),"00")&amp;"_"&amp;$D829,"فتح الصور ("&amp;$J829&amp;")"))</f>
        <v/>
      </c>
      <c r="Q829" s="24">
        <f>IF($B829="","",MONTH($B829))</f>
        <v/>
      </c>
      <c r="R829" s="24">
        <f>IF($B829="","",YEAR($B829))</f>
        <v/>
      </c>
      <c r="S829" s="25">
        <f>IF($B829="","",$B829-WEEKDAY($B829,3))</f>
        <v/>
      </c>
      <c r="T829" s="24">
        <f>IF($B829="",0,IF(COUNTIFS($B$5:$B829,$B829,$D$5:$D829,$D829)=1,1,0))</f>
        <v/>
      </c>
      <c r="U829" s="24">
        <f>IF($B829="",0,IF(COUNTIFS($B$5:$B829,$B829,$C$5:$C829,$C829)=1,1,0))</f>
        <v/>
      </c>
      <c r="V829" s="24">
        <f>IF(OR($B829="",$G829="",$G829="لا توجد مشاهدات"),0,1)</f>
        <v/>
      </c>
      <c r="W829" s="24">
        <f>IF(AND($B829&lt;&gt;"",$I829="تم تحرير مخالفة"),1,0)</f>
        <v/>
      </c>
      <c r="X829" s="24">
        <f>IF($B829="","",IF($S829=WkStart,COUNTIF($S$5:$S829,WkStart),""))</f>
        <v/>
      </c>
    </row>
    <row r="830">
      <c r="A830" s="16">
        <f>IF($B830="","",ROW()-4)</f>
        <v/>
      </c>
      <c r="B830" s="17" t="n"/>
      <c r="C830" s="18" t="n"/>
      <c r="D830" s="18" t="n"/>
      <c r="E830" s="19" t="n"/>
      <c r="F830" s="19" t="n"/>
      <c r="G830" s="18" t="n"/>
      <c r="H830" s="18" t="n"/>
      <c r="I830" s="18" t="n"/>
      <c r="J830" s="20" t="n"/>
      <c r="K830" s="21" t="n"/>
      <c r="L830" s="21" t="n"/>
      <c r="M830" s="18" t="n"/>
      <c r="N830" s="22">
        <f>IF($B830="","",CHOOSE(WEEKDAY($B830),"الأحد","الاثنين","الثلاثاء","الأربعاء","الخميس","الجمعة","السبت"))</f>
        <v/>
      </c>
      <c r="O830" s="23">
        <f>IF(OR($K830="",$L830=""),"",HYPERLINK("https://maps.google.com/?q="&amp;$K830&amp;","&amp;$L830,"عرض الموقع"))</f>
        <v/>
      </c>
      <c r="P830" s="23">
        <f>IF(OR($B830="",N($J830)=0),"",HYPERLINK(PhotoDir&amp;"/"&amp;YEAR($B830)&amp;"-"&amp;TEXT(MONTH($B830),"00")&amp;"-"&amp;TEXT(DAY($B830),"00")&amp;"_"&amp;$D830,"فتح الصور ("&amp;$J830&amp;")"))</f>
        <v/>
      </c>
      <c r="Q830" s="24">
        <f>IF($B830="","",MONTH($B830))</f>
        <v/>
      </c>
      <c r="R830" s="24">
        <f>IF($B830="","",YEAR($B830))</f>
        <v/>
      </c>
      <c r="S830" s="25">
        <f>IF($B830="","",$B830-WEEKDAY($B830,3))</f>
        <v/>
      </c>
      <c r="T830" s="24">
        <f>IF($B830="",0,IF(COUNTIFS($B$5:$B830,$B830,$D$5:$D830,$D830)=1,1,0))</f>
        <v/>
      </c>
      <c r="U830" s="24">
        <f>IF($B830="",0,IF(COUNTIFS($B$5:$B830,$B830,$C$5:$C830,$C830)=1,1,0))</f>
        <v/>
      </c>
      <c r="V830" s="24">
        <f>IF(OR($B830="",$G830="",$G830="لا توجد مشاهدات"),0,1)</f>
        <v/>
      </c>
      <c r="W830" s="24">
        <f>IF(AND($B830&lt;&gt;"",$I830="تم تحرير مخالفة"),1,0)</f>
        <v/>
      </c>
      <c r="X830" s="24">
        <f>IF($B830="","",IF($S830=WkStart,COUNTIF($S$5:$S830,WkStart),""))</f>
        <v/>
      </c>
    </row>
    <row r="831">
      <c r="A831" s="16">
        <f>IF($B831="","",ROW()-4)</f>
        <v/>
      </c>
      <c r="B831" s="17" t="n"/>
      <c r="C831" s="18" t="n"/>
      <c r="D831" s="18" t="n"/>
      <c r="E831" s="19" t="n"/>
      <c r="F831" s="19" t="n"/>
      <c r="G831" s="18" t="n"/>
      <c r="H831" s="18" t="n"/>
      <c r="I831" s="18" t="n"/>
      <c r="J831" s="20" t="n"/>
      <c r="K831" s="21" t="n"/>
      <c r="L831" s="21" t="n"/>
      <c r="M831" s="18" t="n"/>
      <c r="N831" s="22">
        <f>IF($B831="","",CHOOSE(WEEKDAY($B831),"الأحد","الاثنين","الثلاثاء","الأربعاء","الخميس","الجمعة","السبت"))</f>
        <v/>
      </c>
      <c r="O831" s="23">
        <f>IF(OR($K831="",$L831=""),"",HYPERLINK("https://maps.google.com/?q="&amp;$K831&amp;","&amp;$L831,"عرض الموقع"))</f>
        <v/>
      </c>
      <c r="P831" s="23">
        <f>IF(OR($B831="",N($J831)=0),"",HYPERLINK(PhotoDir&amp;"/"&amp;YEAR($B831)&amp;"-"&amp;TEXT(MONTH($B831),"00")&amp;"-"&amp;TEXT(DAY($B831),"00")&amp;"_"&amp;$D831,"فتح الصور ("&amp;$J831&amp;")"))</f>
        <v/>
      </c>
      <c r="Q831" s="24">
        <f>IF($B831="","",MONTH($B831))</f>
        <v/>
      </c>
      <c r="R831" s="24">
        <f>IF($B831="","",YEAR($B831))</f>
        <v/>
      </c>
      <c r="S831" s="25">
        <f>IF($B831="","",$B831-WEEKDAY($B831,3))</f>
        <v/>
      </c>
      <c r="T831" s="24">
        <f>IF($B831="",0,IF(COUNTIFS($B$5:$B831,$B831,$D$5:$D831,$D831)=1,1,0))</f>
        <v/>
      </c>
      <c r="U831" s="24">
        <f>IF($B831="",0,IF(COUNTIFS($B$5:$B831,$B831,$C$5:$C831,$C831)=1,1,0))</f>
        <v/>
      </c>
      <c r="V831" s="24">
        <f>IF(OR($B831="",$G831="",$G831="لا توجد مشاهدات"),0,1)</f>
        <v/>
      </c>
      <c r="W831" s="24">
        <f>IF(AND($B831&lt;&gt;"",$I831="تم تحرير مخالفة"),1,0)</f>
        <v/>
      </c>
      <c r="X831" s="24">
        <f>IF($B831="","",IF($S831=WkStart,COUNTIF($S$5:$S831,WkStart),""))</f>
        <v/>
      </c>
    </row>
    <row r="832">
      <c r="A832" s="16">
        <f>IF($B832="","",ROW()-4)</f>
        <v/>
      </c>
      <c r="B832" s="17" t="n"/>
      <c r="C832" s="18" t="n"/>
      <c r="D832" s="18" t="n"/>
      <c r="E832" s="19" t="n"/>
      <c r="F832" s="19" t="n"/>
      <c r="G832" s="18" t="n"/>
      <c r="H832" s="18" t="n"/>
      <c r="I832" s="18" t="n"/>
      <c r="J832" s="20" t="n"/>
      <c r="K832" s="21" t="n"/>
      <c r="L832" s="21" t="n"/>
      <c r="M832" s="18" t="n"/>
      <c r="N832" s="22">
        <f>IF($B832="","",CHOOSE(WEEKDAY($B832),"الأحد","الاثنين","الثلاثاء","الأربعاء","الخميس","الجمعة","السبت"))</f>
        <v/>
      </c>
      <c r="O832" s="23">
        <f>IF(OR($K832="",$L832=""),"",HYPERLINK("https://maps.google.com/?q="&amp;$K832&amp;","&amp;$L832,"عرض الموقع"))</f>
        <v/>
      </c>
      <c r="P832" s="23">
        <f>IF(OR($B832="",N($J832)=0),"",HYPERLINK(PhotoDir&amp;"/"&amp;YEAR($B832)&amp;"-"&amp;TEXT(MONTH($B832),"00")&amp;"-"&amp;TEXT(DAY($B832),"00")&amp;"_"&amp;$D832,"فتح الصور ("&amp;$J832&amp;")"))</f>
        <v/>
      </c>
      <c r="Q832" s="24">
        <f>IF($B832="","",MONTH($B832))</f>
        <v/>
      </c>
      <c r="R832" s="24">
        <f>IF($B832="","",YEAR($B832))</f>
        <v/>
      </c>
      <c r="S832" s="25">
        <f>IF($B832="","",$B832-WEEKDAY($B832,3))</f>
        <v/>
      </c>
      <c r="T832" s="24">
        <f>IF($B832="",0,IF(COUNTIFS($B$5:$B832,$B832,$D$5:$D832,$D832)=1,1,0))</f>
        <v/>
      </c>
      <c r="U832" s="24">
        <f>IF($B832="",0,IF(COUNTIFS($B$5:$B832,$B832,$C$5:$C832,$C832)=1,1,0))</f>
        <v/>
      </c>
      <c r="V832" s="24">
        <f>IF(OR($B832="",$G832="",$G832="لا توجد مشاهدات"),0,1)</f>
        <v/>
      </c>
      <c r="W832" s="24">
        <f>IF(AND($B832&lt;&gt;"",$I832="تم تحرير مخالفة"),1,0)</f>
        <v/>
      </c>
      <c r="X832" s="24">
        <f>IF($B832="","",IF($S832=WkStart,COUNTIF($S$5:$S832,WkStart),""))</f>
        <v/>
      </c>
    </row>
    <row r="833">
      <c r="A833" s="16">
        <f>IF($B833="","",ROW()-4)</f>
        <v/>
      </c>
      <c r="B833" s="17" t="n"/>
      <c r="C833" s="18" t="n"/>
      <c r="D833" s="18" t="n"/>
      <c r="E833" s="19" t="n"/>
      <c r="F833" s="19" t="n"/>
      <c r="G833" s="18" t="n"/>
      <c r="H833" s="18" t="n"/>
      <c r="I833" s="18" t="n"/>
      <c r="J833" s="20" t="n"/>
      <c r="K833" s="21" t="n"/>
      <c r="L833" s="21" t="n"/>
      <c r="M833" s="18" t="n"/>
      <c r="N833" s="22">
        <f>IF($B833="","",CHOOSE(WEEKDAY($B833),"الأحد","الاثنين","الثلاثاء","الأربعاء","الخميس","الجمعة","السبت"))</f>
        <v/>
      </c>
      <c r="O833" s="23">
        <f>IF(OR($K833="",$L833=""),"",HYPERLINK("https://maps.google.com/?q="&amp;$K833&amp;","&amp;$L833,"عرض الموقع"))</f>
        <v/>
      </c>
      <c r="P833" s="23">
        <f>IF(OR($B833="",N($J833)=0),"",HYPERLINK(PhotoDir&amp;"/"&amp;YEAR($B833)&amp;"-"&amp;TEXT(MONTH($B833),"00")&amp;"-"&amp;TEXT(DAY($B833),"00")&amp;"_"&amp;$D833,"فتح الصور ("&amp;$J833&amp;")"))</f>
        <v/>
      </c>
      <c r="Q833" s="24">
        <f>IF($B833="","",MONTH($B833))</f>
        <v/>
      </c>
      <c r="R833" s="24">
        <f>IF($B833="","",YEAR($B833))</f>
        <v/>
      </c>
      <c r="S833" s="25">
        <f>IF($B833="","",$B833-WEEKDAY($B833,3))</f>
        <v/>
      </c>
      <c r="T833" s="24">
        <f>IF($B833="",0,IF(COUNTIFS($B$5:$B833,$B833,$D$5:$D833,$D833)=1,1,0))</f>
        <v/>
      </c>
      <c r="U833" s="24">
        <f>IF($B833="",0,IF(COUNTIFS($B$5:$B833,$B833,$C$5:$C833,$C833)=1,1,0))</f>
        <v/>
      </c>
      <c r="V833" s="24">
        <f>IF(OR($B833="",$G833="",$G833="لا توجد مشاهدات"),0,1)</f>
        <v/>
      </c>
      <c r="W833" s="24">
        <f>IF(AND($B833&lt;&gt;"",$I833="تم تحرير مخالفة"),1,0)</f>
        <v/>
      </c>
      <c r="X833" s="24">
        <f>IF($B833="","",IF($S833=WkStart,COUNTIF($S$5:$S833,WkStart),""))</f>
        <v/>
      </c>
    </row>
    <row r="834">
      <c r="A834" s="16">
        <f>IF($B834="","",ROW()-4)</f>
        <v/>
      </c>
      <c r="B834" s="17" t="n"/>
      <c r="C834" s="18" t="n"/>
      <c r="D834" s="18" t="n"/>
      <c r="E834" s="19" t="n"/>
      <c r="F834" s="19" t="n"/>
      <c r="G834" s="18" t="n"/>
      <c r="H834" s="18" t="n"/>
      <c r="I834" s="18" t="n"/>
      <c r="J834" s="20" t="n"/>
      <c r="K834" s="21" t="n"/>
      <c r="L834" s="21" t="n"/>
      <c r="M834" s="18" t="n"/>
      <c r="N834" s="22">
        <f>IF($B834="","",CHOOSE(WEEKDAY($B834),"الأحد","الاثنين","الثلاثاء","الأربعاء","الخميس","الجمعة","السبت"))</f>
        <v/>
      </c>
      <c r="O834" s="23">
        <f>IF(OR($K834="",$L834=""),"",HYPERLINK("https://maps.google.com/?q="&amp;$K834&amp;","&amp;$L834,"عرض الموقع"))</f>
        <v/>
      </c>
      <c r="P834" s="23">
        <f>IF(OR($B834="",N($J834)=0),"",HYPERLINK(PhotoDir&amp;"/"&amp;YEAR($B834)&amp;"-"&amp;TEXT(MONTH($B834),"00")&amp;"-"&amp;TEXT(DAY($B834),"00")&amp;"_"&amp;$D834,"فتح الصور ("&amp;$J834&amp;")"))</f>
        <v/>
      </c>
      <c r="Q834" s="24">
        <f>IF($B834="","",MONTH($B834))</f>
        <v/>
      </c>
      <c r="R834" s="24">
        <f>IF($B834="","",YEAR($B834))</f>
        <v/>
      </c>
      <c r="S834" s="25">
        <f>IF($B834="","",$B834-WEEKDAY($B834,3))</f>
        <v/>
      </c>
      <c r="T834" s="24">
        <f>IF($B834="",0,IF(COUNTIFS($B$5:$B834,$B834,$D$5:$D834,$D834)=1,1,0))</f>
        <v/>
      </c>
      <c r="U834" s="24">
        <f>IF($B834="",0,IF(COUNTIFS($B$5:$B834,$B834,$C$5:$C834,$C834)=1,1,0))</f>
        <v/>
      </c>
      <c r="V834" s="24">
        <f>IF(OR($B834="",$G834="",$G834="لا توجد مشاهدات"),0,1)</f>
        <v/>
      </c>
      <c r="W834" s="24">
        <f>IF(AND($B834&lt;&gt;"",$I834="تم تحرير مخالفة"),1,0)</f>
        <v/>
      </c>
      <c r="X834" s="24">
        <f>IF($B834="","",IF($S834=WkStart,COUNTIF($S$5:$S834,WkStart),""))</f>
        <v/>
      </c>
    </row>
    <row r="835">
      <c r="A835" s="16">
        <f>IF($B835="","",ROW()-4)</f>
        <v/>
      </c>
      <c r="B835" s="17" t="n"/>
      <c r="C835" s="18" t="n"/>
      <c r="D835" s="18" t="n"/>
      <c r="E835" s="19" t="n"/>
      <c r="F835" s="19" t="n"/>
      <c r="G835" s="18" t="n"/>
      <c r="H835" s="18" t="n"/>
      <c r="I835" s="18" t="n"/>
      <c r="J835" s="20" t="n"/>
      <c r="K835" s="21" t="n"/>
      <c r="L835" s="21" t="n"/>
      <c r="M835" s="18" t="n"/>
      <c r="N835" s="22">
        <f>IF($B835="","",CHOOSE(WEEKDAY($B835),"الأحد","الاثنين","الثلاثاء","الأربعاء","الخميس","الجمعة","السبت"))</f>
        <v/>
      </c>
      <c r="O835" s="23">
        <f>IF(OR($K835="",$L835=""),"",HYPERLINK("https://maps.google.com/?q="&amp;$K835&amp;","&amp;$L835,"عرض الموقع"))</f>
        <v/>
      </c>
      <c r="P835" s="23">
        <f>IF(OR($B835="",N($J835)=0),"",HYPERLINK(PhotoDir&amp;"/"&amp;YEAR($B835)&amp;"-"&amp;TEXT(MONTH($B835),"00")&amp;"-"&amp;TEXT(DAY($B835),"00")&amp;"_"&amp;$D835,"فتح الصور ("&amp;$J835&amp;")"))</f>
        <v/>
      </c>
      <c r="Q835" s="24">
        <f>IF($B835="","",MONTH($B835))</f>
        <v/>
      </c>
      <c r="R835" s="24">
        <f>IF($B835="","",YEAR($B835))</f>
        <v/>
      </c>
      <c r="S835" s="25">
        <f>IF($B835="","",$B835-WEEKDAY($B835,3))</f>
        <v/>
      </c>
      <c r="T835" s="24">
        <f>IF($B835="",0,IF(COUNTIFS($B$5:$B835,$B835,$D$5:$D835,$D835)=1,1,0))</f>
        <v/>
      </c>
      <c r="U835" s="24">
        <f>IF($B835="",0,IF(COUNTIFS($B$5:$B835,$B835,$C$5:$C835,$C835)=1,1,0))</f>
        <v/>
      </c>
      <c r="V835" s="24">
        <f>IF(OR($B835="",$G835="",$G835="لا توجد مشاهدات"),0,1)</f>
        <v/>
      </c>
      <c r="W835" s="24">
        <f>IF(AND($B835&lt;&gt;"",$I835="تم تحرير مخالفة"),1,0)</f>
        <v/>
      </c>
      <c r="X835" s="24">
        <f>IF($B835="","",IF($S835=WkStart,COUNTIF($S$5:$S835,WkStart),""))</f>
        <v/>
      </c>
    </row>
    <row r="836">
      <c r="A836" s="16">
        <f>IF($B836="","",ROW()-4)</f>
        <v/>
      </c>
      <c r="B836" s="17" t="n"/>
      <c r="C836" s="18" t="n"/>
      <c r="D836" s="18" t="n"/>
      <c r="E836" s="19" t="n"/>
      <c r="F836" s="19" t="n"/>
      <c r="G836" s="18" t="n"/>
      <c r="H836" s="18" t="n"/>
      <c r="I836" s="18" t="n"/>
      <c r="J836" s="20" t="n"/>
      <c r="K836" s="21" t="n"/>
      <c r="L836" s="21" t="n"/>
      <c r="M836" s="18" t="n"/>
      <c r="N836" s="22">
        <f>IF($B836="","",CHOOSE(WEEKDAY($B836),"الأحد","الاثنين","الثلاثاء","الأربعاء","الخميس","الجمعة","السبت"))</f>
        <v/>
      </c>
      <c r="O836" s="23">
        <f>IF(OR($K836="",$L836=""),"",HYPERLINK("https://maps.google.com/?q="&amp;$K836&amp;","&amp;$L836,"عرض الموقع"))</f>
        <v/>
      </c>
      <c r="P836" s="23">
        <f>IF(OR($B836="",N($J836)=0),"",HYPERLINK(PhotoDir&amp;"/"&amp;YEAR($B836)&amp;"-"&amp;TEXT(MONTH($B836),"00")&amp;"-"&amp;TEXT(DAY($B836),"00")&amp;"_"&amp;$D836,"فتح الصور ("&amp;$J836&amp;")"))</f>
        <v/>
      </c>
      <c r="Q836" s="24">
        <f>IF($B836="","",MONTH($B836))</f>
        <v/>
      </c>
      <c r="R836" s="24">
        <f>IF($B836="","",YEAR($B836))</f>
        <v/>
      </c>
      <c r="S836" s="25">
        <f>IF($B836="","",$B836-WEEKDAY($B836,3))</f>
        <v/>
      </c>
      <c r="T836" s="24">
        <f>IF($B836="",0,IF(COUNTIFS($B$5:$B836,$B836,$D$5:$D836,$D836)=1,1,0))</f>
        <v/>
      </c>
      <c r="U836" s="24">
        <f>IF($B836="",0,IF(COUNTIFS($B$5:$B836,$B836,$C$5:$C836,$C836)=1,1,0))</f>
        <v/>
      </c>
      <c r="V836" s="24">
        <f>IF(OR($B836="",$G836="",$G836="لا توجد مشاهدات"),0,1)</f>
        <v/>
      </c>
      <c r="W836" s="24">
        <f>IF(AND($B836&lt;&gt;"",$I836="تم تحرير مخالفة"),1,0)</f>
        <v/>
      </c>
      <c r="X836" s="24">
        <f>IF($B836="","",IF($S836=WkStart,COUNTIF($S$5:$S836,WkStart),""))</f>
        <v/>
      </c>
    </row>
    <row r="837">
      <c r="A837" s="16">
        <f>IF($B837="","",ROW()-4)</f>
        <v/>
      </c>
      <c r="B837" s="17" t="n"/>
      <c r="C837" s="18" t="n"/>
      <c r="D837" s="18" t="n"/>
      <c r="E837" s="19" t="n"/>
      <c r="F837" s="19" t="n"/>
      <c r="G837" s="18" t="n"/>
      <c r="H837" s="18" t="n"/>
      <c r="I837" s="18" t="n"/>
      <c r="J837" s="20" t="n"/>
      <c r="K837" s="21" t="n"/>
      <c r="L837" s="21" t="n"/>
      <c r="M837" s="18" t="n"/>
      <c r="N837" s="22">
        <f>IF($B837="","",CHOOSE(WEEKDAY($B837),"الأحد","الاثنين","الثلاثاء","الأربعاء","الخميس","الجمعة","السبت"))</f>
        <v/>
      </c>
      <c r="O837" s="23">
        <f>IF(OR($K837="",$L837=""),"",HYPERLINK("https://maps.google.com/?q="&amp;$K837&amp;","&amp;$L837,"عرض الموقع"))</f>
        <v/>
      </c>
      <c r="P837" s="23">
        <f>IF(OR($B837="",N($J837)=0),"",HYPERLINK(PhotoDir&amp;"/"&amp;YEAR($B837)&amp;"-"&amp;TEXT(MONTH($B837),"00")&amp;"-"&amp;TEXT(DAY($B837),"00")&amp;"_"&amp;$D837,"فتح الصور ("&amp;$J837&amp;")"))</f>
        <v/>
      </c>
      <c r="Q837" s="24">
        <f>IF($B837="","",MONTH($B837))</f>
        <v/>
      </c>
      <c r="R837" s="24">
        <f>IF($B837="","",YEAR($B837))</f>
        <v/>
      </c>
      <c r="S837" s="25">
        <f>IF($B837="","",$B837-WEEKDAY($B837,3))</f>
        <v/>
      </c>
      <c r="T837" s="24">
        <f>IF($B837="",0,IF(COUNTIFS($B$5:$B837,$B837,$D$5:$D837,$D837)=1,1,0))</f>
        <v/>
      </c>
      <c r="U837" s="24">
        <f>IF($B837="",0,IF(COUNTIFS($B$5:$B837,$B837,$C$5:$C837,$C837)=1,1,0))</f>
        <v/>
      </c>
      <c r="V837" s="24">
        <f>IF(OR($B837="",$G837="",$G837="لا توجد مشاهدات"),0,1)</f>
        <v/>
      </c>
      <c r="W837" s="24">
        <f>IF(AND($B837&lt;&gt;"",$I837="تم تحرير مخالفة"),1,0)</f>
        <v/>
      </c>
      <c r="X837" s="24">
        <f>IF($B837="","",IF($S837=WkStart,COUNTIF($S$5:$S837,WkStart),""))</f>
        <v/>
      </c>
    </row>
    <row r="838">
      <c r="A838" s="16">
        <f>IF($B838="","",ROW()-4)</f>
        <v/>
      </c>
      <c r="B838" s="17" t="n"/>
      <c r="C838" s="18" t="n"/>
      <c r="D838" s="18" t="n"/>
      <c r="E838" s="19" t="n"/>
      <c r="F838" s="19" t="n"/>
      <c r="G838" s="18" t="n"/>
      <c r="H838" s="18" t="n"/>
      <c r="I838" s="18" t="n"/>
      <c r="J838" s="20" t="n"/>
      <c r="K838" s="21" t="n"/>
      <c r="L838" s="21" t="n"/>
      <c r="M838" s="18" t="n"/>
      <c r="N838" s="22">
        <f>IF($B838="","",CHOOSE(WEEKDAY($B838),"الأحد","الاثنين","الثلاثاء","الأربعاء","الخميس","الجمعة","السبت"))</f>
        <v/>
      </c>
      <c r="O838" s="23">
        <f>IF(OR($K838="",$L838=""),"",HYPERLINK("https://maps.google.com/?q="&amp;$K838&amp;","&amp;$L838,"عرض الموقع"))</f>
        <v/>
      </c>
      <c r="P838" s="23">
        <f>IF(OR($B838="",N($J838)=0),"",HYPERLINK(PhotoDir&amp;"/"&amp;YEAR($B838)&amp;"-"&amp;TEXT(MONTH($B838),"00")&amp;"-"&amp;TEXT(DAY($B838),"00")&amp;"_"&amp;$D838,"فتح الصور ("&amp;$J838&amp;")"))</f>
        <v/>
      </c>
      <c r="Q838" s="24">
        <f>IF($B838="","",MONTH($B838))</f>
        <v/>
      </c>
      <c r="R838" s="24">
        <f>IF($B838="","",YEAR($B838))</f>
        <v/>
      </c>
      <c r="S838" s="25">
        <f>IF($B838="","",$B838-WEEKDAY($B838,3))</f>
        <v/>
      </c>
      <c r="T838" s="24">
        <f>IF($B838="",0,IF(COUNTIFS($B$5:$B838,$B838,$D$5:$D838,$D838)=1,1,0))</f>
        <v/>
      </c>
      <c r="U838" s="24">
        <f>IF($B838="",0,IF(COUNTIFS($B$5:$B838,$B838,$C$5:$C838,$C838)=1,1,0))</f>
        <v/>
      </c>
      <c r="V838" s="24">
        <f>IF(OR($B838="",$G838="",$G838="لا توجد مشاهدات"),0,1)</f>
        <v/>
      </c>
      <c r="W838" s="24">
        <f>IF(AND($B838&lt;&gt;"",$I838="تم تحرير مخالفة"),1,0)</f>
        <v/>
      </c>
      <c r="X838" s="24">
        <f>IF($B838="","",IF($S838=WkStart,COUNTIF($S$5:$S838,WkStart),""))</f>
        <v/>
      </c>
    </row>
    <row r="839">
      <c r="A839" s="16">
        <f>IF($B839="","",ROW()-4)</f>
        <v/>
      </c>
      <c r="B839" s="17" t="n"/>
      <c r="C839" s="18" t="n"/>
      <c r="D839" s="18" t="n"/>
      <c r="E839" s="19" t="n"/>
      <c r="F839" s="19" t="n"/>
      <c r="G839" s="18" t="n"/>
      <c r="H839" s="18" t="n"/>
      <c r="I839" s="18" t="n"/>
      <c r="J839" s="20" t="n"/>
      <c r="K839" s="21" t="n"/>
      <c r="L839" s="21" t="n"/>
      <c r="M839" s="18" t="n"/>
      <c r="N839" s="22">
        <f>IF($B839="","",CHOOSE(WEEKDAY($B839),"الأحد","الاثنين","الثلاثاء","الأربعاء","الخميس","الجمعة","السبت"))</f>
        <v/>
      </c>
      <c r="O839" s="23">
        <f>IF(OR($K839="",$L839=""),"",HYPERLINK("https://maps.google.com/?q="&amp;$K839&amp;","&amp;$L839,"عرض الموقع"))</f>
        <v/>
      </c>
      <c r="P839" s="23">
        <f>IF(OR($B839="",N($J839)=0),"",HYPERLINK(PhotoDir&amp;"/"&amp;YEAR($B839)&amp;"-"&amp;TEXT(MONTH($B839),"00")&amp;"-"&amp;TEXT(DAY($B839),"00")&amp;"_"&amp;$D839,"فتح الصور ("&amp;$J839&amp;")"))</f>
        <v/>
      </c>
      <c r="Q839" s="24">
        <f>IF($B839="","",MONTH($B839))</f>
        <v/>
      </c>
      <c r="R839" s="24">
        <f>IF($B839="","",YEAR($B839))</f>
        <v/>
      </c>
      <c r="S839" s="25">
        <f>IF($B839="","",$B839-WEEKDAY($B839,3))</f>
        <v/>
      </c>
      <c r="T839" s="24">
        <f>IF($B839="",0,IF(COUNTIFS($B$5:$B839,$B839,$D$5:$D839,$D839)=1,1,0))</f>
        <v/>
      </c>
      <c r="U839" s="24">
        <f>IF($B839="",0,IF(COUNTIFS($B$5:$B839,$B839,$C$5:$C839,$C839)=1,1,0))</f>
        <v/>
      </c>
      <c r="V839" s="24">
        <f>IF(OR($B839="",$G839="",$G839="لا توجد مشاهدات"),0,1)</f>
        <v/>
      </c>
      <c r="W839" s="24">
        <f>IF(AND($B839&lt;&gt;"",$I839="تم تحرير مخالفة"),1,0)</f>
        <v/>
      </c>
      <c r="X839" s="24">
        <f>IF($B839="","",IF($S839=WkStart,COUNTIF($S$5:$S839,WkStart),""))</f>
        <v/>
      </c>
    </row>
    <row r="840">
      <c r="A840" s="16">
        <f>IF($B840="","",ROW()-4)</f>
        <v/>
      </c>
      <c r="B840" s="17" t="n"/>
      <c r="C840" s="18" t="n"/>
      <c r="D840" s="18" t="n"/>
      <c r="E840" s="19" t="n"/>
      <c r="F840" s="19" t="n"/>
      <c r="G840" s="18" t="n"/>
      <c r="H840" s="18" t="n"/>
      <c r="I840" s="18" t="n"/>
      <c r="J840" s="20" t="n"/>
      <c r="K840" s="21" t="n"/>
      <c r="L840" s="21" t="n"/>
      <c r="M840" s="18" t="n"/>
      <c r="N840" s="22">
        <f>IF($B840="","",CHOOSE(WEEKDAY($B840),"الأحد","الاثنين","الثلاثاء","الأربعاء","الخميس","الجمعة","السبت"))</f>
        <v/>
      </c>
      <c r="O840" s="23">
        <f>IF(OR($K840="",$L840=""),"",HYPERLINK("https://maps.google.com/?q="&amp;$K840&amp;","&amp;$L840,"عرض الموقع"))</f>
        <v/>
      </c>
      <c r="P840" s="23">
        <f>IF(OR($B840="",N($J840)=0),"",HYPERLINK(PhotoDir&amp;"/"&amp;YEAR($B840)&amp;"-"&amp;TEXT(MONTH($B840),"00")&amp;"-"&amp;TEXT(DAY($B840),"00")&amp;"_"&amp;$D840,"فتح الصور ("&amp;$J840&amp;")"))</f>
        <v/>
      </c>
      <c r="Q840" s="24">
        <f>IF($B840="","",MONTH($B840))</f>
        <v/>
      </c>
      <c r="R840" s="24">
        <f>IF($B840="","",YEAR($B840))</f>
        <v/>
      </c>
      <c r="S840" s="25">
        <f>IF($B840="","",$B840-WEEKDAY($B840,3))</f>
        <v/>
      </c>
      <c r="T840" s="24">
        <f>IF($B840="",0,IF(COUNTIFS($B$5:$B840,$B840,$D$5:$D840,$D840)=1,1,0))</f>
        <v/>
      </c>
      <c r="U840" s="24">
        <f>IF($B840="",0,IF(COUNTIFS($B$5:$B840,$B840,$C$5:$C840,$C840)=1,1,0))</f>
        <v/>
      </c>
      <c r="V840" s="24">
        <f>IF(OR($B840="",$G840="",$G840="لا توجد مشاهدات"),0,1)</f>
        <v/>
      </c>
      <c r="W840" s="24">
        <f>IF(AND($B840&lt;&gt;"",$I840="تم تحرير مخالفة"),1,0)</f>
        <v/>
      </c>
      <c r="X840" s="24">
        <f>IF($B840="","",IF($S840=WkStart,COUNTIF($S$5:$S840,WkStart),""))</f>
        <v/>
      </c>
    </row>
    <row r="841">
      <c r="A841" s="16">
        <f>IF($B841="","",ROW()-4)</f>
        <v/>
      </c>
      <c r="B841" s="17" t="n"/>
      <c r="C841" s="18" t="n"/>
      <c r="D841" s="18" t="n"/>
      <c r="E841" s="19" t="n"/>
      <c r="F841" s="19" t="n"/>
      <c r="G841" s="18" t="n"/>
      <c r="H841" s="18" t="n"/>
      <c r="I841" s="18" t="n"/>
      <c r="J841" s="20" t="n"/>
      <c r="K841" s="21" t="n"/>
      <c r="L841" s="21" t="n"/>
      <c r="M841" s="18" t="n"/>
      <c r="N841" s="22">
        <f>IF($B841="","",CHOOSE(WEEKDAY($B841),"الأحد","الاثنين","الثلاثاء","الأربعاء","الخميس","الجمعة","السبت"))</f>
        <v/>
      </c>
      <c r="O841" s="23">
        <f>IF(OR($K841="",$L841=""),"",HYPERLINK("https://maps.google.com/?q="&amp;$K841&amp;","&amp;$L841,"عرض الموقع"))</f>
        <v/>
      </c>
      <c r="P841" s="23">
        <f>IF(OR($B841="",N($J841)=0),"",HYPERLINK(PhotoDir&amp;"/"&amp;YEAR($B841)&amp;"-"&amp;TEXT(MONTH($B841),"00")&amp;"-"&amp;TEXT(DAY($B841),"00")&amp;"_"&amp;$D841,"فتح الصور ("&amp;$J841&amp;")"))</f>
        <v/>
      </c>
      <c r="Q841" s="24">
        <f>IF($B841="","",MONTH($B841))</f>
        <v/>
      </c>
      <c r="R841" s="24">
        <f>IF($B841="","",YEAR($B841))</f>
        <v/>
      </c>
      <c r="S841" s="25">
        <f>IF($B841="","",$B841-WEEKDAY($B841,3))</f>
        <v/>
      </c>
      <c r="T841" s="24">
        <f>IF($B841="",0,IF(COUNTIFS($B$5:$B841,$B841,$D$5:$D841,$D841)=1,1,0))</f>
        <v/>
      </c>
      <c r="U841" s="24">
        <f>IF($B841="",0,IF(COUNTIFS($B$5:$B841,$B841,$C$5:$C841,$C841)=1,1,0))</f>
        <v/>
      </c>
      <c r="V841" s="24">
        <f>IF(OR($B841="",$G841="",$G841="لا توجد مشاهدات"),0,1)</f>
        <v/>
      </c>
      <c r="W841" s="24">
        <f>IF(AND($B841&lt;&gt;"",$I841="تم تحرير مخالفة"),1,0)</f>
        <v/>
      </c>
      <c r="X841" s="24">
        <f>IF($B841="","",IF($S841=WkStart,COUNTIF($S$5:$S841,WkStart),""))</f>
        <v/>
      </c>
    </row>
    <row r="842">
      <c r="A842" s="16">
        <f>IF($B842="","",ROW()-4)</f>
        <v/>
      </c>
      <c r="B842" s="17" t="n"/>
      <c r="C842" s="18" t="n"/>
      <c r="D842" s="18" t="n"/>
      <c r="E842" s="19" t="n"/>
      <c r="F842" s="19" t="n"/>
      <c r="G842" s="18" t="n"/>
      <c r="H842" s="18" t="n"/>
      <c r="I842" s="18" t="n"/>
      <c r="J842" s="20" t="n"/>
      <c r="K842" s="21" t="n"/>
      <c r="L842" s="21" t="n"/>
      <c r="M842" s="18" t="n"/>
      <c r="N842" s="22">
        <f>IF($B842="","",CHOOSE(WEEKDAY($B842),"الأحد","الاثنين","الثلاثاء","الأربعاء","الخميس","الجمعة","السبت"))</f>
        <v/>
      </c>
      <c r="O842" s="23">
        <f>IF(OR($K842="",$L842=""),"",HYPERLINK("https://maps.google.com/?q="&amp;$K842&amp;","&amp;$L842,"عرض الموقع"))</f>
        <v/>
      </c>
      <c r="P842" s="23">
        <f>IF(OR($B842="",N($J842)=0),"",HYPERLINK(PhotoDir&amp;"/"&amp;YEAR($B842)&amp;"-"&amp;TEXT(MONTH($B842),"00")&amp;"-"&amp;TEXT(DAY($B842),"00")&amp;"_"&amp;$D842,"فتح الصور ("&amp;$J842&amp;")"))</f>
        <v/>
      </c>
      <c r="Q842" s="24">
        <f>IF($B842="","",MONTH($B842))</f>
        <v/>
      </c>
      <c r="R842" s="24">
        <f>IF($B842="","",YEAR($B842))</f>
        <v/>
      </c>
      <c r="S842" s="25">
        <f>IF($B842="","",$B842-WEEKDAY($B842,3))</f>
        <v/>
      </c>
      <c r="T842" s="24">
        <f>IF($B842="",0,IF(COUNTIFS($B$5:$B842,$B842,$D$5:$D842,$D842)=1,1,0))</f>
        <v/>
      </c>
      <c r="U842" s="24">
        <f>IF($B842="",0,IF(COUNTIFS($B$5:$B842,$B842,$C$5:$C842,$C842)=1,1,0))</f>
        <v/>
      </c>
      <c r="V842" s="24">
        <f>IF(OR($B842="",$G842="",$G842="لا توجد مشاهدات"),0,1)</f>
        <v/>
      </c>
      <c r="W842" s="24">
        <f>IF(AND($B842&lt;&gt;"",$I842="تم تحرير مخالفة"),1,0)</f>
        <v/>
      </c>
      <c r="X842" s="24">
        <f>IF($B842="","",IF($S842=WkStart,COUNTIF($S$5:$S842,WkStart),""))</f>
        <v/>
      </c>
    </row>
    <row r="843">
      <c r="A843" s="16">
        <f>IF($B843="","",ROW()-4)</f>
        <v/>
      </c>
      <c r="B843" s="17" t="n"/>
      <c r="C843" s="18" t="n"/>
      <c r="D843" s="18" t="n"/>
      <c r="E843" s="19" t="n"/>
      <c r="F843" s="19" t="n"/>
      <c r="G843" s="18" t="n"/>
      <c r="H843" s="18" t="n"/>
      <c r="I843" s="18" t="n"/>
      <c r="J843" s="20" t="n"/>
      <c r="K843" s="21" t="n"/>
      <c r="L843" s="21" t="n"/>
      <c r="M843" s="18" t="n"/>
      <c r="N843" s="22">
        <f>IF($B843="","",CHOOSE(WEEKDAY($B843),"الأحد","الاثنين","الثلاثاء","الأربعاء","الخميس","الجمعة","السبت"))</f>
        <v/>
      </c>
      <c r="O843" s="23">
        <f>IF(OR($K843="",$L843=""),"",HYPERLINK("https://maps.google.com/?q="&amp;$K843&amp;","&amp;$L843,"عرض الموقع"))</f>
        <v/>
      </c>
      <c r="P843" s="23">
        <f>IF(OR($B843="",N($J843)=0),"",HYPERLINK(PhotoDir&amp;"/"&amp;YEAR($B843)&amp;"-"&amp;TEXT(MONTH($B843),"00")&amp;"-"&amp;TEXT(DAY($B843),"00")&amp;"_"&amp;$D843,"فتح الصور ("&amp;$J843&amp;")"))</f>
        <v/>
      </c>
      <c r="Q843" s="24">
        <f>IF($B843="","",MONTH($B843))</f>
        <v/>
      </c>
      <c r="R843" s="24">
        <f>IF($B843="","",YEAR($B843))</f>
        <v/>
      </c>
      <c r="S843" s="25">
        <f>IF($B843="","",$B843-WEEKDAY($B843,3))</f>
        <v/>
      </c>
      <c r="T843" s="24">
        <f>IF($B843="",0,IF(COUNTIFS($B$5:$B843,$B843,$D$5:$D843,$D843)=1,1,0))</f>
        <v/>
      </c>
      <c r="U843" s="24">
        <f>IF($B843="",0,IF(COUNTIFS($B$5:$B843,$B843,$C$5:$C843,$C843)=1,1,0))</f>
        <v/>
      </c>
      <c r="V843" s="24">
        <f>IF(OR($B843="",$G843="",$G843="لا توجد مشاهدات"),0,1)</f>
        <v/>
      </c>
      <c r="W843" s="24">
        <f>IF(AND($B843&lt;&gt;"",$I843="تم تحرير مخالفة"),1,0)</f>
        <v/>
      </c>
      <c r="X843" s="24">
        <f>IF($B843="","",IF($S843=WkStart,COUNTIF($S$5:$S843,WkStart),""))</f>
        <v/>
      </c>
    </row>
    <row r="844">
      <c r="A844" s="16">
        <f>IF($B844="","",ROW()-4)</f>
        <v/>
      </c>
      <c r="B844" s="17" t="n"/>
      <c r="C844" s="18" t="n"/>
      <c r="D844" s="18" t="n"/>
      <c r="E844" s="19" t="n"/>
      <c r="F844" s="19" t="n"/>
      <c r="G844" s="18" t="n"/>
      <c r="H844" s="18" t="n"/>
      <c r="I844" s="18" t="n"/>
      <c r="J844" s="20" t="n"/>
      <c r="K844" s="21" t="n"/>
      <c r="L844" s="21" t="n"/>
      <c r="M844" s="18" t="n"/>
      <c r="N844" s="22">
        <f>IF($B844="","",CHOOSE(WEEKDAY($B844),"الأحد","الاثنين","الثلاثاء","الأربعاء","الخميس","الجمعة","السبت"))</f>
        <v/>
      </c>
      <c r="O844" s="23">
        <f>IF(OR($K844="",$L844=""),"",HYPERLINK("https://maps.google.com/?q="&amp;$K844&amp;","&amp;$L844,"عرض الموقع"))</f>
        <v/>
      </c>
      <c r="P844" s="23">
        <f>IF(OR($B844="",N($J844)=0),"",HYPERLINK(PhotoDir&amp;"/"&amp;YEAR($B844)&amp;"-"&amp;TEXT(MONTH($B844),"00")&amp;"-"&amp;TEXT(DAY($B844),"00")&amp;"_"&amp;$D844,"فتح الصور ("&amp;$J844&amp;")"))</f>
        <v/>
      </c>
      <c r="Q844" s="24">
        <f>IF($B844="","",MONTH($B844))</f>
        <v/>
      </c>
      <c r="R844" s="24">
        <f>IF($B844="","",YEAR($B844))</f>
        <v/>
      </c>
      <c r="S844" s="25">
        <f>IF($B844="","",$B844-WEEKDAY($B844,3))</f>
        <v/>
      </c>
      <c r="T844" s="24">
        <f>IF($B844="",0,IF(COUNTIFS($B$5:$B844,$B844,$D$5:$D844,$D844)=1,1,0))</f>
        <v/>
      </c>
      <c r="U844" s="24">
        <f>IF($B844="",0,IF(COUNTIFS($B$5:$B844,$B844,$C$5:$C844,$C844)=1,1,0))</f>
        <v/>
      </c>
      <c r="V844" s="24">
        <f>IF(OR($B844="",$G844="",$G844="لا توجد مشاهدات"),0,1)</f>
        <v/>
      </c>
      <c r="W844" s="24">
        <f>IF(AND($B844&lt;&gt;"",$I844="تم تحرير مخالفة"),1,0)</f>
        <v/>
      </c>
      <c r="X844" s="24">
        <f>IF($B844="","",IF($S844=WkStart,COUNTIF($S$5:$S844,WkStart),""))</f>
        <v/>
      </c>
    </row>
    <row r="845">
      <c r="A845" s="16">
        <f>IF($B845="","",ROW()-4)</f>
        <v/>
      </c>
      <c r="B845" s="17" t="n"/>
      <c r="C845" s="18" t="n"/>
      <c r="D845" s="18" t="n"/>
      <c r="E845" s="19" t="n"/>
      <c r="F845" s="19" t="n"/>
      <c r="G845" s="18" t="n"/>
      <c r="H845" s="18" t="n"/>
      <c r="I845" s="18" t="n"/>
      <c r="J845" s="20" t="n"/>
      <c r="K845" s="21" t="n"/>
      <c r="L845" s="21" t="n"/>
      <c r="M845" s="18" t="n"/>
      <c r="N845" s="22">
        <f>IF($B845="","",CHOOSE(WEEKDAY($B845),"الأحد","الاثنين","الثلاثاء","الأربعاء","الخميس","الجمعة","السبت"))</f>
        <v/>
      </c>
      <c r="O845" s="23">
        <f>IF(OR($K845="",$L845=""),"",HYPERLINK("https://maps.google.com/?q="&amp;$K845&amp;","&amp;$L845,"عرض الموقع"))</f>
        <v/>
      </c>
      <c r="P845" s="23">
        <f>IF(OR($B845="",N($J845)=0),"",HYPERLINK(PhotoDir&amp;"/"&amp;YEAR($B845)&amp;"-"&amp;TEXT(MONTH($B845),"00")&amp;"-"&amp;TEXT(DAY($B845),"00")&amp;"_"&amp;$D845,"فتح الصور ("&amp;$J845&amp;")"))</f>
        <v/>
      </c>
      <c r="Q845" s="24">
        <f>IF($B845="","",MONTH($B845))</f>
        <v/>
      </c>
      <c r="R845" s="24">
        <f>IF($B845="","",YEAR($B845))</f>
        <v/>
      </c>
      <c r="S845" s="25">
        <f>IF($B845="","",$B845-WEEKDAY($B845,3))</f>
        <v/>
      </c>
      <c r="T845" s="24">
        <f>IF($B845="",0,IF(COUNTIFS($B$5:$B845,$B845,$D$5:$D845,$D845)=1,1,0))</f>
        <v/>
      </c>
      <c r="U845" s="24">
        <f>IF($B845="",0,IF(COUNTIFS($B$5:$B845,$B845,$C$5:$C845,$C845)=1,1,0))</f>
        <v/>
      </c>
      <c r="V845" s="24">
        <f>IF(OR($B845="",$G845="",$G845="لا توجد مشاهدات"),0,1)</f>
        <v/>
      </c>
      <c r="W845" s="24">
        <f>IF(AND($B845&lt;&gt;"",$I845="تم تحرير مخالفة"),1,0)</f>
        <v/>
      </c>
      <c r="X845" s="24">
        <f>IF($B845="","",IF($S845=WkStart,COUNTIF($S$5:$S845,WkStart),""))</f>
        <v/>
      </c>
    </row>
    <row r="846">
      <c r="A846" s="16">
        <f>IF($B846="","",ROW()-4)</f>
        <v/>
      </c>
      <c r="B846" s="17" t="n"/>
      <c r="C846" s="18" t="n"/>
      <c r="D846" s="18" t="n"/>
      <c r="E846" s="19" t="n"/>
      <c r="F846" s="19" t="n"/>
      <c r="G846" s="18" t="n"/>
      <c r="H846" s="18" t="n"/>
      <c r="I846" s="18" t="n"/>
      <c r="J846" s="20" t="n"/>
      <c r="K846" s="21" t="n"/>
      <c r="L846" s="21" t="n"/>
      <c r="M846" s="18" t="n"/>
      <c r="N846" s="22">
        <f>IF($B846="","",CHOOSE(WEEKDAY($B846),"الأحد","الاثنين","الثلاثاء","الأربعاء","الخميس","الجمعة","السبت"))</f>
        <v/>
      </c>
      <c r="O846" s="23">
        <f>IF(OR($K846="",$L846=""),"",HYPERLINK("https://maps.google.com/?q="&amp;$K846&amp;","&amp;$L846,"عرض الموقع"))</f>
        <v/>
      </c>
      <c r="P846" s="23">
        <f>IF(OR($B846="",N($J846)=0),"",HYPERLINK(PhotoDir&amp;"/"&amp;YEAR($B846)&amp;"-"&amp;TEXT(MONTH($B846),"00")&amp;"-"&amp;TEXT(DAY($B846),"00")&amp;"_"&amp;$D846,"فتح الصور ("&amp;$J846&amp;")"))</f>
        <v/>
      </c>
      <c r="Q846" s="24">
        <f>IF($B846="","",MONTH($B846))</f>
        <v/>
      </c>
      <c r="R846" s="24">
        <f>IF($B846="","",YEAR($B846))</f>
        <v/>
      </c>
      <c r="S846" s="25">
        <f>IF($B846="","",$B846-WEEKDAY($B846,3))</f>
        <v/>
      </c>
      <c r="T846" s="24">
        <f>IF($B846="",0,IF(COUNTIFS($B$5:$B846,$B846,$D$5:$D846,$D846)=1,1,0))</f>
        <v/>
      </c>
      <c r="U846" s="24">
        <f>IF($B846="",0,IF(COUNTIFS($B$5:$B846,$B846,$C$5:$C846,$C846)=1,1,0))</f>
        <v/>
      </c>
      <c r="V846" s="24">
        <f>IF(OR($B846="",$G846="",$G846="لا توجد مشاهدات"),0,1)</f>
        <v/>
      </c>
      <c r="W846" s="24">
        <f>IF(AND($B846&lt;&gt;"",$I846="تم تحرير مخالفة"),1,0)</f>
        <v/>
      </c>
      <c r="X846" s="24">
        <f>IF($B846="","",IF($S846=WkStart,COUNTIF($S$5:$S846,WkStart),""))</f>
        <v/>
      </c>
    </row>
    <row r="847">
      <c r="A847" s="16">
        <f>IF($B847="","",ROW()-4)</f>
        <v/>
      </c>
      <c r="B847" s="17" t="n"/>
      <c r="C847" s="18" t="n"/>
      <c r="D847" s="18" t="n"/>
      <c r="E847" s="19" t="n"/>
      <c r="F847" s="19" t="n"/>
      <c r="G847" s="18" t="n"/>
      <c r="H847" s="18" t="n"/>
      <c r="I847" s="18" t="n"/>
      <c r="J847" s="20" t="n"/>
      <c r="K847" s="21" t="n"/>
      <c r="L847" s="21" t="n"/>
      <c r="M847" s="18" t="n"/>
      <c r="N847" s="22">
        <f>IF($B847="","",CHOOSE(WEEKDAY($B847),"الأحد","الاثنين","الثلاثاء","الأربعاء","الخميس","الجمعة","السبت"))</f>
        <v/>
      </c>
      <c r="O847" s="23">
        <f>IF(OR($K847="",$L847=""),"",HYPERLINK("https://maps.google.com/?q="&amp;$K847&amp;","&amp;$L847,"عرض الموقع"))</f>
        <v/>
      </c>
      <c r="P847" s="23">
        <f>IF(OR($B847="",N($J847)=0),"",HYPERLINK(PhotoDir&amp;"/"&amp;YEAR($B847)&amp;"-"&amp;TEXT(MONTH($B847),"00")&amp;"-"&amp;TEXT(DAY($B847),"00")&amp;"_"&amp;$D847,"فتح الصور ("&amp;$J847&amp;")"))</f>
        <v/>
      </c>
      <c r="Q847" s="24">
        <f>IF($B847="","",MONTH($B847))</f>
        <v/>
      </c>
      <c r="R847" s="24">
        <f>IF($B847="","",YEAR($B847))</f>
        <v/>
      </c>
      <c r="S847" s="25">
        <f>IF($B847="","",$B847-WEEKDAY($B847,3))</f>
        <v/>
      </c>
      <c r="T847" s="24">
        <f>IF($B847="",0,IF(COUNTIFS($B$5:$B847,$B847,$D$5:$D847,$D847)=1,1,0))</f>
        <v/>
      </c>
      <c r="U847" s="24">
        <f>IF($B847="",0,IF(COUNTIFS($B$5:$B847,$B847,$C$5:$C847,$C847)=1,1,0))</f>
        <v/>
      </c>
      <c r="V847" s="24">
        <f>IF(OR($B847="",$G847="",$G847="لا توجد مشاهدات"),0,1)</f>
        <v/>
      </c>
      <c r="W847" s="24">
        <f>IF(AND($B847&lt;&gt;"",$I847="تم تحرير مخالفة"),1,0)</f>
        <v/>
      </c>
      <c r="X847" s="24">
        <f>IF($B847="","",IF($S847=WkStart,COUNTIF($S$5:$S847,WkStart),""))</f>
        <v/>
      </c>
    </row>
    <row r="848">
      <c r="A848" s="16">
        <f>IF($B848="","",ROW()-4)</f>
        <v/>
      </c>
      <c r="B848" s="17" t="n"/>
      <c r="C848" s="18" t="n"/>
      <c r="D848" s="18" t="n"/>
      <c r="E848" s="19" t="n"/>
      <c r="F848" s="19" t="n"/>
      <c r="G848" s="18" t="n"/>
      <c r="H848" s="18" t="n"/>
      <c r="I848" s="18" t="n"/>
      <c r="J848" s="20" t="n"/>
      <c r="K848" s="21" t="n"/>
      <c r="L848" s="21" t="n"/>
      <c r="M848" s="18" t="n"/>
      <c r="N848" s="22">
        <f>IF($B848="","",CHOOSE(WEEKDAY($B848),"الأحد","الاثنين","الثلاثاء","الأربعاء","الخميس","الجمعة","السبت"))</f>
        <v/>
      </c>
      <c r="O848" s="23">
        <f>IF(OR($K848="",$L848=""),"",HYPERLINK("https://maps.google.com/?q="&amp;$K848&amp;","&amp;$L848,"عرض الموقع"))</f>
        <v/>
      </c>
      <c r="P848" s="23">
        <f>IF(OR($B848="",N($J848)=0),"",HYPERLINK(PhotoDir&amp;"/"&amp;YEAR($B848)&amp;"-"&amp;TEXT(MONTH($B848),"00")&amp;"-"&amp;TEXT(DAY($B848),"00")&amp;"_"&amp;$D848,"فتح الصور ("&amp;$J848&amp;")"))</f>
        <v/>
      </c>
      <c r="Q848" s="24">
        <f>IF($B848="","",MONTH($B848))</f>
        <v/>
      </c>
      <c r="R848" s="24">
        <f>IF($B848="","",YEAR($B848))</f>
        <v/>
      </c>
      <c r="S848" s="25">
        <f>IF($B848="","",$B848-WEEKDAY($B848,3))</f>
        <v/>
      </c>
      <c r="T848" s="24">
        <f>IF($B848="",0,IF(COUNTIFS($B$5:$B848,$B848,$D$5:$D848,$D848)=1,1,0))</f>
        <v/>
      </c>
      <c r="U848" s="24">
        <f>IF($B848="",0,IF(COUNTIFS($B$5:$B848,$B848,$C$5:$C848,$C848)=1,1,0))</f>
        <v/>
      </c>
      <c r="V848" s="24">
        <f>IF(OR($B848="",$G848="",$G848="لا توجد مشاهدات"),0,1)</f>
        <v/>
      </c>
      <c r="W848" s="24">
        <f>IF(AND($B848&lt;&gt;"",$I848="تم تحرير مخالفة"),1,0)</f>
        <v/>
      </c>
      <c r="X848" s="24">
        <f>IF($B848="","",IF($S848=WkStart,COUNTIF($S$5:$S848,WkStart),""))</f>
        <v/>
      </c>
    </row>
    <row r="849">
      <c r="A849" s="16">
        <f>IF($B849="","",ROW()-4)</f>
        <v/>
      </c>
      <c r="B849" s="17" t="n"/>
      <c r="C849" s="18" t="n"/>
      <c r="D849" s="18" t="n"/>
      <c r="E849" s="19" t="n"/>
      <c r="F849" s="19" t="n"/>
      <c r="G849" s="18" t="n"/>
      <c r="H849" s="18" t="n"/>
      <c r="I849" s="18" t="n"/>
      <c r="J849" s="20" t="n"/>
      <c r="K849" s="21" t="n"/>
      <c r="L849" s="21" t="n"/>
      <c r="M849" s="18" t="n"/>
      <c r="N849" s="22">
        <f>IF($B849="","",CHOOSE(WEEKDAY($B849),"الأحد","الاثنين","الثلاثاء","الأربعاء","الخميس","الجمعة","السبت"))</f>
        <v/>
      </c>
      <c r="O849" s="23">
        <f>IF(OR($K849="",$L849=""),"",HYPERLINK("https://maps.google.com/?q="&amp;$K849&amp;","&amp;$L849,"عرض الموقع"))</f>
        <v/>
      </c>
      <c r="P849" s="23">
        <f>IF(OR($B849="",N($J849)=0),"",HYPERLINK(PhotoDir&amp;"/"&amp;YEAR($B849)&amp;"-"&amp;TEXT(MONTH($B849),"00")&amp;"-"&amp;TEXT(DAY($B849),"00")&amp;"_"&amp;$D849,"فتح الصور ("&amp;$J849&amp;")"))</f>
        <v/>
      </c>
      <c r="Q849" s="24">
        <f>IF($B849="","",MONTH($B849))</f>
        <v/>
      </c>
      <c r="R849" s="24">
        <f>IF($B849="","",YEAR($B849))</f>
        <v/>
      </c>
      <c r="S849" s="25">
        <f>IF($B849="","",$B849-WEEKDAY($B849,3))</f>
        <v/>
      </c>
      <c r="T849" s="24">
        <f>IF($B849="",0,IF(COUNTIFS($B$5:$B849,$B849,$D$5:$D849,$D849)=1,1,0))</f>
        <v/>
      </c>
      <c r="U849" s="24">
        <f>IF($B849="",0,IF(COUNTIFS($B$5:$B849,$B849,$C$5:$C849,$C849)=1,1,0))</f>
        <v/>
      </c>
      <c r="V849" s="24">
        <f>IF(OR($B849="",$G849="",$G849="لا توجد مشاهدات"),0,1)</f>
        <v/>
      </c>
      <c r="W849" s="24">
        <f>IF(AND($B849&lt;&gt;"",$I849="تم تحرير مخالفة"),1,0)</f>
        <v/>
      </c>
      <c r="X849" s="24">
        <f>IF($B849="","",IF($S849=WkStart,COUNTIF($S$5:$S849,WkStart),""))</f>
        <v/>
      </c>
    </row>
    <row r="850">
      <c r="A850" s="16">
        <f>IF($B850="","",ROW()-4)</f>
        <v/>
      </c>
      <c r="B850" s="17" t="n"/>
      <c r="C850" s="18" t="n"/>
      <c r="D850" s="18" t="n"/>
      <c r="E850" s="19" t="n"/>
      <c r="F850" s="19" t="n"/>
      <c r="G850" s="18" t="n"/>
      <c r="H850" s="18" t="n"/>
      <c r="I850" s="18" t="n"/>
      <c r="J850" s="20" t="n"/>
      <c r="K850" s="21" t="n"/>
      <c r="L850" s="21" t="n"/>
      <c r="M850" s="18" t="n"/>
      <c r="N850" s="22">
        <f>IF($B850="","",CHOOSE(WEEKDAY($B850),"الأحد","الاثنين","الثلاثاء","الأربعاء","الخميس","الجمعة","السبت"))</f>
        <v/>
      </c>
      <c r="O850" s="23">
        <f>IF(OR($K850="",$L850=""),"",HYPERLINK("https://maps.google.com/?q="&amp;$K850&amp;","&amp;$L850,"عرض الموقع"))</f>
        <v/>
      </c>
      <c r="P850" s="23">
        <f>IF(OR($B850="",N($J850)=0),"",HYPERLINK(PhotoDir&amp;"/"&amp;YEAR($B850)&amp;"-"&amp;TEXT(MONTH($B850),"00")&amp;"-"&amp;TEXT(DAY($B850),"00")&amp;"_"&amp;$D850,"فتح الصور ("&amp;$J850&amp;")"))</f>
        <v/>
      </c>
      <c r="Q850" s="24">
        <f>IF($B850="","",MONTH($B850))</f>
        <v/>
      </c>
      <c r="R850" s="24">
        <f>IF($B850="","",YEAR($B850))</f>
        <v/>
      </c>
      <c r="S850" s="25">
        <f>IF($B850="","",$B850-WEEKDAY($B850,3))</f>
        <v/>
      </c>
      <c r="T850" s="24">
        <f>IF($B850="",0,IF(COUNTIFS($B$5:$B850,$B850,$D$5:$D850,$D850)=1,1,0))</f>
        <v/>
      </c>
      <c r="U850" s="24">
        <f>IF($B850="",0,IF(COUNTIFS($B$5:$B850,$B850,$C$5:$C850,$C850)=1,1,0))</f>
        <v/>
      </c>
      <c r="V850" s="24">
        <f>IF(OR($B850="",$G850="",$G850="لا توجد مشاهدات"),0,1)</f>
        <v/>
      </c>
      <c r="W850" s="24">
        <f>IF(AND($B850&lt;&gt;"",$I850="تم تحرير مخالفة"),1,0)</f>
        <v/>
      </c>
      <c r="X850" s="24">
        <f>IF($B850="","",IF($S850=WkStart,COUNTIF($S$5:$S850,WkStart),""))</f>
        <v/>
      </c>
    </row>
    <row r="851">
      <c r="A851" s="16">
        <f>IF($B851="","",ROW()-4)</f>
        <v/>
      </c>
      <c r="B851" s="17" t="n"/>
      <c r="C851" s="18" t="n"/>
      <c r="D851" s="18" t="n"/>
      <c r="E851" s="19" t="n"/>
      <c r="F851" s="19" t="n"/>
      <c r="G851" s="18" t="n"/>
      <c r="H851" s="18" t="n"/>
      <c r="I851" s="18" t="n"/>
      <c r="J851" s="20" t="n"/>
      <c r="K851" s="21" t="n"/>
      <c r="L851" s="21" t="n"/>
      <c r="M851" s="18" t="n"/>
      <c r="N851" s="22">
        <f>IF($B851="","",CHOOSE(WEEKDAY($B851),"الأحد","الاثنين","الثلاثاء","الأربعاء","الخميس","الجمعة","السبت"))</f>
        <v/>
      </c>
      <c r="O851" s="23">
        <f>IF(OR($K851="",$L851=""),"",HYPERLINK("https://maps.google.com/?q="&amp;$K851&amp;","&amp;$L851,"عرض الموقع"))</f>
        <v/>
      </c>
      <c r="P851" s="23">
        <f>IF(OR($B851="",N($J851)=0),"",HYPERLINK(PhotoDir&amp;"/"&amp;YEAR($B851)&amp;"-"&amp;TEXT(MONTH($B851),"00")&amp;"-"&amp;TEXT(DAY($B851),"00")&amp;"_"&amp;$D851,"فتح الصور ("&amp;$J851&amp;")"))</f>
        <v/>
      </c>
      <c r="Q851" s="24">
        <f>IF($B851="","",MONTH($B851))</f>
        <v/>
      </c>
      <c r="R851" s="24">
        <f>IF($B851="","",YEAR($B851))</f>
        <v/>
      </c>
      <c r="S851" s="25">
        <f>IF($B851="","",$B851-WEEKDAY($B851,3))</f>
        <v/>
      </c>
      <c r="T851" s="24">
        <f>IF($B851="",0,IF(COUNTIFS($B$5:$B851,$B851,$D$5:$D851,$D851)=1,1,0))</f>
        <v/>
      </c>
      <c r="U851" s="24">
        <f>IF($B851="",0,IF(COUNTIFS($B$5:$B851,$B851,$C$5:$C851,$C851)=1,1,0))</f>
        <v/>
      </c>
      <c r="V851" s="24">
        <f>IF(OR($B851="",$G851="",$G851="لا توجد مشاهدات"),0,1)</f>
        <v/>
      </c>
      <c r="W851" s="24">
        <f>IF(AND($B851&lt;&gt;"",$I851="تم تحرير مخالفة"),1,0)</f>
        <v/>
      </c>
      <c r="X851" s="24">
        <f>IF($B851="","",IF($S851=WkStart,COUNTIF($S$5:$S851,WkStart),""))</f>
        <v/>
      </c>
    </row>
    <row r="852">
      <c r="A852" s="16">
        <f>IF($B852="","",ROW()-4)</f>
        <v/>
      </c>
      <c r="B852" s="17" t="n"/>
      <c r="C852" s="18" t="n"/>
      <c r="D852" s="18" t="n"/>
      <c r="E852" s="19" t="n"/>
      <c r="F852" s="19" t="n"/>
      <c r="G852" s="18" t="n"/>
      <c r="H852" s="18" t="n"/>
      <c r="I852" s="18" t="n"/>
      <c r="J852" s="20" t="n"/>
      <c r="K852" s="21" t="n"/>
      <c r="L852" s="21" t="n"/>
      <c r="M852" s="18" t="n"/>
      <c r="N852" s="22">
        <f>IF($B852="","",CHOOSE(WEEKDAY($B852),"الأحد","الاثنين","الثلاثاء","الأربعاء","الخميس","الجمعة","السبت"))</f>
        <v/>
      </c>
      <c r="O852" s="23">
        <f>IF(OR($K852="",$L852=""),"",HYPERLINK("https://maps.google.com/?q="&amp;$K852&amp;","&amp;$L852,"عرض الموقع"))</f>
        <v/>
      </c>
      <c r="P852" s="23">
        <f>IF(OR($B852="",N($J852)=0),"",HYPERLINK(PhotoDir&amp;"/"&amp;YEAR($B852)&amp;"-"&amp;TEXT(MONTH($B852),"00")&amp;"-"&amp;TEXT(DAY($B852),"00")&amp;"_"&amp;$D852,"فتح الصور ("&amp;$J852&amp;")"))</f>
        <v/>
      </c>
      <c r="Q852" s="24">
        <f>IF($B852="","",MONTH($B852))</f>
        <v/>
      </c>
      <c r="R852" s="24">
        <f>IF($B852="","",YEAR($B852))</f>
        <v/>
      </c>
      <c r="S852" s="25">
        <f>IF($B852="","",$B852-WEEKDAY($B852,3))</f>
        <v/>
      </c>
      <c r="T852" s="24">
        <f>IF($B852="",0,IF(COUNTIFS($B$5:$B852,$B852,$D$5:$D852,$D852)=1,1,0))</f>
        <v/>
      </c>
      <c r="U852" s="24">
        <f>IF($B852="",0,IF(COUNTIFS($B$5:$B852,$B852,$C$5:$C852,$C852)=1,1,0))</f>
        <v/>
      </c>
      <c r="V852" s="24">
        <f>IF(OR($B852="",$G852="",$G852="لا توجد مشاهدات"),0,1)</f>
        <v/>
      </c>
      <c r="W852" s="24">
        <f>IF(AND($B852&lt;&gt;"",$I852="تم تحرير مخالفة"),1,0)</f>
        <v/>
      </c>
      <c r="X852" s="24">
        <f>IF($B852="","",IF($S852=WkStart,COUNTIF($S$5:$S852,WkStart),""))</f>
        <v/>
      </c>
    </row>
    <row r="853">
      <c r="A853" s="16">
        <f>IF($B853="","",ROW()-4)</f>
        <v/>
      </c>
      <c r="B853" s="17" t="n"/>
      <c r="C853" s="18" t="n"/>
      <c r="D853" s="18" t="n"/>
      <c r="E853" s="19" t="n"/>
      <c r="F853" s="19" t="n"/>
      <c r="G853" s="18" t="n"/>
      <c r="H853" s="18" t="n"/>
      <c r="I853" s="18" t="n"/>
      <c r="J853" s="20" t="n"/>
      <c r="K853" s="21" t="n"/>
      <c r="L853" s="21" t="n"/>
      <c r="M853" s="18" t="n"/>
      <c r="N853" s="22">
        <f>IF($B853="","",CHOOSE(WEEKDAY($B853),"الأحد","الاثنين","الثلاثاء","الأربعاء","الخميس","الجمعة","السبت"))</f>
        <v/>
      </c>
      <c r="O853" s="23">
        <f>IF(OR($K853="",$L853=""),"",HYPERLINK("https://maps.google.com/?q="&amp;$K853&amp;","&amp;$L853,"عرض الموقع"))</f>
        <v/>
      </c>
      <c r="P853" s="23">
        <f>IF(OR($B853="",N($J853)=0),"",HYPERLINK(PhotoDir&amp;"/"&amp;YEAR($B853)&amp;"-"&amp;TEXT(MONTH($B853),"00")&amp;"-"&amp;TEXT(DAY($B853),"00")&amp;"_"&amp;$D853,"فتح الصور ("&amp;$J853&amp;")"))</f>
        <v/>
      </c>
      <c r="Q853" s="24">
        <f>IF($B853="","",MONTH($B853))</f>
        <v/>
      </c>
      <c r="R853" s="24">
        <f>IF($B853="","",YEAR($B853))</f>
        <v/>
      </c>
      <c r="S853" s="25">
        <f>IF($B853="","",$B853-WEEKDAY($B853,3))</f>
        <v/>
      </c>
      <c r="T853" s="24">
        <f>IF($B853="",0,IF(COUNTIFS($B$5:$B853,$B853,$D$5:$D853,$D853)=1,1,0))</f>
        <v/>
      </c>
      <c r="U853" s="24">
        <f>IF($B853="",0,IF(COUNTIFS($B$5:$B853,$B853,$C$5:$C853,$C853)=1,1,0))</f>
        <v/>
      </c>
      <c r="V853" s="24">
        <f>IF(OR($B853="",$G853="",$G853="لا توجد مشاهدات"),0,1)</f>
        <v/>
      </c>
      <c r="W853" s="24">
        <f>IF(AND($B853&lt;&gt;"",$I853="تم تحرير مخالفة"),1,0)</f>
        <v/>
      </c>
      <c r="X853" s="24">
        <f>IF($B853="","",IF($S853=WkStart,COUNTIF($S$5:$S853,WkStart),""))</f>
        <v/>
      </c>
    </row>
    <row r="854">
      <c r="A854" s="16">
        <f>IF($B854="","",ROW()-4)</f>
        <v/>
      </c>
      <c r="B854" s="17" t="n"/>
      <c r="C854" s="18" t="n"/>
      <c r="D854" s="18" t="n"/>
      <c r="E854" s="19" t="n"/>
      <c r="F854" s="19" t="n"/>
      <c r="G854" s="18" t="n"/>
      <c r="H854" s="18" t="n"/>
      <c r="I854" s="18" t="n"/>
      <c r="J854" s="20" t="n"/>
      <c r="K854" s="21" t="n"/>
      <c r="L854" s="21" t="n"/>
      <c r="M854" s="18" t="n"/>
      <c r="N854" s="22">
        <f>IF($B854="","",CHOOSE(WEEKDAY($B854),"الأحد","الاثنين","الثلاثاء","الأربعاء","الخميس","الجمعة","السبت"))</f>
        <v/>
      </c>
      <c r="O854" s="23">
        <f>IF(OR($K854="",$L854=""),"",HYPERLINK("https://maps.google.com/?q="&amp;$K854&amp;","&amp;$L854,"عرض الموقع"))</f>
        <v/>
      </c>
      <c r="P854" s="23">
        <f>IF(OR($B854="",N($J854)=0),"",HYPERLINK(PhotoDir&amp;"/"&amp;YEAR($B854)&amp;"-"&amp;TEXT(MONTH($B854),"00")&amp;"-"&amp;TEXT(DAY($B854),"00")&amp;"_"&amp;$D854,"فتح الصور ("&amp;$J854&amp;")"))</f>
        <v/>
      </c>
      <c r="Q854" s="24">
        <f>IF($B854="","",MONTH($B854))</f>
        <v/>
      </c>
      <c r="R854" s="24">
        <f>IF($B854="","",YEAR($B854))</f>
        <v/>
      </c>
      <c r="S854" s="25">
        <f>IF($B854="","",$B854-WEEKDAY($B854,3))</f>
        <v/>
      </c>
      <c r="T854" s="24">
        <f>IF($B854="",0,IF(COUNTIFS($B$5:$B854,$B854,$D$5:$D854,$D854)=1,1,0))</f>
        <v/>
      </c>
      <c r="U854" s="24">
        <f>IF($B854="",0,IF(COUNTIFS($B$5:$B854,$B854,$C$5:$C854,$C854)=1,1,0))</f>
        <v/>
      </c>
      <c r="V854" s="24">
        <f>IF(OR($B854="",$G854="",$G854="لا توجد مشاهدات"),0,1)</f>
        <v/>
      </c>
      <c r="W854" s="24">
        <f>IF(AND($B854&lt;&gt;"",$I854="تم تحرير مخالفة"),1,0)</f>
        <v/>
      </c>
      <c r="X854" s="24">
        <f>IF($B854="","",IF($S854=WkStart,COUNTIF($S$5:$S854,WkStart),""))</f>
        <v/>
      </c>
    </row>
    <row r="855">
      <c r="A855" s="16">
        <f>IF($B855="","",ROW()-4)</f>
        <v/>
      </c>
      <c r="B855" s="17" t="n"/>
      <c r="C855" s="18" t="n"/>
      <c r="D855" s="18" t="n"/>
      <c r="E855" s="19" t="n"/>
      <c r="F855" s="19" t="n"/>
      <c r="G855" s="18" t="n"/>
      <c r="H855" s="18" t="n"/>
      <c r="I855" s="18" t="n"/>
      <c r="J855" s="20" t="n"/>
      <c r="K855" s="21" t="n"/>
      <c r="L855" s="21" t="n"/>
      <c r="M855" s="18" t="n"/>
      <c r="N855" s="22">
        <f>IF($B855="","",CHOOSE(WEEKDAY($B855),"الأحد","الاثنين","الثلاثاء","الأربعاء","الخميس","الجمعة","السبت"))</f>
        <v/>
      </c>
      <c r="O855" s="23">
        <f>IF(OR($K855="",$L855=""),"",HYPERLINK("https://maps.google.com/?q="&amp;$K855&amp;","&amp;$L855,"عرض الموقع"))</f>
        <v/>
      </c>
      <c r="P855" s="23">
        <f>IF(OR($B855="",N($J855)=0),"",HYPERLINK(PhotoDir&amp;"/"&amp;YEAR($B855)&amp;"-"&amp;TEXT(MONTH($B855),"00")&amp;"-"&amp;TEXT(DAY($B855),"00")&amp;"_"&amp;$D855,"فتح الصور ("&amp;$J855&amp;")"))</f>
        <v/>
      </c>
      <c r="Q855" s="24">
        <f>IF($B855="","",MONTH($B855))</f>
        <v/>
      </c>
      <c r="R855" s="24">
        <f>IF($B855="","",YEAR($B855))</f>
        <v/>
      </c>
      <c r="S855" s="25">
        <f>IF($B855="","",$B855-WEEKDAY($B855,3))</f>
        <v/>
      </c>
      <c r="T855" s="24">
        <f>IF($B855="",0,IF(COUNTIFS($B$5:$B855,$B855,$D$5:$D855,$D855)=1,1,0))</f>
        <v/>
      </c>
      <c r="U855" s="24">
        <f>IF($B855="",0,IF(COUNTIFS($B$5:$B855,$B855,$C$5:$C855,$C855)=1,1,0))</f>
        <v/>
      </c>
      <c r="V855" s="24">
        <f>IF(OR($B855="",$G855="",$G855="لا توجد مشاهدات"),0,1)</f>
        <v/>
      </c>
      <c r="W855" s="24">
        <f>IF(AND($B855&lt;&gt;"",$I855="تم تحرير مخالفة"),1,0)</f>
        <v/>
      </c>
      <c r="X855" s="24">
        <f>IF($B855="","",IF($S855=WkStart,COUNTIF($S$5:$S855,WkStart),""))</f>
        <v/>
      </c>
    </row>
    <row r="856">
      <c r="A856" s="16">
        <f>IF($B856="","",ROW()-4)</f>
        <v/>
      </c>
      <c r="B856" s="17" t="n"/>
      <c r="C856" s="18" t="n"/>
      <c r="D856" s="18" t="n"/>
      <c r="E856" s="19" t="n"/>
      <c r="F856" s="19" t="n"/>
      <c r="G856" s="18" t="n"/>
      <c r="H856" s="18" t="n"/>
      <c r="I856" s="18" t="n"/>
      <c r="J856" s="20" t="n"/>
      <c r="K856" s="21" t="n"/>
      <c r="L856" s="21" t="n"/>
      <c r="M856" s="18" t="n"/>
      <c r="N856" s="22">
        <f>IF($B856="","",CHOOSE(WEEKDAY($B856),"الأحد","الاثنين","الثلاثاء","الأربعاء","الخميس","الجمعة","السبت"))</f>
        <v/>
      </c>
      <c r="O856" s="23">
        <f>IF(OR($K856="",$L856=""),"",HYPERLINK("https://maps.google.com/?q="&amp;$K856&amp;","&amp;$L856,"عرض الموقع"))</f>
        <v/>
      </c>
      <c r="P856" s="23">
        <f>IF(OR($B856="",N($J856)=0),"",HYPERLINK(PhotoDir&amp;"/"&amp;YEAR($B856)&amp;"-"&amp;TEXT(MONTH($B856),"00")&amp;"-"&amp;TEXT(DAY($B856),"00")&amp;"_"&amp;$D856,"فتح الصور ("&amp;$J856&amp;")"))</f>
        <v/>
      </c>
      <c r="Q856" s="24">
        <f>IF($B856="","",MONTH($B856))</f>
        <v/>
      </c>
      <c r="R856" s="24">
        <f>IF($B856="","",YEAR($B856))</f>
        <v/>
      </c>
      <c r="S856" s="25">
        <f>IF($B856="","",$B856-WEEKDAY($B856,3))</f>
        <v/>
      </c>
      <c r="T856" s="24">
        <f>IF($B856="",0,IF(COUNTIFS($B$5:$B856,$B856,$D$5:$D856,$D856)=1,1,0))</f>
        <v/>
      </c>
      <c r="U856" s="24">
        <f>IF($B856="",0,IF(COUNTIFS($B$5:$B856,$B856,$C$5:$C856,$C856)=1,1,0))</f>
        <v/>
      </c>
      <c r="V856" s="24">
        <f>IF(OR($B856="",$G856="",$G856="لا توجد مشاهدات"),0,1)</f>
        <v/>
      </c>
      <c r="W856" s="24">
        <f>IF(AND($B856&lt;&gt;"",$I856="تم تحرير مخالفة"),1,0)</f>
        <v/>
      </c>
      <c r="X856" s="24">
        <f>IF($B856="","",IF($S856=WkStart,COUNTIF($S$5:$S856,WkStart),""))</f>
        <v/>
      </c>
    </row>
    <row r="857">
      <c r="A857" s="16">
        <f>IF($B857="","",ROW()-4)</f>
        <v/>
      </c>
      <c r="B857" s="17" t="n"/>
      <c r="C857" s="18" t="n"/>
      <c r="D857" s="18" t="n"/>
      <c r="E857" s="19" t="n"/>
      <c r="F857" s="19" t="n"/>
      <c r="G857" s="18" t="n"/>
      <c r="H857" s="18" t="n"/>
      <c r="I857" s="18" t="n"/>
      <c r="J857" s="20" t="n"/>
      <c r="K857" s="21" t="n"/>
      <c r="L857" s="21" t="n"/>
      <c r="M857" s="18" t="n"/>
      <c r="N857" s="22">
        <f>IF($B857="","",CHOOSE(WEEKDAY($B857),"الأحد","الاثنين","الثلاثاء","الأربعاء","الخميس","الجمعة","السبت"))</f>
        <v/>
      </c>
      <c r="O857" s="23">
        <f>IF(OR($K857="",$L857=""),"",HYPERLINK("https://maps.google.com/?q="&amp;$K857&amp;","&amp;$L857,"عرض الموقع"))</f>
        <v/>
      </c>
      <c r="P857" s="23">
        <f>IF(OR($B857="",N($J857)=0),"",HYPERLINK(PhotoDir&amp;"/"&amp;YEAR($B857)&amp;"-"&amp;TEXT(MONTH($B857),"00")&amp;"-"&amp;TEXT(DAY($B857),"00")&amp;"_"&amp;$D857,"فتح الصور ("&amp;$J857&amp;")"))</f>
        <v/>
      </c>
      <c r="Q857" s="24">
        <f>IF($B857="","",MONTH($B857))</f>
        <v/>
      </c>
      <c r="R857" s="24">
        <f>IF($B857="","",YEAR($B857))</f>
        <v/>
      </c>
      <c r="S857" s="25">
        <f>IF($B857="","",$B857-WEEKDAY($B857,3))</f>
        <v/>
      </c>
      <c r="T857" s="24">
        <f>IF($B857="",0,IF(COUNTIFS($B$5:$B857,$B857,$D$5:$D857,$D857)=1,1,0))</f>
        <v/>
      </c>
      <c r="U857" s="24">
        <f>IF($B857="",0,IF(COUNTIFS($B$5:$B857,$B857,$C$5:$C857,$C857)=1,1,0))</f>
        <v/>
      </c>
      <c r="V857" s="24">
        <f>IF(OR($B857="",$G857="",$G857="لا توجد مشاهدات"),0,1)</f>
        <v/>
      </c>
      <c r="W857" s="24">
        <f>IF(AND($B857&lt;&gt;"",$I857="تم تحرير مخالفة"),1,0)</f>
        <v/>
      </c>
      <c r="X857" s="24">
        <f>IF($B857="","",IF($S857=WkStart,COUNTIF($S$5:$S857,WkStart),""))</f>
        <v/>
      </c>
    </row>
    <row r="858">
      <c r="A858" s="16">
        <f>IF($B858="","",ROW()-4)</f>
        <v/>
      </c>
      <c r="B858" s="17" t="n"/>
      <c r="C858" s="18" t="n"/>
      <c r="D858" s="18" t="n"/>
      <c r="E858" s="19" t="n"/>
      <c r="F858" s="19" t="n"/>
      <c r="G858" s="18" t="n"/>
      <c r="H858" s="18" t="n"/>
      <c r="I858" s="18" t="n"/>
      <c r="J858" s="20" t="n"/>
      <c r="K858" s="21" t="n"/>
      <c r="L858" s="21" t="n"/>
      <c r="M858" s="18" t="n"/>
      <c r="N858" s="22">
        <f>IF($B858="","",CHOOSE(WEEKDAY($B858),"الأحد","الاثنين","الثلاثاء","الأربعاء","الخميس","الجمعة","السبت"))</f>
        <v/>
      </c>
      <c r="O858" s="23">
        <f>IF(OR($K858="",$L858=""),"",HYPERLINK("https://maps.google.com/?q="&amp;$K858&amp;","&amp;$L858,"عرض الموقع"))</f>
        <v/>
      </c>
      <c r="P858" s="23">
        <f>IF(OR($B858="",N($J858)=0),"",HYPERLINK(PhotoDir&amp;"/"&amp;YEAR($B858)&amp;"-"&amp;TEXT(MONTH($B858),"00")&amp;"-"&amp;TEXT(DAY($B858),"00")&amp;"_"&amp;$D858,"فتح الصور ("&amp;$J858&amp;")"))</f>
        <v/>
      </c>
      <c r="Q858" s="24">
        <f>IF($B858="","",MONTH($B858))</f>
        <v/>
      </c>
      <c r="R858" s="24">
        <f>IF($B858="","",YEAR($B858))</f>
        <v/>
      </c>
      <c r="S858" s="25">
        <f>IF($B858="","",$B858-WEEKDAY($B858,3))</f>
        <v/>
      </c>
      <c r="T858" s="24">
        <f>IF($B858="",0,IF(COUNTIFS($B$5:$B858,$B858,$D$5:$D858,$D858)=1,1,0))</f>
        <v/>
      </c>
      <c r="U858" s="24">
        <f>IF($B858="",0,IF(COUNTIFS($B$5:$B858,$B858,$C$5:$C858,$C858)=1,1,0))</f>
        <v/>
      </c>
      <c r="V858" s="24">
        <f>IF(OR($B858="",$G858="",$G858="لا توجد مشاهدات"),0,1)</f>
        <v/>
      </c>
      <c r="W858" s="24">
        <f>IF(AND($B858&lt;&gt;"",$I858="تم تحرير مخالفة"),1,0)</f>
        <v/>
      </c>
      <c r="X858" s="24">
        <f>IF($B858="","",IF($S858=WkStart,COUNTIF($S$5:$S858,WkStart),""))</f>
        <v/>
      </c>
    </row>
    <row r="859">
      <c r="A859" s="16">
        <f>IF($B859="","",ROW()-4)</f>
        <v/>
      </c>
      <c r="B859" s="17" t="n"/>
      <c r="C859" s="18" t="n"/>
      <c r="D859" s="18" t="n"/>
      <c r="E859" s="19" t="n"/>
      <c r="F859" s="19" t="n"/>
      <c r="G859" s="18" t="n"/>
      <c r="H859" s="18" t="n"/>
      <c r="I859" s="18" t="n"/>
      <c r="J859" s="20" t="n"/>
      <c r="K859" s="21" t="n"/>
      <c r="L859" s="21" t="n"/>
      <c r="M859" s="18" t="n"/>
      <c r="N859" s="22">
        <f>IF($B859="","",CHOOSE(WEEKDAY($B859),"الأحد","الاثنين","الثلاثاء","الأربعاء","الخميس","الجمعة","السبت"))</f>
        <v/>
      </c>
      <c r="O859" s="23">
        <f>IF(OR($K859="",$L859=""),"",HYPERLINK("https://maps.google.com/?q="&amp;$K859&amp;","&amp;$L859,"عرض الموقع"))</f>
        <v/>
      </c>
      <c r="P859" s="23">
        <f>IF(OR($B859="",N($J859)=0),"",HYPERLINK(PhotoDir&amp;"/"&amp;YEAR($B859)&amp;"-"&amp;TEXT(MONTH($B859),"00")&amp;"-"&amp;TEXT(DAY($B859),"00")&amp;"_"&amp;$D859,"فتح الصور ("&amp;$J859&amp;")"))</f>
        <v/>
      </c>
      <c r="Q859" s="24">
        <f>IF($B859="","",MONTH($B859))</f>
        <v/>
      </c>
      <c r="R859" s="24">
        <f>IF($B859="","",YEAR($B859))</f>
        <v/>
      </c>
      <c r="S859" s="25">
        <f>IF($B859="","",$B859-WEEKDAY($B859,3))</f>
        <v/>
      </c>
      <c r="T859" s="24">
        <f>IF($B859="",0,IF(COUNTIFS($B$5:$B859,$B859,$D$5:$D859,$D859)=1,1,0))</f>
        <v/>
      </c>
      <c r="U859" s="24">
        <f>IF($B859="",0,IF(COUNTIFS($B$5:$B859,$B859,$C$5:$C859,$C859)=1,1,0))</f>
        <v/>
      </c>
      <c r="V859" s="24">
        <f>IF(OR($B859="",$G859="",$G859="لا توجد مشاهدات"),0,1)</f>
        <v/>
      </c>
      <c r="W859" s="24">
        <f>IF(AND($B859&lt;&gt;"",$I859="تم تحرير مخالفة"),1,0)</f>
        <v/>
      </c>
      <c r="X859" s="24">
        <f>IF($B859="","",IF($S859=WkStart,COUNTIF($S$5:$S859,WkStart),""))</f>
        <v/>
      </c>
    </row>
    <row r="860">
      <c r="A860" s="16">
        <f>IF($B860="","",ROW()-4)</f>
        <v/>
      </c>
      <c r="B860" s="17" t="n"/>
      <c r="C860" s="18" t="n"/>
      <c r="D860" s="18" t="n"/>
      <c r="E860" s="19" t="n"/>
      <c r="F860" s="19" t="n"/>
      <c r="G860" s="18" t="n"/>
      <c r="H860" s="18" t="n"/>
      <c r="I860" s="18" t="n"/>
      <c r="J860" s="20" t="n"/>
      <c r="K860" s="21" t="n"/>
      <c r="L860" s="21" t="n"/>
      <c r="M860" s="18" t="n"/>
      <c r="N860" s="22">
        <f>IF($B860="","",CHOOSE(WEEKDAY($B860),"الأحد","الاثنين","الثلاثاء","الأربعاء","الخميس","الجمعة","السبت"))</f>
        <v/>
      </c>
      <c r="O860" s="23">
        <f>IF(OR($K860="",$L860=""),"",HYPERLINK("https://maps.google.com/?q="&amp;$K860&amp;","&amp;$L860,"عرض الموقع"))</f>
        <v/>
      </c>
      <c r="P860" s="23">
        <f>IF(OR($B860="",N($J860)=0),"",HYPERLINK(PhotoDir&amp;"/"&amp;YEAR($B860)&amp;"-"&amp;TEXT(MONTH($B860),"00")&amp;"-"&amp;TEXT(DAY($B860),"00")&amp;"_"&amp;$D860,"فتح الصور ("&amp;$J860&amp;")"))</f>
        <v/>
      </c>
      <c r="Q860" s="24">
        <f>IF($B860="","",MONTH($B860))</f>
        <v/>
      </c>
      <c r="R860" s="24">
        <f>IF($B860="","",YEAR($B860))</f>
        <v/>
      </c>
      <c r="S860" s="25">
        <f>IF($B860="","",$B860-WEEKDAY($B860,3))</f>
        <v/>
      </c>
      <c r="T860" s="24">
        <f>IF($B860="",0,IF(COUNTIFS($B$5:$B860,$B860,$D$5:$D860,$D860)=1,1,0))</f>
        <v/>
      </c>
      <c r="U860" s="24">
        <f>IF($B860="",0,IF(COUNTIFS($B$5:$B860,$B860,$C$5:$C860,$C860)=1,1,0))</f>
        <v/>
      </c>
      <c r="V860" s="24">
        <f>IF(OR($B860="",$G860="",$G860="لا توجد مشاهدات"),0,1)</f>
        <v/>
      </c>
      <c r="W860" s="24">
        <f>IF(AND($B860&lt;&gt;"",$I860="تم تحرير مخالفة"),1,0)</f>
        <v/>
      </c>
      <c r="X860" s="24">
        <f>IF($B860="","",IF($S860=WkStart,COUNTIF($S$5:$S860,WkStart),""))</f>
        <v/>
      </c>
    </row>
    <row r="861">
      <c r="A861" s="16">
        <f>IF($B861="","",ROW()-4)</f>
        <v/>
      </c>
      <c r="B861" s="17" t="n"/>
      <c r="C861" s="18" t="n"/>
      <c r="D861" s="18" t="n"/>
      <c r="E861" s="19" t="n"/>
      <c r="F861" s="19" t="n"/>
      <c r="G861" s="18" t="n"/>
      <c r="H861" s="18" t="n"/>
      <c r="I861" s="18" t="n"/>
      <c r="J861" s="20" t="n"/>
      <c r="K861" s="21" t="n"/>
      <c r="L861" s="21" t="n"/>
      <c r="M861" s="18" t="n"/>
      <c r="N861" s="22">
        <f>IF($B861="","",CHOOSE(WEEKDAY($B861),"الأحد","الاثنين","الثلاثاء","الأربعاء","الخميس","الجمعة","السبت"))</f>
        <v/>
      </c>
      <c r="O861" s="23">
        <f>IF(OR($K861="",$L861=""),"",HYPERLINK("https://maps.google.com/?q="&amp;$K861&amp;","&amp;$L861,"عرض الموقع"))</f>
        <v/>
      </c>
      <c r="P861" s="23">
        <f>IF(OR($B861="",N($J861)=0),"",HYPERLINK(PhotoDir&amp;"/"&amp;YEAR($B861)&amp;"-"&amp;TEXT(MONTH($B861),"00")&amp;"-"&amp;TEXT(DAY($B861),"00")&amp;"_"&amp;$D861,"فتح الصور ("&amp;$J861&amp;")"))</f>
        <v/>
      </c>
      <c r="Q861" s="24">
        <f>IF($B861="","",MONTH($B861))</f>
        <v/>
      </c>
      <c r="R861" s="24">
        <f>IF($B861="","",YEAR($B861))</f>
        <v/>
      </c>
      <c r="S861" s="25">
        <f>IF($B861="","",$B861-WEEKDAY($B861,3))</f>
        <v/>
      </c>
      <c r="T861" s="24">
        <f>IF($B861="",0,IF(COUNTIFS($B$5:$B861,$B861,$D$5:$D861,$D861)=1,1,0))</f>
        <v/>
      </c>
      <c r="U861" s="24">
        <f>IF($B861="",0,IF(COUNTIFS($B$5:$B861,$B861,$C$5:$C861,$C861)=1,1,0))</f>
        <v/>
      </c>
      <c r="V861" s="24">
        <f>IF(OR($B861="",$G861="",$G861="لا توجد مشاهدات"),0,1)</f>
        <v/>
      </c>
      <c r="W861" s="24">
        <f>IF(AND($B861&lt;&gt;"",$I861="تم تحرير مخالفة"),1,0)</f>
        <v/>
      </c>
      <c r="X861" s="24">
        <f>IF($B861="","",IF($S861=WkStart,COUNTIF($S$5:$S861,WkStart),""))</f>
        <v/>
      </c>
    </row>
    <row r="862">
      <c r="A862" s="16">
        <f>IF($B862="","",ROW()-4)</f>
        <v/>
      </c>
      <c r="B862" s="17" t="n"/>
      <c r="C862" s="18" t="n"/>
      <c r="D862" s="18" t="n"/>
      <c r="E862" s="19" t="n"/>
      <c r="F862" s="19" t="n"/>
      <c r="G862" s="18" t="n"/>
      <c r="H862" s="18" t="n"/>
      <c r="I862" s="18" t="n"/>
      <c r="J862" s="20" t="n"/>
      <c r="K862" s="21" t="n"/>
      <c r="L862" s="21" t="n"/>
      <c r="M862" s="18" t="n"/>
      <c r="N862" s="22">
        <f>IF($B862="","",CHOOSE(WEEKDAY($B862),"الأحد","الاثنين","الثلاثاء","الأربعاء","الخميس","الجمعة","السبت"))</f>
        <v/>
      </c>
      <c r="O862" s="23">
        <f>IF(OR($K862="",$L862=""),"",HYPERLINK("https://maps.google.com/?q="&amp;$K862&amp;","&amp;$L862,"عرض الموقع"))</f>
        <v/>
      </c>
      <c r="P862" s="23">
        <f>IF(OR($B862="",N($J862)=0),"",HYPERLINK(PhotoDir&amp;"/"&amp;YEAR($B862)&amp;"-"&amp;TEXT(MONTH($B862),"00")&amp;"-"&amp;TEXT(DAY($B862),"00")&amp;"_"&amp;$D862,"فتح الصور ("&amp;$J862&amp;")"))</f>
        <v/>
      </c>
      <c r="Q862" s="24">
        <f>IF($B862="","",MONTH($B862))</f>
        <v/>
      </c>
      <c r="R862" s="24">
        <f>IF($B862="","",YEAR($B862))</f>
        <v/>
      </c>
      <c r="S862" s="25">
        <f>IF($B862="","",$B862-WEEKDAY($B862,3))</f>
        <v/>
      </c>
      <c r="T862" s="24">
        <f>IF($B862="",0,IF(COUNTIFS($B$5:$B862,$B862,$D$5:$D862,$D862)=1,1,0))</f>
        <v/>
      </c>
      <c r="U862" s="24">
        <f>IF($B862="",0,IF(COUNTIFS($B$5:$B862,$B862,$C$5:$C862,$C862)=1,1,0))</f>
        <v/>
      </c>
      <c r="V862" s="24">
        <f>IF(OR($B862="",$G862="",$G862="لا توجد مشاهدات"),0,1)</f>
        <v/>
      </c>
      <c r="W862" s="24">
        <f>IF(AND($B862&lt;&gt;"",$I862="تم تحرير مخالفة"),1,0)</f>
        <v/>
      </c>
      <c r="X862" s="24">
        <f>IF($B862="","",IF($S862=WkStart,COUNTIF($S$5:$S862,WkStart),""))</f>
        <v/>
      </c>
    </row>
    <row r="863">
      <c r="A863" s="16">
        <f>IF($B863="","",ROW()-4)</f>
        <v/>
      </c>
      <c r="B863" s="17" t="n"/>
      <c r="C863" s="18" t="n"/>
      <c r="D863" s="18" t="n"/>
      <c r="E863" s="19" t="n"/>
      <c r="F863" s="19" t="n"/>
      <c r="G863" s="18" t="n"/>
      <c r="H863" s="18" t="n"/>
      <c r="I863" s="18" t="n"/>
      <c r="J863" s="20" t="n"/>
      <c r="K863" s="21" t="n"/>
      <c r="L863" s="21" t="n"/>
      <c r="M863" s="18" t="n"/>
      <c r="N863" s="22">
        <f>IF($B863="","",CHOOSE(WEEKDAY($B863),"الأحد","الاثنين","الثلاثاء","الأربعاء","الخميس","الجمعة","السبت"))</f>
        <v/>
      </c>
      <c r="O863" s="23">
        <f>IF(OR($K863="",$L863=""),"",HYPERLINK("https://maps.google.com/?q="&amp;$K863&amp;","&amp;$L863,"عرض الموقع"))</f>
        <v/>
      </c>
      <c r="P863" s="23">
        <f>IF(OR($B863="",N($J863)=0),"",HYPERLINK(PhotoDir&amp;"/"&amp;YEAR($B863)&amp;"-"&amp;TEXT(MONTH($B863),"00")&amp;"-"&amp;TEXT(DAY($B863),"00")&amp;"_"&amp;$D863,"فتح الصور ("&amp;$J863&amp;")"))</f>
        <v/>
      </c>
      <c r="Q863" s="24">
        <f>IF($B863="","",MONTH($B863))</f>
        <v/>
      </c>
      <c r="R863" s="24">
        <f>IF($B863="","",YEAR($B863))</f>
        <v/>
      </c>
      <c r="S863" s="25">
        <f>IF($B863="","",$B863-WEEKDAY($B863,3))</f>
        <v/>
      </c>
      <c r="T863" s="24">
        <f>IF($B863="",0,IF(COUNTIFS($B$5:$B863,$B863,$D$5:$D863,$D863)=1,1,0))</f>
        <v/>
      </c>
      <c r="U863" s="24">
        <f>IF($B863="",0,IF(COUNTIFS($B$5:$B863,$B863,$C$5:$C863,$C863)=1,1,0))</f>
        <v/>
      </c>
      <c r="V863" s="24">
        <f>IF(OR($B863="",$G863="",$G863="لا توجد مشاهدات"),0,1)</f>
        <v/>
      </c>
      <c r="W863" s="24">
        <f>IF(AND($B863&lt;&gt;"",$I863="تم تحرير مخالفة"),1,0)</f>
        <v/>
      </c>
      <c r="X863" s="24">
        <f>IF($B863="","",IF($S863=WkStart,COUNTIF($S$5:$S863,WkStart),""))</f>
        <v/>
      </c>
    </row>
    <row r="864">
      <c r="A864" s="16">
        <f>IF($B864="","",ROW()-4)</f>
        <v/>
      </c>
      <c r="B864" s="17" t="n"/>
      <c r="C864" s="18" t="n"/>
      <c r="D864" s="18" t="n"/>
      <c r="E864" s="19" t="n"/>
      <c r="F864" s="19" t="n"/>
      <c r="G864" s="18" t="n"/>
      <c r="H864" s="18" t="n"/>
      <c r="I864" s="18" t="n"/>
      <c r="J864" s="20" t="n"/>
      <c r="K864" s="21" t="n"/>
      <c r="L864" s="21" t="n"/>
      <c r="M864" s="18" t="n"/>
      <c r="N864" s="22">
        <f>IF($B864="","",CHOOSE(WEEKDAY($B864),"الأحد","الاثنين","الثلاثاء","الأربعاء","الخميس","الجمعة","السبت"))</f>
        <v/>
      </c>
      <c r="O864" s="23">
        <f>IF(OR($K864="",$L864=""),"",HYPERLINK("https://maps.google.com/?q="&amp;$K864&amp;","&amp;$L864,"عرض الموقع"))</f>
        <v/>
      </c>
      <c r="P864" s="23">
        <f>IF(OR($B864="",N($J864)=0),"",HYPERLINK(PhotoDir&amp;"/"&amp;YEAR($B864)&amp;"-"&amp;TEXT(MONTH($B864),"00")&amp;"-"&amp;TEXT(DAY($B864),"00")&amp;"_"&amp;$D864,"فتح الصور ("&amp;$J864&amp;")"))</f>
        <v/>
      </c>
      <c r="Q864" s="24">
        <f>IF($B864="","",MONTH($B864))</f>
        <v/>
      </c>
      <c r="R864" s="24">
        <f>IF($B864="","",YEAR($B864))</f>
        <v/>
      </c>
      <c r="S864" s="25">
        <f>IF($B864="","",$B864-WEEKDAY($B864,3))</f>
        <v/>
      </c>
      <c r="T864" s="24">
        <f>IF($B864="",0,IF(COUNTIFS($B$5:$B864,$B864,$D$5:$D864,$D864)=1,1,0))</f>
        <v/>
      </c>
      <c r="U864" s="24">
        <f>IF($B864="",0,IF(COUNTIFS($B$5:$B864,$B864,$C$5:$C864,$C864)=1,1,0))</f>
        <v/>
      </c>
      <c r="V864" s="24">
        <f>IF(OR($B864="",$G864="",$G864="لا توجد مشاهدات"),0,1)</f>
        <v/>
      </c>
      <c r="W864" s="24">
        <f>IF(AND($B864&lt;&gt;"",$I864="تم تحرير مخالفة"),1,0)</f>
        <v/>
      </c>
      <c r="X864" s="24">
        <f>IF($B864="","",IF($S864=WkStart,COUNTIF($S$5:$S864,WkStart),""))</f>
        <v/>
      </c>
    </row>
    <row r="865">
      <c r="A865" s="16">
        <f>IF($B865="","",ROW()-4)</f>
        <v/>
      </c>
      <c r="B865" s="17" t="n"/>
      <c r="C865" s="18" t="n"/>
      <c r="D865" s="18" t="n"/>
      <c r="E865" s="19" t="n"/>
      <c r="F865" s="19" t="n"/>
      <c r="G865" s="18" t="n"/>
      <c r="H865" s="18" t="n"/>
      <c r="I865" s="18" t="n"/>
      <c r="J865" s="20" t="n"/>
      <c r="K865" s="21" t="n"/>
      <c r="L865" s="21" t="n"/>
      <c r="M865" s="18" t="n"/>
      <c r="N865" s="22">
        <f>IF($B865="","",CHOOSE(WEEKDAY($B865),"الأحد","الاثنين","الثلاثاء","الأربعاء","الخميس","الجمعة","السبت"))</f>
        <v/>
      </c>
      <c r="O865" s="23">
        <f>IF(OR($K865="",$L865=""),"",HYPERLINK("https://maps.google.com/?q="&amp;$K865&amp;","&amp;$L865,"عرض الموقع"))</f>
        <v/>
      </c>
      <c r="P865" s="23">
        <f>IF(OR($B865="",N($J865)=0),"",HYPERLINK(PhotoDir&amp;"/"&amp;YEAR($B865)&amp;"-"&amp;TEXT(MONTH($B865),"00")&amp;"-"&amp;TEXT(DAY($B865),"00")&amp;"_"&amp;$D865,"فتح الصور ("&amp;$J865&amp;")"))</f>
        <v/>
      </c>
      <c r="Q865" s="24">
        <f>IF($B865="","",MONTH($B865))</f>
        <v/>
      </c>
      <c r="R865" s="24">
        <f>IF($B865="","",YEAR($B865))</f>
        <v/>
      </c>
      <c r="S865" s="25">
        <f>IF($B865="","",$B865-WEEKDAY($B865,3))</f>
        <v/>
      </c>
      <c r="T865" s="24">
        <f>IF($B865="",0,IF(COUNTIFS($B$5:$B865,$B865,$D$5:$D865,$D865)=1,1,0))</f>
        <v/>
      </c>
      <c r="U865" s="24">
        <f>IF($B865="",0,IF(COUNTIFS($B$5:$B865,$B865,$C$5:$C865,$C865)=1,1,0))</f>
        <v/>
      </c>
      <c r="V865" s="24">
        <f>IF(OR($B865="",$G865="",$G865="لا توجد مشاهدات"),0,1)</f>
        <v/>
      </c>
      <c r="W865" s="24">
        <f>IF(AND($B865&lt;&gt;"",$I865="تم تحرير مخالفة"),1,0)</f>
        <v/>
      </c>
      <c r="X865" s="24">
        <f>IF($B865="","",IF($S865=WkStart,COUNTIF($S$5:$S865,WkStart),""))</f>
        <v/>
      </c>
    </row>
    <row r="866">
      <c r="A866" s="16">
        <f>IF($B866="","",ROW()-4)</f>
        <v/>
      </c>
      <c r="B866" s="17" t="n"/>
      <c r="C866" s="18" t="n"/>
      <c r="D866" s="18" t="n"/>
      <c r="E866" s="19" t="n"/>
      <c r="F866" s="19" t="n"/>
      <c r="G866" s="18" t="n"/>
      <c r="H866" s="18" t="n"/>
      <c r="I866" s="18" t="n"/>
      <c r="J866" s="20" t="n"/>
      <c r="K866" s="21" t="n"/>
      <c r="L866" s="21" t="n"/>
      <c r="M866" s="18" t="n"/>
      <c r="N866" s="22">
        <f>IF($B866="","",CHOOSE(WEEKDAY($B866),"الأحد","الاثنين","الثلاثاء","الأربعاء","الخميس","الجمعة","السبت"))</f>
        <v/>
      </c>
      <c r="O866" s="23">
        <f>IF(OR($K866="",$L866=""),"",HYPERLINK("https://maps.google.com/?q="&amp;$K866&amp;","&amp;$L866,"عرض الموقع"))</f>
        <v/>
      </c>
      <c r="P866" s="23">
        <f>IF(OR($B866="",N($J866)=0),"",HYPERLINK(PhotoDir&amp;"/"&amp;YEAR($B866)&amp;"-"&amp;TEXT(MONTH($B866),"00")&amp;"-"&amp;TEXT(DAY($B866),"00")&amp;"_"&amp;$D866,"فتح الصور ("&amp;$J866&amp;")"))</f>
        <v/>
      </c>
      <c r="Q866" s="24">
        <f>IF($B866="","",MONTH($B866))</f>
        <v/>
      </c>
      <c r="R866" s="24">
        <f>IF($B866="","",YEAR($B866))</f>
        <v/>
      </c>
      <c r="S866" s="25">
        <f>IF($B866="","",$B866-WEEKDAY($B866,3))</f>
        <v/>
      </c>
      <c r="T866" s="24">
        <f>IF($B866="",0,IF(COUNTIFS($B$5:$B866,$B866,$D$5:$D866,$D866)=1,1,0))</f>
        <v/>
      </c>
      <c r="U866" s="24">
        <f>IF($B866="",0,IF(COUNTIFS($B$5:$B866,$B866,$C$5:$C866,$C866)=1,1,0))</f>
        <v/>
      </c>
      <c r="V866" s="24">
        <f>IF(OR($B866="",$G866="",$G866="لا توجد مشاهدات"),0,1)</f>
        <v/>
      </c>
      <c r="W866" s="24">
        <f>IF(AND($B866&lt;&gt;"",$I866="تم تحرير مخالفة"),1,0)</f>
        <v/>
      </c>
      <c r="X866" s="24">
        <f>IF($B866="","",IF($S866=WkStart,COUNTIF($S$5:$S866,WkStart),""))</f>
        <v/>
      </c>
    </row>
    <row r="867">
      <c r="A867" s="16">
        <f>IF($B867="","",ROW()-4)</f>
        <v/>
      </c>
      <c r="B867" s="17" t="n"/>
      <c r="C867" s="18" t="n"/>
      <c r="D867" s="18" t="n"/>
      <c r="E867" s="19" t="n"/>
      <c r="F867" s="19" t="n"/>
      <c r="G867" s="18" t="n"/>
      <c r="H867" s="18" t="n"/>
      <c r="I867" s="18" t="n"/>
      <c r="J867" s="20" t="n"/>
      <c r="K867" s="21" t="n"/>
      <c r="L867" s="21" t="n"/>
      <c r="M867" s="18" t="n"/>
      <c r="N867" s="22">
        <f>IF($B867="","",CHOOSE(WEEKDAY($B867),"الأحد","الاثنين","الثلاثاء","الأربعاء","الخميس","الجمعة","السبت"))</f>
        <v/>
      </c>
      <c r="O867" s="23">
        <f>IF(OR($K867="",$L867=""),"",HYPERLINK("https://maps.google.com/?q="&amp;$K867&amp;","&amp;$L867,"عرض الموقع"))</f>
        <v/>
      </c>
      <c r="P867" s="23">
        <f>IF(OR($B867="",N($J867)=0),"",HYPERLINK(PhotoDir&amp;"/"&amp;YEAR($B867)&amp;"-"&amp;TEXT(MONTH($B867),"00")&amp;"-"&amp;TEXT(DAY($B867),"00")&amp;"_"&amp;$D867,"فتح الصور ("&amp;$J867&amp;")"))</f>
        <v/>
      </c>
      <c r="Q867" s="24">
        <f>IF($B867="","",MONTH($B867))</f>
        <v/>
      </c>
      <c r="R867" s="24">
        <f>IF($B867="","",YEAR($B867))</f>
        <v/>
      </c>
      <c r="S867" s="25">
        <f>IF($B867="","",$B867-WEEKDAY($B867,3))</f>
        <v/>
      </c>
      <c r="T867" s="24">
        <f>IF($B867="",0,IF(COUNTIFS($B$5:$B867,$B867,$D$5:$D867,$D867)=1,1,0))</f>
        <v/>
      </c>
      <c r="U867" s="24">
        <f>IF($B867="",0,IF(COUNTIFS($B$5:$B867,$B867,$C$5:$C867,$C867)=1,1,0))</f>
        <v/>
      </c>
      <c r="V867" s="24">
        <f>IF(OR($B867="",$G867="",$G867="لا توجد مشاهدات"),0,1)</f>
        <v/>
      </c>
      <c r="W867" s="24">
        <f>IF(AND($B867&lt;&gt;"",$I867="تم تحرير مخالفة"),1,0)</f>
        <v/>
      </c>
      <c r="X867" s="24">
        <f>IF($B867="","",IF($S867=WkStart,COUNTIF($S$5:$S867,WkStart),""))</f>
        <v/>
      </c>
    </row>
    <row r="868">
      <c r="A868" s="16">
        <f>IF($B868="","",ROW()-4)</f>
        <v/>
      </c>
      <c r="B868" s="17" t="n"/>
      <c r="C868" s="18" t="n"/>
      <c r="D868" s="18" t="n"/>
      <c r="E868" s="19" t="n"/>
      <c r="F868" s="19" t="n"/>
      <c r="G868" s="18" t="n"/>
      <c r="H868" s="18" t="n"/>
      <c r="I868" s="18" t="n"/>
      <c r="J868" s="20" t="n"/>
      <c r="K868" s="21" t="n"/>
      <c r="L868" s="21" t="n"/>
      <c r="M868" s="18" t="n"/>
      <c r="N868" s="22">
        <f>IF($B868="","",CHOOSE(WEEKDAY($B868),"الأحد","الاثنين","الثلاثاء","الأربعاء","الخميس","الجمعة","السبت"))</f>
        <v/>
      </c>
      <c r="O868" s="23">
        <f>IF(OR($K868="",$L868=""),"",HYPERLINK("https://maps.google.com/?q="&amp;$K868&amp;","&amp;$L868,"عرض الموقع"))</f>
        <v/>
      </c>
      <c r="P868" s="23">
        <f>IF(OR($B868="",N($J868)=0),"",HYPERLINK(PhotoDir&amp;"/"&amp;YEAR($B868)&amp;"-"&amp;TEXT(MONTH($B868),"00")&amp;"-"&amp;TEXT(DAY($B868),"00")&amp;"_"&amp;$D868,"فتح الصور ("&amp;$J868&amp;")"))</f>
        <v/>
      </c>
      <c r="Q868" s="24">
        <f>IF($B868="","",MONTH($B868))</f>
        <v/>
      </c>
      <c r="R868" s="24">
        <f>IF($B868="","",YEAR($B868))</f>
        <v/>
      </c>
      <c r="S868" s="25">
        <f>IF($B868="","",$B868-WEEKDAY($B868,3))</f>
        <v/>
      </c>
      <c r="T868" s="24">
        <f>IF($B868="",0,IF(COUNTIFS($B$5:$B868,$B868,$D$5:$D868,$D868)=1,1,0))</f>
        <v/>
      </c>
      <c r="U868" s="24">
        <f>IF($B868="",0,IF(COUNTIFS($B$5:$B868,$B868,$C$5:$C868,$C868)=1,1,0))</f>
        <v/>
      </c>
      <c r="V868" s="24">
        <f>IF(OR($B868="",$G868="",$G868="لا توجد مشاهدات"),0,1)</f>
        <v/>
      </c>
      <c r="W868" s="24">
        <f>IF(AND($B868&lt;&gt;"",$I868="تم تحرير مخالفة"),1,0)</f>
        <v/>
      </c>
      <c r="X868" s="24">
        <f>IF($B868="","",IF($S868=WkStart,COUNTIF($S$5:$S868,WkStart),""))</f>
        <v/>
      </c>
    </row>
    <row r="869">
      <c r="A869" s="16">
        <f>IF($B869="","",ROW()-4)</f>
        <v/>
      </c>
      <c r="B869" s="17" t="n"/>
      <c r="C869" s="18" t="n"/>
      <c r="D869" s="18" t="n"/>
      <c r="E869" s="19" t="n"/>
      <c r="F869" s="19" t="n"/>
      <c r="G869" s="18" t="n"/>
      <c r="H869" s="18" t="n"/>
      <c r="I869" s="18" t="n"/>
      <c r="J869" s="20" t="n"/>
      <c r="K869" s="21" t="n"/>
      <c r="L869" s="21" t="n"/>
      <c r="M869" s="18" t="n"/>
      <c r="N869" s="22">
        <f>IF($B869="","",CHOOSE(WEEKDAY($B869),"الأحد","الاثنين","الثلاثاء","الأربعاء","الخميس","الجمعة","السبت"))</f>
        <v/>
      </c>
      <c r="O869" s="23">
        <f>IF(OR($K869="",$L869=""),"",HYPERLINK("https://maps.google.com/?q="&amp;$K869&amp;","&amp;$L869,"عرض الموقع"))</f>
        <v/>
      </c>
      <c r="P869" s="23">
        <f>IF(OR($B869="",N($J869)=0),"",HYPERLINK(PhotoDir&amp;"/"&amp;YEAR($B869)&amp;"-"&amp;TEXT(MONTH($B869),"00")&amp;"-"&amp;TEXT(DAY($B869),"00")&amp;"_"&amp;$D869,"فتح الصور ("&amp;$J869&amp;")"))</f>
        <v/>
      </c>
      <c r="Q869" s="24">
        <f>IF($B869="","",MONTH($B869))</f>
        <v/>
      </c>
      <c r="R869" s="24">
        <f>IF($B869="","",YEAR($B869))</f>
        <v/>
      </c>
      <c r="S869" s="25">
        <f>IF($B869="","",$B869-WEEKDAY($B869,3))</f>
        <v/>
      </c>
      <c r="T869" s="24">
        <f>IF($B869="",0,IF(COUNTIFS($B$5:$B869,$B869,$D$5:$D869,$D869)=1,1,0))</f>
        <v/>
      </c>
      <c r="U869" s="24">
        <f>IF($B869="",0,IF(COUNTIFS($B$5:$B869,$B869,$C$5:$C869,$C869)=1,1,0))</f>
        <v/>
      </c>
      <c r="V869" s="24">
        <f>IF(OR($B869="",$G869="",$G869="لا توجد مشاهدات"),0,1)</f>
        <v/>
      </c>
      <c r="W869" s="24">
        <f>IF(AND($B869&lt;&gt;"",$I869="تم تحرير مخالفة"),1,0)</f>
        <v/>
      </c>
      <c r="X869" s="24">
        <f>IF($B869="","",IF($S869=WkStart,COUNTIF($S$5:$S869,WkStart),""))</f>
        <v/>
      </c>
    </row>
    <row r="870">
      <c r="A870" s="16">
        <f>IF($B870="","",ROW()-4)</f>
        <v/>
      </c>
      <c r="B870" s="17" t="n"/>
      <c r="C870" s="18" t="n"/>
      <c r="D870" s="18" t="n"/>
      <c r="E870" s="19" t="n"/>
      <c r="F870" s="19" t="n"/>
      <c r="G870" s="18" t="n"/>
      <c r="H870" s="18" t="n"/>
      <c r="I870" s="18" t="n"/>
      <c r="J870" s="20" t="n"/>
      <c r="K870" s="21" t="n"/>
      <c r="L870" s="21" t="n"/>
      <c r="M870" s="18" t="n"/>
      <c r="N870" s="22">
        <f>IF($B870="","",CHOOSE(WEEKDAY($B870),"الأحد","الاثنين","الثلاثاء","الأربعاء","الخميس","الجمعة","السبت"))</f>
        <v/>
      </c>
      <c r="O870" s="23">
        <f>IF(OR($K870="",$L870=""),"",HYPERLINK("https://maps.google.com/?q="&amp;$K870&amp;","&amp;$L870,"عرض الموقع"))</f>
        <v/>
      </c>
      <c r="P870" s="23">
        <f>IF(OR($B870="",N($J870)=0),"",HYPERLINK(PhotoDir&amp;"/"&amp;YEAR($B870)&amp;"-"&amp;TEXT(MONTH($B870),"00")&amp;"-"&amp;TEXT(DAY($B870),"00")&amp;"_"&amp;$D870,"فتح الصور ("&amp;$J870&amp;")"))</f>
        <v/>
      </c>
      <c r="Q870" s="24">
        <f>IF($B870="","",MONTH($B870))</f>
        <v/>
      </c>
      <c r="R870" s="24">
        <f>IF($B870="","",YEAR($B870))</f>
        <v/>
      </c>
      <c r="S870" s="25">
        <f>IF($B870="","",$B870-WEEKDAY($B870,3))</f>
        <v/>
      </c>
      <c r="T870" s="24">
        <f>IF($B870="",0,IF(COUNTIFS($B$5:$B870,$B870,$D$5:$D870,$D870)=1,1,0))</f>
        <v/>
      </c>
      <c r="U870" s="24">
        <f>IF($B870="",0,IF(COUNTIFS($B$5:$B870,$B870,$C$5:$C870,$C870)=1,1,0))</f>
        <v/>
      </c>
      <c r="V870" s="24">
        <f>IF(OR($B870="",$G870="",$G870="لا توجد مشاهدات"),0,1)</f>
        <v/>
      </c>
      <c r="W870" s="24">
        <f>IF(AND($B870&lt;&gt;"",$I870="تم تحرير مخالفة"),1,0)</f>
        <v/>
      </c>
      <c r="X870" s="24">
        <f>IF($B870="","",IF($S870=WkStart,COUNTIF($S$5:$S870,WkStart),""))</f>
        <v/>
      </c>
    </row>
    <row r="871">
      <c r="A871" s="16">
        <f>IF($B871="","",ROW()-4)</f>
        <v/>
      </c>
      <c r="B871" s="17" t="n"/>
      <c r="C871" s="18" t="n"/>
      <c r="D871" s="18" t="n"/>
      <c r="E871" s="19" t="n"/>
      <c r="F871" s="19" t="n"/>
      <c r="G871" s="18" t="n"/>
      <c r="H871" s="18" t="n"/>
      <c r="I871" s="18" t="n"/>
      <c r="J871" s="20" t="n"/>
      <c r="K871" s="21" t="n"/>
      <c r="L871" s="21" t="n"/>
      <c r="M871" s="18" t="n"/>
      <c r="N871" s="22">
        <f>IF($B871="","",CHOOSE(WEEKDAY($B871),"الأحد","الاثنين","الثلاثاء","الأربعاء","الخميس","الجمعة","السبت"))</f>
        <v/>
      </c>
      <c r="O871" s="23">
        <f>IF(OR($K871="",$L871=""),"",HYPERLINK("https://maps.google.com/?q="&amp;$K871&amp;","&amp;$L871,"عرض الموقع"))</f>
        <v/>
      </c>
      <c r="P871" s="23">
        <f>IF(OR($B871="",N($J871)=0),"",HYPERLINK(PhotoDir&amp;"/"&amp;YEAR($B871)&amp;"-"&amp;TEXT(MONTH($B871),"00")&amp;"-"&amp;TEXT(DAY($B871),"00")&amp;"_"&amp;$D871,"فتح الصور ("&amp;$J871&amp;")"))</f>
        <v/>
      </c>
      <c r="Q871" s="24">
        <f>IF($B871="","",MONTH($B871))</f>
        <v/>
      </c>
      <c r="R871" s="24">
        <f>IF($B871="","",YEAR($B871))</f>
        <v/>
      </c>
      <c r="S871" s="25">
        <f>IF($B871="","",$B871-WEEKDAY($B871,3))</f>
        <v/>
      </c>
      <c r="T871" s="24">
        <f>IF($B871="",0,IF(COUNTIFS($B$5:$B871,$B871,$D$5:$D871,$D871)=1,1,0))</f>
        <v/>
      </c>
      <c r="U871" s="24">
        <f>IF($B871="",0,IF(COUNTIFS($B$5:$B871,$B871,$C$5:$C871,$C871)=1,1,0))</f>
        <v/>
      </c>
      <c r="V871" s="24">
        <f>IF(OR($B871="",$G871="",$G871="لا توجد مشاهدات"),0,1)</f>
        <v/>
      </c>
      <c r="W871" s="24">
        <f>IF(AND($B871&lt;&gt;"",$I871="تم تحرير مخالفة"),1,0)</f>
        <v/>
      </c>
      <c r="X871" s="24">
        <f>IF($B871="","",IF($S871=WkStart,COUNTIF($S$5:$S871,WkStart),""))</f>
        <v/>
      </c>
    </row>
    <row r="872">
      <c r="A872" s="16">
        <f>IF($B872="","",ROW()-4)</f>
        <v/>
      </c>
      <c r="B872" s="17" t="n"/>
      <c r="C872" s="18" t="n"/>
      <c r="D872" s="18" t="n"/>
      <c r="E872" s="19" t="n"/>
      <c r="F872" s="19" t="n"/>
      <c r="G872" s="18" t="n"/>
      <c r="H872" s="18" t="n"/>
      <c r="I872" s="18" t="n"/>
      <c r="J872" s="20" t="n"/>
      <c r="K872" s="21" t="n"/>
      <c r="L872" s="21" t="n"/>
      <c r="M872" s="18" t="n"/>
      <c r="N872" s="22">
        <f>IF($B872="","",CHOOSE(WEEKDAY($B872),"الأحد","الاثنين","الثلاثاء","الأربعاء","الخميس","الجمعة","السبت"))</f>
        <v/>
      </c>
      <c r="O872" s="23">
        <f>IF(OR($K872="",$L872=""),"",HYPERLINK("https://maps.google.com/?q="&amp;$K872&amp;","&amp;$L872,"عرض الموقع"))</f>
        <v/>
      </c>
      <c r="P872" s="23">
        <f>IF(OR($B872="",N($J872)=0),"",HYPERLINK(PhotoDir&amp;"/"&amp;YEAR($B872)&amp;"-"&amp;TEXT(MONTH($B872),"00")&amp;"-"&amp;TEXT(DAY($B872),"00")&amp;"_"&amp;$D872,"فتح الصور ("&amp;$J872&amp;")"))</f>
        <v/>
      </c>
      <c r="Q872" s="24">
        <f>IF($B872="","",MONTH($B872))</f>
        <v/>
      </c>
      <c r="R872" s="24">
        <f>IF($B872="","",YEAR($B872))</f>
        <v/>
      </c>
      <c r="S872" s="25">
        <f>IF($B872="","",$B872-WEEKDAY($B872,3))</f>
        <v/>
      </c>
      <c r="T872" s="24">
        <f>IF($B872="",0,IF(COUNTIFS($B$5:$B872,$B872,$D$5:$D872,$D872)=1,1,0))</f>
        <v/>
      </c>
      <c r="U872" s="24">
        <f>IF($B872="",0,IF(COUNTIFS($B$5:$B872,$B872,$C$5:$C872,$C872)=1,1,0))</f>
        <v/>
      </c>
      <c r="V872" s="24">
        <f>IF(OR($B872="",$G872="",$G872="لا توجد مشاهدات"),0,1)</f>
        <v/>
      </c>
      <c r="W872" s="24">
        <f>IF(AND($B872&lt;&gt;"",$I872="تم تحرير مخالفة"),1,0)</f>
        <v/>
      </c>
      <c r="X872" s="24">
        <f>IF($B872="","",IF($S872=WkStart,COUNTIF($S$5:$S872,WkStart),""))</f>
        <v/>
      </c>
    </row>
    <row r="873">
      <c r="A873" s="16">
        <f>IF($B873="","",ROW()-4)</f>
        <v/>
      </c>
      <c r="B873" s="17" t="n"/>
      <c r="C873" s="18" t="n"/>
      <c r="D873" s="18" t="n"/>
      <c r="E873" s="19" t="n"/>
      <c r="F873" s="19" t="n"/>
      <c r="G873" s="18" t="n"/>
      <c r="H873" s="18" t="n"/>
      <c r="I873" s="18" t="n"/>
      <c r="J873" s="20" t="n"/>
      <c r="K873" s="21" t="n"/>
      <c r="L873" s="21" t="n"/>
      <c r="M873" s="18" t="n"/>
      <c r="N873" s="22">
        <f>IF($B873="","",CHOOSE(WEEKDAY($B873),"الأحد","الاثنين","الثلاثاء","الأربعاء","الخميس","الجمعة","السبت"))</f>
        <v/>
      </c>
      <c r="O873" s="23">
        <f>IF(OR($K873="",$L873=""),"",HYPERLINK("https://maps.google.com/?q="&amp;$K873&amp;","&amp;$L873,"عرض الموقع"))</f>
        <v/>
      </c>
      <c r="P873" s="23">
        <f>IF(OR($B873="",N($J873)=0),"",HYPERLINK(PhotoDir&amp;"/"&amp;YEAR($B873)&amp;"-"&amp;TEXT(MONTH($B873),"00")&amp;"-"&amp;TEXT(DAY($B873),"00")&amp;"_"&amp;$D873,"فتح الصور ("&amp;$J873&amp;")"))</f>
        <v/>
      </c>
      <c r="Q873" s="24">
        <f>IF($B873="","",MONTH($B873))</f>
        <v/>
      </c>
      <c r="R873" s="24">
        <f>IF($B873="","",YEAR($B873))</f>
        <v/>
      </c>
      <c r="S873" s="25">
        <f>IF($B873="","",$B873-WEEKDAY($B873,3))</f>
        <v/>
      </c>
      <c r="T873" s="24">
        <f>IF($B873="",0,IF(COUNTIFS($B$5:$B873,$B873,$D$5:$D873,$D873)=1,1,0))</f>
        <v/>
      </c>
      <c r="U873" s="24">
        <f>IF($B873="",0,IF(COUNTIFS($B$5:$B873,$B873,$C$5:$C873,$C873)=1,1,0))</f>
        <v/>
      </c>
      <c r="V873" s="24">
        <f>IF(OR($B873="",$G873="",$G873="لا توجد مشاهدات"),0,1)</f>
        <v/>
      </c>
      <c r="W873" s="24">
        <f>IF(AND($B873&lt;&gt;"",$I873="تم تحرير مخالفة"),1,0)</f>
        <v/>
      </c>
      <c r="X873" s="24">
        <f>IF($B873="","",IF($S873=WkStart,COUNTIF($S$5:$S873,WkStart),""))</f>
        <v/>
      </c>
    </row>
    <row r="874">
      <c r="A874" s="16">
        <f>IF($B874="","",ROW()-4)</f>
        <v/>
      </c>
      <c r="B874" s="17" t="n"/>
      <c r="C874" s="18" t="n"/>
      <c r="D874" s="18" t="n"/>
      <c r="E874" s="19" t="n"/>
      <c r="F874" s="19" t="n"/>
      <c r="G874" s="18" t="n"/>
      <c r="H874" s="18" t="n"/>
      <c r="I874" s="18" t="n"/>
      <c r="J874" s="20" t="n"/>
      <c r="K874" s="21" t="n"/>
      <c r="L874" s="21" t="n"/>
      <c r="M874" s="18" t="n"/>
      <c r="N874" s="22">
        <f>IF($B874="","",CHOOSE(WEEKDAY($B874),"الأحد","الاثنين","الثلاثاء","الأربعاء","الخميس","الجمعة","السبت"))</f>
        <v/>
      </c>
      <c r="O874" s="23">
        <f>IF(OR($K874="",$L874=""),"",HYPERLINK("https://maps.google.com/?q="&amp;$K874&amp;","&amp;$L874,"عرض الموقع"))</f>
        <v/>
      </c>
      <c r="P874" s="23">
        <f>IF(OR($B874="",N($J874)=0),"",HYPERLINK(PhotoDir&amp;"/"&amp;YEAR($B874)&amp;"-"&amp;TEXT(MONTH($B874),"00")&amp;"-"&amp;TEXT(DAY($B874),"00")&amp;"_"&amp;$D874,"فتح الصور ("&amp;$J874&amp;")"))</f>
        <v/>
      </c>
      <c r="Q874" s="24">
        <f>IF($B874="","",MONTH($B874))</f>
        <v/>
      </c>
      <c r="R874" s="24">
        <f>IF($B874="","",YEAR($B874))</f>
        <v/>
      </c>
      <c r="S874" s="25">
        <f>IF($B874="","",$B874-WEEKDAY($B874,3))</f>
        <v/>
      </c>
      <c r="T874" s="24">
        <f>IF($B874="",0,IF(COUNTIFS($B$5:$B874,$B874,$D$5:$D874,$D874)=1,1,0))</f>
        <v/>
      </c>
      <c r="U874" s="24">
        <f>IF($B874="",0,IF(COUNTIFS($B$5:$B874,$B874,$C$5:$C874,$C874)=1,1,0))</f>
        <v/>
      </c>
      <c r="V874" s="24">
        <f>IF(OR($B874="",$G874="",$G874="لا توجد مشاهدات"),0,1)</f>
        <v/>
      </c>
      <c r="W874" s="24">
        <f>IF(AND($B874&lt;&gt;"",$I874="تم تحرير مخالفة"),1,0)</f>
        <v/>
      </c>
      <c r="X874" s="24">
        <f>IF($B874="","",IF($S874=WkStart,COUNTIF($S$5:$S874,WkStart),""))</f>
        <v/>
      </c>
    </row>
    <row r="875">
      <c r="A875" s="16">
        <f>IF($B875="","",ROW()-4)</f>
        <v/>
      </c>
      <c r="B875" s="17" t="n"/>
      <c r="C875" s="18" t="n"/>
      <c r="D875" s="18" t="n"/>
      <c r="E875" s="19" t="n"/>
      <c r="F875" s="19" t="n"/>
      <c r="G875" s="18" t="n"/>
      <c r="H875" s="18" t="n"/>
      <c r="I875" s="18" t="n"/>
      <c r="J875" s="20" t="n"/>
      <c r="K875" s="21" t="n"/>
      <c r="L875" s="21" t="n"/>
      <c r="M875" s="18" t="n"/>
      <c r="N875" s="22">
        <f>IF($B875="","",CHOOSE(WEEKDAY($B875),"الأحد","الاثنين","الثلاثاء","الأربعاء","الخميس","الجمعة","السبت"))</f>
        <v/>
      </c>
      <c r="O875" s="23">
        <f>IF(OR($K875="",$L875=""),"",HYPERLINK("https://maps.google.com/?q="&amp;$K875&amp;","&amp;$L875,"عرض الموقع"))</f>
        <v/>
      </c>
      <c r="P875" s="23">
        <f>IF(OR($B875="",N($J875)=0),"",HYPERLINK(PhotoDir&amp;"/"&amp;YEAR($B875)&amp;"-"&amp;TEXT(MONTH($B875),"00")&amp;"-"&amp;TEXT(DAY($B875),"00")&amp;"_"&amp;$D875,"فتح الصور ("&amp;$J875&amp;")"))</f>
        <v/>
      </c>
      <c r="Q875" s="24">
        <f>IF($B875="","",MONTH($B875))</f>
        <v/>
      </c>
      <c r="R875" s="24">
        <f>IF($B875="","",YEAR($B875))</f>
        <v/>
      </c>
      <c r="S875" s="25">
        <f>IF($B875="","",$B875-WEEKDAY($B875,3))</f>
        <v/>
      </c>
      <c r="T875" s="24">
        <f>IF($B875="",0,IF(COUNTIFS($B$5:$B875,$B875,$D$5:$D875,$D875)=1,1,0))</f>
        <v/>
      </c>
      <c r="U875" s="24">
        <f>IF($B875="",0,IF(COUNTIFS($B$5:$B875,$B875,$C$5:$C875,$C875)=1,1,0))</f>
        <v/>
      </c>
      <c r="V875" s="24">
        <f>IF(OR($B875="",$G875="",$G875="لا توجد مشاهدات"),0,1)</f>
        <v/>
      </c>
      <c r="W875" s="24">
        <f>IF(AND($B875&lt;&gt;"",$I875="تم تحرير مخالفة"),1,0)</f>
        <v/>
      </c>
      <c r="X875" s="24">
        <f>IF($B875="","",IF($S875=WkStart,COUNTIF($S$5:$S875,WkStart),""))</f>
        <v/>
      </c>
    </row>
    <row r="876">
      <c r="A876" s="16">
        <f>IF($B876="","",ROW()-4)</f>
        <v/>
      </c>
      <c r="B876" s="17" t="n"/>
      <c r="C876" s="18" t="n"/>
      <c r="D876" s="18" t="n"/>
      <c r="E876" s="19" t="n"/>
      <c r="F876" s="19" t="n"/>
      <c r="G876" s="18" t="n"/>
      <c r="H876" s="18" t="n"/>
      <c r="I876" s="18" t="n"/>
      <c r="J876" s="20" t="n"/>
      <c r="K876" s="21" t="n"/>
      <c r="L876" s="21" t="n"/>
      <c r="M876" s="18" t="n"/>
      <c r="N876" s="22">
        <f>IF($B876="","",CHOOSE(WEEKDAY($B876),"الأحد","الاثنين","الثلاثاء","الأربعاء","الخميس","الجمعة","السبت"))</f>
        <v/>
      </c>
      <c r="O876" s="23">
        <f>IF(OR($K876="",$L876=""),"",HYPERLINK("https://maps.google.com/?q="&amp;$K876&amp;","&amp;$L876,"عرض الموقع"))</f>
        <v/>
      </c>
      <c r="P876" s="23">
        <f>IF(OR($B876="",N($J876)=0),"",HYPERLINK(PhotoDir&amp;"/"&amp;YEAR($B876)&amp;"-"&amp;TEXT(MONTH($B876),"00")&amp;"-"&amp;TEXT(DAY($B876),"00")&amp;"_"&amp;$D876,"فتح الصور ("&amp;$J876&amp;")"))</f>
        <v/>
      </c>
      <c r="Q876" s="24">
        <f>IF($B876="","",MONTH($B876))</f>
        <v/>
      </c>
      <c r="R876" s="24">
        <f>IF($B876="","",YEAR($B876))</f>
        <v/>
      </c>
      <c r="S876" s="25">
        <f>IF($B876="","",$B876-WEEKDAY($B876,3))</f>
        <v/>
      </c>
      <c r="T876" s="24">
        <f>IF($B876="",0,IF(COUNTIFS($B$5:$B876,$B876,$D$5:$D876,$D876)=1,1,0))</f>
        <v/>
      </c>
      <c r="U876" s="24">
        <f>IF($B876="",0,IF(COUNTIFS($B$5:$B876,$B876,$C$5:$C876,$C876)=1,1,0))</f>
        <v/>
      </c>
      <c r="V876" s="24">
        <f>IF(OR($B876="",$G876="",$G876="لا توجد مشاهدات"),0,1)</f>
        <v/>
      </c>
      <c r="W876" s="24">
        <f>IF(AND($B876&lt;&gt;"",$I876="تم تحرير مخالفة"),1,0)</f>
        <v/>
      </c>
      <c r="X876" s="24">
        <f>IF($B876="","",IF($S876=WkStart,COUNTIF($S$5:$S876,WkStart),""))</f>
        <v/>
      </c>
    </row>
    <row r="877">
      <c r="A877" s="16">
        <f>IF($B877="","",ROW()-4)</f>
        <v/>
      </c>
      <c r="B877" s="17" t="n"/>
      <c r="C877" s="18" t="n"/>
      <c r="D877" s="18" t="n"/>
      <c r="E877" s="19" t="n"/>
      <c r="F877" s="19" t="n"/>
      <c r="G877" s="18" t="n"/>
      <c r="H877" s="18" t="n"/>
      <c r="I877" s="18" t="n"/>
      <c r="J877" s="20" t="n"/>
      <c r="K877" s="21" t="n"/>
      <c r="L877" s="21" t="n"/>
      <c r="M877" s="18" t="n"/>
      <c r="N877" s="22">
        <f>IF($B877="","",CHOOSE(WEEKDAY($B877),"الأحد","الاثنين","الثلاثاء","الأربعاء","الخميس","الجمعة","السبت"))</f>
        <v/>
      </c>
      <c r="O877" s="23">
        <f>IF(OR($K877="",$L877=""),"",HYPERLINK("https://maps.google.com/?q="&amp;$K877&amp;","&amp;$L877,"عرض الموقع"))</f>
        <v/>
      </c>
      <c r="P877" s="23">
        <f>IF(OR($B877="",N($J877)=0),"",HYPERLINK(PhotoDir&amp;"/"&amp;YEAR($B877)&amp;"-"&amp;TEXT(MONTH($B877),"00")&amp;"-"&amp;TEXT(DAY($B877),"00")&amp;"_"&amp;$D877,"فتح الصور ("&amp;$J877&amp;")"))</f>
        <v/>
      </c>
      <c r="Q877" s="24">
        <f>IF($B877="","",MONTH($B877))</f>
        <v/>
      </c>
      <c r="R877" s="24">
        <f>IF($B877="","",YEAR($B877))</f>
        <v/>
      </c>
      <c r="S877" s="25">
        <f>IF($B877="","",$B877-WEEKDAY($B877,3))</f>
        <v/>
      </c>
      <c r="T877" s="24">
        <f>IF($B877="",0,IF(COUNTIFS($B$5:$B877,$B877,$D$5:$D877,$D877)=1,1,0))</f>
        <v/>
      </c>
      <c r="U877" s="24">
        <f>IF($B877="",0,IF(COUNTIFS($B$5:$B877,$B877,$C$5:$C877,$C877)=1,1,0))</f>
        <v/>
      </c>
      <c r="V877" s="24">
        <f>IF(OR($B877="",$G877="",$G877="لا توجد مشاهدات"),0,1)</f>
        <v/>
      </c>
      <c r="W877" s="24">
        <f>IF(AND($B877&lt;&gt;"",$I877="تم تحرير مخالفة"),1,0)</f>
        <v/>
      </c>
      <c r="X877" s="24">
        <f>IF($B877="","",IF($S877=WkStart,COUNTIF($S$5:$S877,WkStart),""))</f>
        <v/>
      </c>
    </row>
    <row r="878">
      <c r="A878" s="16">
        <f>IF($B878="","",ROW()-4)</f>
        <v/>
      </c>
      <c r="B878" s="17" t="n"/>
      <c r="C878" s="18" t="n"/>
      <c r="D878" s="18" t="n"/>
      <c r="E878" s="19" t="n"/>
      <c r="F878" s="19" t="n"/>
      <c r="G878" s="18" t="n"/>
      <c r="H878" s="18" t="n"/>
      <c r="I878" s="18" t="n"/>
      <c r="J878" s="20" t="n"/>
      <c r="K878" s="21" t="n"/>
      <c r="L878" s="21" t="n"/>
      <c r="M878" s="18" t="n"/>
      <c r="N878" s="22">
        <f>IF($B878="","",CHOOSE(WEEKDAY($B878),"الأحد","الاثنين","الثلاثاء","الأربعاء","الخميس","الجمعة","السبت"))</f>
        <v/>
      </c>
      <c r="O878" s="23">
        <f>IF(OR($K878="",$L878=""),"",HYPERLINK("https://maps.google.com/?q="&amp;$K878&amp;","&amp;$L878,"عرض الموقع"))</f>
        <v/>
      </c>
      <c r="P878" s="23">
        <f>IF(OR($B878="",N($J878)=0),"",HYPERLINK(PhotoDir&amp;"/"&amp;YEAR($B878)&amp;"-"&amp;TEXT(MONTH($B878),"00")&amp;"-"&amp;TEXT(DAY($B878),"00")&amp;"_"&amp;$D878,"فتح الصور ("&amp;$J878&amp;")"))</f>
        <v/>
      </c>
      <c r="Q878" s="24">
        <f>IF($B878="","",MONTH($B878))</f>
        <v/>
      </c>
      <c r="R878" s="24">
        <f>IF($B878="","",YEAR($B878))</f>
        <v/>
      </c>
      <c r="S878" s="25">
        <f>IF($B878="","",$B878-WEEKDAY($B878,3))</f>
        <v/>
      </c>
      <c r="T878" s="24">
        <f>IF($B878="",0,IF(COUNTIFS($B$5:$B878,$B878,$D$5:$D878,$D878)=1,1,0))</f>
        <v/>
      </c>
      <c r="U878" s="24">
        <f>IF($B878="",0,IF(COUNTIFS($B$5:$B878,$B878,$C$5:$C878,$C878)=1,1,0))</f>
        <v/>
      </c>
      <c r="V878" s="24">
        <f>IF(OR($B878="",$G878="",$G878="لا توجد مشاهدات"),0,1)</f>
        <v/>
      </c>
      <c r="W878" s="24">
        <f>IF(AND($B878&lt;&gt;"",$I878="تم تحرير مخالفة"),1,0)</f>
        <v/>
      </c>
      <c r="X878" s="24">
        <f>IF($B878="","",IF($S878=WkStart,COUNTIF($S$5:$S878,WkStart),""))</f>
        <v/>
      </c>
    </row>
    <row r="879">
      <c r="A879" s="16">
        <f>IF($B879="","",ROW()-4)</f>
        <v/>
      </c>
      <c r="B879" s="17" t="n"/>
      <c r="C879" s="18" t="n"/>
      <c r="D879" s="18" t="n"/>
      <c r="E879" s="19" t="n"/>
      <c r="F879" s="19" t="n"/>
      <c r="G879" s="18" t="n"/>
      <c r="H879" s="18" t="n"/>
      <c r="I879" s="18" t="n"/>
      <c r="J879" s="20" t="n"/>
      <c r="K879" s="21" t="n"/>
      <c r="L879" s="21" t="n"/>
      <c r="M879" s="18" t="n"/>
      <c r="N879" s="22">
        <f>IF($B879="","",CHOOSE(WEEKDAY($B879),"الأحد","الاثنين","الثلاثاء","الأربعاء","الخميس","الجمعة","السبت"))</f>
        <v/>
      </c>
      <c r="O879" s="23">
        <f>IF(OR($K879="",$L879=""),"",HYPERLINK("https://maps.google.com/?q="&amp;$K879&amp;","&amp;$L879,"عرض الموقع"))</f>
        <v/>
      </c>
      <c r="P879" s="23">
        <f>IF(OR($B879="",N($J879)=0),"",HYPERLINK(PhotoDir&amp;"/"&amp;YEAR($B879)&amp;"-"&amp;TEXT(MONTH($B879),"00")&amp;"-"&amp;TEXT(DAY($B879),"00")&amp;"_"&amp;$D879,"فتح الصور ("&amp;$J879&amp;")"))</f>
        <v/>
      </c>
      <c r="Q879" s="24">
        <f>IF($B879="","",MONTH($B879))</f>
        <v/>
      </c>
      <c r="R879" s="24">
        <f>IF($B879="","",YEAR($B879))</f>
        <v/>
      </c>
      <c r="S879" s="25">
        <f>IF($B879="","",$B879-WEEKDAY($B879,3))</f>
        <v/>
      </c>
      <c r="T879" s="24">
        <f>IF($B879="",0,IF(COUNTIFS($B$5:$B879,$B879,$D$5:$D879,$D879)=1,1,0))</f>
        <v/>
      </c>
      <c r="U879" s="24">
        <f>IF($B879="",0,IF(COUNTIFS($B$5:$B879,$B879,$C$5:$C879,$C879)=1,1,0))</f>
        <v/>
      </c>
      <c r="V879" s="24">
        <f>IF(OR($B879="",$G879="",$G879="لا توجد مشاهدات"),0,1)</f>
        <v/>
      </c>
      <c r="W879" s="24">
        <f>IF(AND($B879&lt;&gt;"",$I879="تم تحرير مخالفة"),1,0)</f>
        <v/>
      </c>
      <c r="X879" s="24">
        <f>IF($B879="","",IF($S879=WkStart,COUNTIF($S$5:$S879,WkStart),""))</f>
        <v/>
      </c>
    </row>
    <row r="880">
      <c r="A880" s="16">
        <f>IF($B880="","",ROW()-4)</f>
        <v/>
      </c>
      <c r="B880" s="17" t="n"/>
      <c r="C880" s="18" t="n"/>
      <c r="D880" s="18" t="n"/>
      <c r="E880" s="19" t="n"/>
      <c r="F880" s="19" t="n"/>
      <c r="G880" s="18" t="n"/>
      <c r="H880" s="18" t="n"/>
      <c r="I880" s="18" t="n"/>
      <c r="J880" s="20" t="n"/>
      <c r="K880" s="21" t="n"/>
      <c r="L880" s="21" t="n"/>
      <c r="M880" s="18" t="n"/>
      <c r="N880" s="22">
        <f>IF($B880="","",CHOOSE(WEEKDAY($B880),"الأحد","الاثنين","الثلاثاء","الأربعاء","الخميس","الجمعة","السبت"))</f>
        <v/>
      </c>
      <c r="O880" s="23">
        <f>IF(OR($K880="",$L880=""),"",HYPERLINK("https://maps.google.com/?q="&amp;$K880&amp;","&amp;$L880,"عرض الموقع"))</f>
        <v/>
      </c>
      <c r="P880" s="23">
        <f>IF(OR($B880="",N($J880)=0),"",HYPERLINK(PhotoDir&amp;"/"&amp;YEAR($B880)&amp;"-"&amp;TEXT(MONTH($B880),"00")&amp;"-"&amp;TEXT(DAY($B880),"00")&amp;"_"&amp;$D880,"فتح الصور ("&amp;$J880&amp;")"))</f>
        <v/>
      </c>
      <c r="Q880" s="24">
        <f>IF($B880="","",MONTH($B880))</f>
        <v/>
      </c>
      <c r="R880" s="24">
        <f>IF($B880="","",YEAR($B880))</f>
        <v/>
      </c>
      <c r="S880" s="25">
        <f>IF($B880="","",$B880-WEEKDAY($B880,3))</f>
        <v/>
      </c>
      <c r="T880" s="24">
        <f>IF($B880="",0,IF(COUNTIFS($B$5:$B880,$B880,$D$5:$D880,$D880)=1,1,0))</f>
        <v/>
      </c>
      <c r="U880" s="24">
        <f>IF($B880="",0,IF(COUNTIFS($B$5:$B880,$B880,$C$5:$C880,$C880)=1,1,0))</f>
        <v/>
      </c>
      <c r="V880" s="24">
        <f>IF(OR($B880="",$G880="",$G880="لا توجد مشاهدات"),0,1)</f>
        <v/>
      </c>
      <c r="W880" s="24">
        <f>IF(AND($B880&lt;&gt;"",$I880="تم تحرير مخالفة"),1,0)</f>
        <v/>
      </c>
      <c r="X880" s="24">
        <f>IF($B880="","",IF($S880=WkStart,COUNTIF($S$5:$S880,WkStart),""))</f>
        <v/>
      </c>
    </row>
    <row r="881">
      <c r="A881" s="16">
        <f>IF($B881="","",ROW()-4)</f>
        <v/>
      </c>
      <c r="B881" s="17" t="n"/>
      <c r="C881" s="18" t="n"/>
      <c r="D881" s="18" t="n"/>
      <c r="E881" s="19" t="n"/>
      <c r="F881" s="19" t="n"/>
      <c r="G881" s="18" t="n"/>
      <c r="H881" s="18" t="n"/>
      <c r="I881" s="18" t="n"/>
      <c r="J881" s="20" t="n"/>
      <c r="K881" s="21" t="n"/>
      <c r="L881" s="21" t="n"/>
      <c r="M881" s="18" t="n"/>
      <c r="N881" s="22">
        <f>IF($B881="","",CHOOSE(WEEKDAY($B881),"الأحد","الاثنين","الثلاثاء","الأربعاء","الخميس","الجمعة","السبت"))</f>
        <v/>
      </c>
      <c r="O881" s="23">
        <f>IF(OR($K881="",$L881=""),"",HYPERLINK("https://maps.google.com/?q="&amp;$K881&amp;","&amp;$L881,"عرض الموقع"))</f>
        <v/>
      </c>
      <c r="P881" s="23">
        <f>IF(OR($B881="",N($J881)=0),"",HYPERLINK(PhotoDir&amp;"/"&amp;YEAR($B881)&amp;"-"&amp;TEXT(MONTH($B881),"00")&amp;"-"&amp;TEXT(DAY($B881),"00")&amp;"_"&amp;$D881,"فتح الصور ("&amp;$J881&amp;")"))</f>
        <v/>
      </c>
      <c r="Q881" s="24">
        <f>IF($B881="","",MONTH($B881))</f>
        <v/>
      </c>
      <c r="R881" s="24">
        <f>IF($B881="","",YEAR($B881))</f>
        <v/>
      </c>
      <c r="S881" s="25">
        <f>IF($B881="","",$B881-WEEKDAY($B881,3))</f>
        <v/>
      </c>
      <c r="T881" s="24">
        <f>IF($B881="",0,IF(COUNTIFS($B$5:$B881,$B881,$D$5:$D881,$D881)=1,1,0))</f>
        <v/>
      </c>
      <c r="U881" s="24">
        <f>IF($B881="",0,IF(COUNTIFS($B$5:$B881,$B881,$C$5:$C881,$C881)=1,1,0))</f>
        <v/>
      </c>
      <c r="V881" s="24">
        <f>IF(OR($B881="",$G881="",$G881="لا توجد مشاهدات"),0,1)</f>
        <v/>
      </c>
      <c r="W881" s="24">
        <f>IF(AND($B881&lt;&gt;"",$I881="تم تحرير مخالفة"),1,0)</f>
        <v/>
      </c>
      <c r="X881" s="24">
        <f>IF($B881="","",IF($S881=WkStart,COUNTIF($S$5:$S881,WkStart),""))</f>
        <v/>
      </c>
    </row>
    <row r="882">
      <c r="A882" s="16">
        <f>IF($B882="","",ROW()-4)</f>
        <v/>
      </c>
      <c r="B882" s="17" t="n"/>
      <c r="C882" s="18" t="n"/>
      <c r="D882" s="18" t="n"/>
      <c r="E882" s="19" t="n"/>
      <c r="F882" s="19" t="n"/>
      <c r="G882" s="18" t="n"/>
      <c r="H882" s="18" t="n"/>
      <c r="I882" s="18" t="n"/>
      <c r="J882" s="20" t="n"/>
      <c r="K882" s="21" t="n"/>
      <c r="L882" s="21" t="n"/>
      <c r="M882" s="18" t="n"/>
      <c r="N882" s="22">
        <f>IF($B882="","",CHOOSE(WEEKDAY($B882),"الأحد","الاثنين","الثلاثاء","الأربعاء","الخميس","الجمعة","السبت"))</f>
        <v/>
      </c>
      <c r="O882" s="23">
        <f>IF(OR($K882="",$L882=""),"",HYPERLINK("https://maps.google.com/?q="&amp;$K882&amp;","&amp;$L882,"عرض الموقع"))</f>
        <v/>
      </c>
      <c r="P882" s="23">
        <f>IF(OR($B882="",N($J882)=0),"",HYPERLINK(PhotoDir&amp;"/"&amp;YEAR($B882)&amp;"-"&amp;TEXT(MONTH($B882),"00")&amp;"-"&amp;TEXT(DAY($B882),"00")&amp;"_"&amp;$D882,"فتح الصور ("&amp;$J882&amp;")"))</f>
        <v/>
      </c>
      <c r="Q882" s="24">
        <f>IF($B882="","",MONTH($B882))</f>
        <v/>
      </c>
      <c r="R882" s="24">
        <f>IF($B882="","",YEAR($B882))</f>
        <v/>
      </c>
      <c r="S882" s="25">
        <f>IF($B882="","",$B882-WEEKDAY($B882,3))</f>
        <v/>
      </c>
      <c r="T882" s="24">
        <f>IF($B882="",0,IF(COUNTIFS($B$5:$B882,$B882,$D$5:$D882,$D882)=1,1,0))</f>
        <v/>
      </c>
      <c r="U882" s="24">
        <f>IF($B882="",0,IF(COUNTIFS($B$5:$B882,$B882,$C$5:$C882,$C882)=1,1,0))</f>
        <v/>
      </c>
      <c r="V882" s="24">
        <f>IF(OR($B882="",$G882="",$G882="لا توجد مشاهدات"),0,1)</f>
        <v/>
      </c>
      <c r="W882" s="24">
        <f>IF(AND($B882&lt;&gt;"",$I882="تم تحرير مخالفة"),1,0)</f>
        <v/>
      </c>
      <c r="X882" s="24">
        <f>IF($B882="","",IF($S882=WkStart,COUNTIF($S$5:$S882,WkStart),""))</f>
        <v/>
      </c>
    </row>
    <row r="883">
      <c r="A883" s="16">
        <f>IF($B883="","",ROW()-4)</f>
        <v/>
      </c>
      <c r="B883" s="17" t="n"/>
      <c r="C883" s="18" t="n"/>
      <c r="D883" s="18" t="n"/>
      <c r="E883" s="19" t="n"/>
      <c r="F883" s="19" t="n"/>
      <c r="G883" s="18" t="n"/>
      <c r="H883" s="18" t="n"/>
      <c r="I883" s="18" t="n"/>
      <c r="J883" s="20" t="n"/>
      <c r="K883" s="21" t="n"/>
      <c r="L883" s="21" t="n"/>
      <c r="M883" s="18" t="n"/>
      <c r="N883" s="22">
        <f>IF($B883="","",CHOOSE(WEEKDAY($B883),"الأحد","الاثنين","الثلاثاء","الأربعاء","الخميس","الجمعة","السبت"))</f>
        <v/>
      </c>
      <c r="O883" s="23">
        <f>IF(OR($K883="",$L883=""),"",HYPERLINK("https://maps.google.com/?q="&amp;$K883&amp;","&amp;$L883,"عرض الموقع"))</f>
        <v/>
      </c>
      <c r="P883" s="23">
        <f>IF(OR($B883="",N($J883)=0),"",HYPERLINK(PhotoDir&amp;"/"&amp;YEAR($B883)&amp;"-"&amp;TEXT(MONTH($B883),"00")&amp;"-"&amp;TEXT(DAY($B883),"00")&amp;"_"&amp;$D883,"فتح الصور ("&amp;$J883&amp;")"))</f>
        <v/>
      </c>
      <c r="Q883" s="24">
        <f>IF($B883="","",MONTH($B883))</f>
        <v/>
      </c>
      <c r="R883" s="24">
        <f>IF($B883="","",YEAR($B883))</f>
        <v/>
      </c>
      <c r="S883" s="25">
        <f>IF($B883="","",$B883-WEEKDAY($B883,3))</f>
        <v/>
      </c>
      <c r="T883" s="24">
        <f>IF($B883="",0,IF(COUNTIFS($B$5:$B883,$B883,$D$5:$D883,$D883)=1,1,0))</f>
        <v/>
      </c>
      <c r="U883" s="24">
        <f>IF($B883="",0,IF(COUNTIFS($B$5:$B883,$B883,$C$5:$C883,$C883)=1,1,0))</f>
        <v/>
      </c>
      <c r="V883" s="24">
        <f>IF(OR($B883="",$G883="",$G883="لا توجد مشاهدات"),0,1)</f>
        <v/>
      </c>
      <c r="W883" s="24">
        <f>IF(AND($B883&lt;&gt;"",$I883="تم تحرير مخالفة"),1,0)</f>
        <v/>
      </c>
      <c r="X883" s="24">
        <f>IF($B883="","",IF($S883=WkStart,COUNTIF($S$5:$S883,WkStart),""))</f>
        <v/>
      </c>
    </row>
    <row r="884">
      <c r="A884" s="16">
        <f>IF($B884="","",ROW()-4)</f>
        <v/>
      </c>
      <c r="B884" s="17" t="n"/>
      <c r="C884" s="18" t="n"/>
      <c r="D884" s="18" t="n"/>
      <c r="E884" s="19" t="n"/>
      <c r="F884" s="19" t="n"/>
      <c r="G884" s="18" t="n"/>
      <c r="H884" s="18" t="n"/>
      <c r="I884" s="18" t="n"/>
      <c r="J884" s="20" t="n"/>
      <c r="K884" s="21" t="n"/>
      <c r="L884" s="21" t="n"/>
      <c r="M884" s="18" t="n"/>
      <c r="N884" s="22">
        <f>IF($B884="","",CHOOSE(WEEKDAY($B884),"الأحد","الاثنين","الثلاثاء","الأربعاء","الخميس","الجمعة","السبت"))</f>
        <v/>
      </c>
      <c r="O884" s="23">
        <f>IF(OR($K884="",$L884=""),"",HYPERLINK("https://maps.google.com/?q="&amp;$K884&amp;","&amp;$L884,"عرض الموقع"))</f>
        <v/>
      </c>
      <c r="P884" s="23">
        <f>IF(OR($B884="",N($J884)=0),"",HYPERLINK(PhotoDir&amp;"/"&amp;YEAR($B884)&amp;"-"&amp;TEXT(MONTH($B884),"00")&amp;"-"&amp;TEXT(DAY($B884),"00")&amp;"_"&amp;$D884,"فتح الصور ("&amp;$J884&amp;")"))</f>
        <v/>
      </c>
      <c r="Q884" s="24">
        <f>IF($B884="","",MONTH($B884))</f>
        <v/>
      </c>
      <c r="R884" s="24">
        <f>IF($B884="","",YEAR($B884))</f>
        <v/>
      </c>
      <c r="S884" s="25">
        <f>IF($B884="","",$B884-WEEKDAY($B884,3))</f>
        <v/>
      </c>
      <c r="T884" s="24">
        <f>IF($B884="",0,IF(COUNTIFS($B$5:$B884,$B884,$D$5:$D884,$D884)=1,1,0))</f>
        <v/>
      </c>
      <c r="U884" s="24">
        <f>IF($B884="",0,IF(COUNTIFS($B$5:$B884,$B884,$C$5:$C884,$C884)=1,1,0))</f>
        <v/>
      </c>
      <c r="V884" s="24">
        <f>IF(OR($B884="",$G884="",$G884="لا توجد مشاهدات"),0,1)</f>
        <v/>
      </c>
      <c r="W884" s="24">
        <f>IF(AND($B884&lt;&gt;"",$I884="تم تحرير مخالفة"),1,0)</f>
        <v/>
      </c>
      <c r="X884" s="24">
        <f>IF($B884="","",IF($S884=WkStart,COUNTIF($S$5:$S884,WkStart),""))</f>
        <v/>
      </c>
    </row>
    <row r="885">
      <c r="A885" s="16">
        <f>IF($B885="","",ROW()-4)</f>
        <v/>
      </c>
      <c r="B885" s="17" t="n"/>
      <c r="C885" s="18" t="n"/>
      <c r="D885" s="18" t="n"/>
      <c r="E885" s="19" t="n"/>
      <c r="F885" s="19" t="n"/>
      <c r="G885" s="18" t="n"/>
      <c r="H885" s="18" t="n"/>
      <c r="I885" s="18" t="n"/>
      <c r="J885" s="20" t="n"/>
      <c r="K885" s="21" t="n"/>
      <c r="L885" s="21" t="n"/>
      <c r="M885" s="18" t="n"/>
      <c r="N885" s="22">
        <f>IF($B885="","",CHOOSE(WEEKDAY($B885),"الأحد","الاثنين","الثلاثاء","الأربعاء","الخميس","الجمعة","السبت"))</f>
        <v/>
      </c>
      <c r="O885" s="23">
        <f>IF(OR($K885="",$L885=""),"",HYPERLINK("https://maps.google.com/?q="&amp;$K885&amp;","&amp;$L885,"عرض الموقع"))</f>
        <v/>
      </c>
      <c r="P885" s="23">
        <f>IF(OR($B885="",N($J885)=0),"",HYPERLINK(PhotoDir&amp;"/"&amp;YEAR($B885)&amp;"-"&amp;TEXT(MONTH($B885),"00")&amp;"-"&amp;TEXT(DAY($B885),"00")&amp;"_"&amp;$D885,"فتح الصور ("&amp;$J885&amp;")"))</f>
        <v/>
      </c>
      <c r="Q885" s="24">
        <f>IF($B885="","",MONTH($B885))</f>
        <v/>
      </c>
      <c r="R885" s="24">
        <f>IF($B885="","",YEAR($B885))</f>
        <v/>
      </c>
      <c r="S885" s="25">
        <f>IF($B885="","",$B885-WEEKDAY($B885,3))</f>
        <v/>
      </c>
      <c r="T885" s="24">
        <f>IF($B885="",0,IF(COUNTIFS($B$5:$B885,$B885,$D$5:$D885,$D885)=1,1,0))</f>
        <v/>
      </c>
      <c r="U885" s="24">
        <f>IF($B885="",0,IF(COUNTIFS($B$5:$B885,$B885,$C$5:$C885,$C885)=1,1,0))</f>
        <v/>
      </c>
      <c r="V885" s="24">
        <f>IF(OR($B885="",$G885="",$G885="لا توجد مشاهدات"),0,1)</f>
        <v/>
      </c>
      <c r="W885" s="24">
        <f>IF(AND($B885&lt;&gt;"",$I885="تم تحرير مخالفة"),1,0)</f>
        <v/>
      </c>
      <c r="X885" s="24">
        <f>IF($B885="","",IF($S885=WkStart,COUNTIF($S$5:$S885,WkStart),""))</f>
        <v/>
      </c>
    </row>
    <row r="886">
      <c r="A886" s="16">
        <f>IF($B886="","",ROW()-4)</f>
        <v/>
      </c>
      <c r="B886" s="17" t="n"/>
      <c r="C886" s="18" t="n"/>
      <c r="D886" s="18" t="n"/>
      <c r="E886" s="19" t="n"/>
      <c r="F886" s="19" t="n"/>
      <c r="G886" s="18" t="n"/>
      <c r="H886" s="18" t="n"/>
      <c r="I886" s="18" t="n"/>
      <c r="J886" s="20" t="n"/>
      <c r="K886" s="21" t="n"/>
      <c r="L886" s="21" t="n"/>
      <c r="M886" s="18" t="n"/>
      <c r="N886" s="22">
        <f>IF($B886="","",CHOOSE(WEEKDAY($B886),"الأحد","الاثنين","الثلاثاء","الأربعاء","الخميس","الجمعة","السبت"))</f>
        <v/>
      </c>
      <c r="O886" s="23">
        <f>IF(OR($K886="",$L886=""),"",HYPERLINK("https://maps.google.com/?q="&amp;$K886&amp;","&amp;$L886,"عرض الموقع"))</f>
        <v/>
      </c>
      <c r="P886" s="23">
        <f>IF(OR($B886="",N($J886)=0),"",HYPERLINK(PhotoDir&amp;"/"&amp;YEAR($B886)&amp;"-"&amp;TEXT(MONTH($B886),"00")&amp;"-"&amp;TEXT(DAY($B886),"00")&amp;"_"&amp;$D886,"فتح الصور ("&amp;$J886&amp;")"))</f>
        <v/>
      </c>
      <c r="Q886" s="24">
        <f>IF($B886="","",MONTH($B886))</f>
        <v/>
      </c>
      <c r="R886" s="24">
        <f>IF($B886="","",YEAR($B886))</f>
        <v/>
      </c>
      <c r="S886" s="25">
        <f>IF($B886="","",$B886-WEEKDAY($B886,3))</f>
        <v/>
      </c>
      <c r="T886" s="24">
        <f>IF($B886="",0,IF(COUNTIFS($B$5:$B886,$B886,$D$5:$D886,$D886)=1,1,0))</f>
        <v/>
      </c>
      <c r="U886" s="24">
        <f>IF($B886="",0,IF(COUNTIFS($B$5:$B886,$B886,$C$5:$C886,$C886)=1,1,0))</f>
        <v/>
      </c>
      <c r="V886" s="24">
        <f>IF(OR($B886="",$G886="",$G886="لا توجد مشاهدات"),0,1)</f>
        <v/>
      </c>
      <c r="W886" s="24">
        <f>IF(AND($B886&lt;&gt;"",$I886="تم تحرير مخالفة"),1,0)</f>
        <v/>
      </c>
      <c r="X886" s="24">
        <f>IF($B886="","",IF($S886=WkStart,COUNTIF($S$5:$S886,WkStart),""))</f>
        <v/>
      </c>
    </row>
    <row r="887">
      <c r="A887" s="16">
        <f>IF($B887="","",ROW()-4)</f>
        <v/>
      </c>
      <c r="B887" s="17" t="n"/>
      <c r="C887" s="18" t="n"/>
      <c r="D887" s="18" t="n"/>
      <c r="E887" s="19" t="n"/>
      <c r="F887" s="19" t="n"/>
      <c r="G887" s="18" t="n"/>
      <c r="H887" s="18" t="n"/>
      <c r="I887" s="18" t="n"/>
      <c r="J887" s="20" t="n"/>
      <c r="K887" s="21" t="n"/>
      <c r="L887" s="21" t="n"/>
      <c r="M887" s="18" t="n"/>
      <c r="N887" s="22">
        <f>IF($B887="","",CHOOSE(WEEKDAY($B887),"الأحد","الاثنين","الثلاثاء","الأربعاء","الخميس","الجمعة","السبت"))</f>
        <v/>
      </c>
      <c r="O887" s="23">
        <f>IF(OR($K887="",$L887=""),"",HYPERLINK("https://maps.google.com/?q="&amp;$K887&amp;","&amp;$L887,"عرض الموقع"))</f>
        <v/>
      </c>
      <c r="P887" s="23">
        <f>IF(OR($B887="",N($J887)=0),"",HYPERLINK(PhotoDir&amp;"/"&amp;YEAR($B887)&amp;"-"&amp;TEXT(MONTH($B887),"00")&amp;"-"&amp;TEXT(DAY($B887),"00")&amp;"_"&amp;$D887,"فتح الصور ("&amp;$J887&amp;")"))</f>
        <v/>
      </c>
      <c r="Q887" s="24">
        <f>IF($B887="","",MONTH($B887))</f>
        <v/>
      </c>
      <c r="R887" s="24">
        <f>IF($B887="","",YEAR($B887))</f>
        <v/>
      </c>
      <c r="S887" s="25">
        <f>IF($B887="","",$B887-WEEKDAY($B887,3))</f>
        <v/>
      </c>
      <c r="T887" s="24">
        <f>IF($B887="",0,IF(COUNTIFS($B$5:$B887,$B887,$D$5:$D887,$D887)=1,1,0))</f>
        <v/>
      </c>
      <c r="U887" s="24">
        <f>IF($B887="",0,IF(COUNTIFS($B$5:$B887,$B887,$C$5:$C887,$C887)=1,1,0))</f>
        <v/>
      </c>
      <c r="V887" s="24">
        <f>IF(OR($B887="",$G887="",$G887="لا توجد مشاهدات"),0,1)</f>
        <v/>
      </c>
      <c r="W887" s="24">
        <f>IF(AND($B887&lt;&gt;"",$I887="تم تحرير مخالفة"),1,0)</f>
        <v/>
      </c>
      <c r="X887" s="24">
        <f>IF($B887="","",IF($S887=WkStart,COUNTIF($S$5:$S887,WkStart),""))</f>
        <v/>
      </c>
    </row>
    <row r="888">
      <c r="A888" s="16">
        <f>IF($B888="","",ROW()-4)</f>
        <v/>
      </c>
      <c r="B888" s="17" t="n"/>
      <c r="C888" s="18" t="n"/>
      <c r="D888" s="18" t="n"/>
      <c r="E888" s="19" t="n"/>
      <c r="F888" s="19" t="n"/>
      <c r="G888" s="18" t="n"/>
      <c r="H888" s="18" t="n"/>
      <c r="I888" s="18" t="n"/>
      <c r="J888" s="20" t="n"/>
      <c r="K888" s="21" t="n"/>
      <c r="L888" s="21" t="n"/>
      <c r="M888" s="18" t="n"/>
      <c r="N888" s="22">
        <f>IF($B888="","",CHOOSE(WEEKDAY($B888),"الأحد","الاثنين","الثلاثاء","الأربعاء","الخميس","الجمعة","السبت"))</f>
        <v/>
      </c>
      <c r="O888" s="23">
        <f>IF(OR($K888="",$L888=""),"",HYPERLINK("https://maps.google.com/?q="&amp;$K888&amp;","&amp;$L888,"عرض الموقع"))</f>
        <v/>
      </c>
      <c r="P888" s="23">
        <f>IF(OR($B888="",N($J888)=0),"",HYPERLINK(PhotoDir&amp;"/"&amp;YEAR($B888)&amp;"-"&amp;TEXT(MONTH($B888),"00")&amp;"-"&amp;TEXT(DAY($B888),"00")&amp;"_"&amp;$D888,"فتح الصور ("&amp;$J888&amp;")"))</f>
        <v/>
      </c>
      <c r="Q888" s="24">
        <f>IF($B888="","",MONTH($B888))</f>
        <v/>
      </c>
      <c r="R888" s="24">
        <f>IF($B888="","",YEAR($B888))</f>
        <v/>
      </c>
      <c r="S888" s="25">
        <f>IF($B888="","",$B888-WEEKDAY($B888,3))</f>
        <v/>
      </c>
      <c r="T888" s="24">
        <f>IF($B888="",0,IF(COUNTIFS($B$5:$B888,$B888,$D$5:$D888,$D888)=1,1,0))</f>
        <v/>
      </c>
      <c r="U888" s="24">
        <f>IF($B888="",0,IF(COUNTIFS($B$5:$B888,$B888,$C$5:$C888,$C888)=1,1,0))</f>
        <v/>
      </c>
      <c r="V888" s="24">
        <f>IF(OR($B888="",$G888="",$G888="لا توجد مشاهدات"),0,1)</f>
        <v/>
      </c>
      <c r="W888" s="24">
        <f>IF(AND($B888&lt;&gt;"",$I888="تم تحرير مخالفة"),1,0)</f>
        <v/>
      </c>
      <c r="X888" s="24">
        <f>IF($B888="","",IF($S888=WkStart,COUNTIF($S$5:$S888,WkStart),""))</f>
        <v/>
      </c>
    </row>
    <row r="889">
      <c r="A889" s="16">
        <f>IF($B889="","",ROW()-4)</f>
        <v/>
      </c>
      <c r="B889" s="17" t="n"/>
      <c r="C889" s="18" t="n"/>
      <c r="D889" s="18" t="n"/>
      <c r="E889" s="19" t="n"/>
      <c r="F889" s="19" t="n"/>
      <c r="G889" s="18" t="n"/>
      <c r="H889" s="18" t="n"/>
      <c r="I889" s="18" t="n"/>
      <c r="J889" s="20" t="n"/>
      <c r="K889" s="21" t="n"/>
      <c r="L889" s="21" t="n"/>
      <c r="M889" s="18" t="n"/>
      <c r="N889" s="22">
        <f>IF($B889="","",CHOOSE(WEEKDAY($B889),"الأحد","الاثنين","الثلاثاء","الأربعاء","الخميس","الجمعة","السبت"))</f>
        <v/>
      </c>
      <c r="O889" s="23">
        <f>IF(OR($K889="",$L889=""),"",HYPERLINK("https://maps.google.com/?q="&amp;$K889&amp;","&amp;$L889,"عرض الموقع"))</f>
        <v/>
      </c>
      <c r="P889" s="23">
        <f>IF(OR($B889="",N($J889)=0),"",HYPERLINK(PhotoDir&amp;"/"&amp;YEAR($B889)&amp;"-"&amp;TEXT(MONTH($B889),"00")&amp;"-"&amp;TEXT(DAY($B889),"00")&amp;"_"&amp;$D889,"فتح الصور ("&amp;$J889&amp;")"))</f>
        <v/>
      </c>
      <c r="Q889" s="24">
        <f>IF($B889="","",MONTH($B889))</f>
        <v/>
      </c>
      <c r="R889" s="24">
        <f>IF($B889="","",YEAR($B889))</f>
        <v/>
      </c>
      <c r="S889" s="25">
        <f>IF($B889="","",$B889-WEEKDAY($B889,3))</f>
        <v/>
      </c>
      <c r="T889" s="24">
        <f>IF($B889="",0,IF(COUNTIFS($B$5:$B889,$B889,$D$5:$D889,$D889)=1,1,0))</f>
        <v/>
      </c>
      <c r="U889" s="24">
        <f>IF($B889="",0,IF(COUNTIFS($B$5:$B889,$B889,$C$5:$C889,$C889)=1,1,0))</f>
        <v/>
      </c>
      <c r="V889" s="24">
        <f>IF(OR($B889="",$G889="",$G889="لا توجد مشاهدات"),0,1)</f>
        <v/>
      </c>
      <c r="W889" s="24">
        <f>IF(AND($B889&lt;&gt;"",$I889="تم تحرير مخالفة"),1,0)</f>
        <v/>
      </c>
      <c r="X889" s="24">
        <f>IF($B889="","",IF($S889=WkStart,COUNTIF($S$5:$S889,WkStart),""))</f>
        <v/>
      </c>
    </row>
    <row r="890">
      <c r="A890" s="16">
        <f>IF($B890="","",ROW()-4)</f>
        <v/>
      </c>
      <c r="B890" s="17" t="n"/>
      <c r="C890" s="18" t="n"/>
      <c r="D890" s="18" t="n"/>
      <c r="E890" s="19" t="n"/>
      <c r="F890" s="19" t="n"/>
      <c r="G890" s="18" t="n"/>
      <c r="H890" s="18" t="n"/>
      <c r="I890" s="18" t="n"/>
      <c r="J890" s="20" t="n"/>
      <c r="K890" s="21" t="n"/>
      <c r="L890" s="21" t="n"/>
      <c r="M890" s="18" t="n"/>
      <c r="N890" s="22">
        <f>IF($B890="","",CHOOSE(WEEKDAY($B890),"الأحد","الاثنين","الثلاثاء","الأربعاء","الخميس","الجمعة","السبت"))</f>
        <v/>
      </c>
      <c r="O890" s="23">
        <f>IF(OR($K890="",$L890=""),"",HYPERLINK("https://maps.google.com/?q="&amp;$K890&amp;","&amp;$L890,"عرض الموقع"))</f>
        <v/>
      </c>
      <c r="P890" s="23">
        <f>IF(OR($B890="",N($J890)=0),"",HYPERLINK(PhotoDir&amp;"/"&amp;YEAR($B890)&amp;"-"&amp;TEXT(MONTH($B890),"00")&amp;"-"&amp;TEXT(DAY($B890),"00")&amp;"_"&amp;$D890,"فتح الصور ("&amp;$J890&amp;")"))</f>
        <v/>
      </c>
      <c r="Q890" s="24">
        <f>IF($B890="","",MONTH($B890))</f>
        <v/>
      </c>
      <c r="R890" s="24">
        <f>IF($B890="","",YEAR($B890))</f>
        <v/>
      </c>
      <c r="S890" s="25">
        <f>IF($B890="","",$B890-WEEKDAY($B890,3))</f>
        <v/>
      </c>
      <c r="T890" s="24">
        <f>IF($B890="",0,IF(COUNTIFS($B$5:$B890,$B890,$D$5:$D890,$D890)=1,1,0))</f>
        <v/>
      </c>
      <c r="U890" s="24">
        <f>IF($B890="",0,IF(COUNTIFS($B$5:$B890,$B890,$C$5:$C890,$C890)=1,1,0))</f>
        <v/>
      </c>
      <c r="V890" s="24">
        <f>IF(OR($B890="",$G890="",$G890="لا توجد مشاهدات"),0,1)</f>
        <v/>
      </c>
      <c r="W890" s="24">
        <f>IF(AND($B890&lt;&gt;"",$I890="تم تحرير مخالفة"),1,0)</f>
        <v/>
      </c>
      <c r="X890" s="24">
        <f>IF($B890="","",IF($S890=WkStart,COUNTIF($S$5:$S890,WkStart),""))</f>
        <v/>
      </c>
    </row>
    <row r="891">
      <c r="A891" s="16">
        <f>IF($B891="","",ROW()-4)</f>
        <v/>
      </c>
      <c r="B891" s="17" t="n"/>
      <c r="C891" s="18" t="n"/>
      <c r="D891" s="18" t="n"/>
      <c r="E891" s="19" t="n"/>
      <c r="F891" s="19" t="n"/>
      <c r="G891" s="18" t="n"/>
      <c r="H891" s="18" t="n"/>
      <c r="I891" s="18" t="n"/>
      <c r="J891" s="20" t="n"/>
      <c r="K891" s="21" t="n"/>
      <c r="L891" s="21" t="n"/>
      <c r="M891" s="18" t="n"/>
      <c r="N891" s="22">
        <f>IF($B891="","",CHOOSE(WEEKDAY($B891),"الأحد","الاثنين","الثلاثاء","الأربعاء","الخميس","الجمعة","السبت"))</f>
        <v/>
      </c>
      <c r="O891" s="23">
        <f>IF(OR($K891="",$L891=""),"",HYPERLINK("https://maps.google.com/?q="&amp;$K891&amp;","&amp;$L891,"عرض الموقع"))</f>
        <v/>
      </c>
      <c r="P891" s="23">
        <f>IF(OR($B891="",N($J891)=0),"",HYPERLINK(PhotoDir&amp;"/"&amp;YEAR($B891)&amp;"-"&amp;TEXT(MONTH($B891),"00")&amp;"-"&amp;TEXT(DAY($B891),"00")&amp;"_"&amp;$D891,"فتح الصور ("&amp;$J891&amp;")"))</f>
        <v/>
      </c>
      <c r="Q891" s="24">
        <f>IF($B891="","",MONTH($B891))</f>
        <v/>
      </c>
      <c r="R891" s="24">
        <f>IF($B891="","",YEAR($B891))</f>
        <v/>
      </c>
      <c r="S891" s="25">
        <f>IF($B891="","",$B891-WEEKDAY($B891,3))</f>
        <v/>
      </c>
      <c r="T891" s="24">
        <f>IF($B891="",0,IF(COUNTIFS($B$5:$B891,$B891,$D$5:$D891,$D891)=1,1,0))</f>
        <v/>
      </c>
      <c r="U891" s="24">
        <f>IF($B891="",0,IF(COUNTIFS($B$5:$B891,$B891,$C$5:$C891,$C891)=1,1,0))</f>
        <v/>
      </c>
      <c r="V891" s="24">
        <f>IF(OR($B891="",$G891="",$G891="لا توجد مشاهدات"),0,1)</f>
        <v/>
      </c>
      <c r="W891" s="24">
        <f>IF(AND($B891&lt;&gt;"",$I891="تم تحرير مخالفة"),1,0)</f>
        <v/>
      </c>
      <c r="X891" s="24">
        <f>IF($B891="","",IF($S891=WkStart,COUNTIF($S$5:$S891,WkStart),""))</f>
        <v/>
      </c>
    </row>
    <row r="892">
      <c r="A892" s="16">
        <f>IF($B892="","",ROW()-4)</f>
        <v/>
      </c>
      <c r="B892" s="17" t="n"/>
      <c r="C892" s="18" t="n"/>
      <c r="D892" s="18" t="n"/>
      <c r="E892" s="19" t="n"/>
      <c r="F892" s="19" t="n"/>
      <c r="G892" s="18" t="n"/>
      <c r="H892" s="18" t="n"/>
      <c r="I892" s="18" t="n"/>
      <c r="J892" s="20" t="n"/>
      <c r="K892" s="21" t="n"/>
      <c r="L892" s="21" t="n"/>
      <c r="M892" s="18" t="n"/>
      <c r="N892" s="22">
        <f>IF($B892="","",CHOOSE(WEEKDAY($B892),"الأحد","الاثنين","الثلاثاء","الأربعاء","الخميس","الجمعة","السبت"))</f>
        <v/>
      </c>
      <c r="O892" s="23">
        <f>IF(OR($K892="",$L892=""),"",HYPERLINK("https://maps.google.com/?q="&amp;$K892&amp;","&amp;$L892,"عرض الموقع"))</f>
        <v/>
      </c>
      <c r="P892" s="23">
        <f>IF(OR($B892="",N($J892)=0),"",HYPERLINK(PhotoDir&amp;"/"&amp;YEAR($B892)&amp;"-"&amp;TEXT(MONTH($B892),"00")&amp;"-"&amp;TEXT(DAY($B892),"00")&amp;"_"&amp;$D892,"فتح الصور ("&amp;$J892&amp;")"))</f>
        <v/>
      </c>
      <c r="Q892" s="24">
        <f>IF($B892="","",MONTH($B892))</f>
        <v/>
      </c>
      <c r="R892" s="24">
        <f>IF($B892="","",YEAR($B892))</f>
        <v/>
      </c>
      <c r="S892" s="25">
        <f>IF($B892="","",$B892-WEEKDAY($B892,3))</f>
        <v/>
      </c>
      <c r="T892" s="24">
        <f>IF($B892="",0,IF(COUNTIFS($B$5:$B892,$B892,$D$5:$D892,$D892)=1,1,0))</f>
        <v/>
      </c>
      <c r="U892" s="24">
        <f>IF($B892="",0,IF(COUNTIFS($B$5:$B892,$B892,$C$5:$C892,$C892)=1,1,0))</f>
        <v/>
      </c>
      <c r="V892" s="24">
        <f>IF(OR($B892="",$G892="",$G892="لا توجد مشاهدات"),0,1)</f>
        <v/>
      </c>
      <c r="W892" s="24">
        <f>IF(AND($B892&lt;&gt;"",$I892="تم تحرير مخالفة"),1,0)</f>
        <v/>
      </c>
      <c r="X892" s="24">
        <f>IF($B892="","",IF($S892=WkStart,COUNTIF($S$5:$S892,WkStart),""))</f>
        <v/>
      </c>
    </row>
    <row r="893">
      <c r="A893" s="16">
        <f>IF($B893="","",ROW()-4)</f>
        <v/>
      </c>
      <c r="B893" s="17" t="n"/>
      <c r="C893" s="18" t="n"/>
      <c r="D893" s="18" t="n"/>
      <c r="E893" s="19" t="n"/>
      <c r="F893" s="19" t="n"/>
      <c r="G893" s="18" t="n"/>
      <c r="H893" s="18" t="n"/>
      <c r="I893" s="18" t="n"/>
      <c r="J893" s="20" t="n"/>
      <c r="K893" s="21" t="n"/>
      <c r="L893" s="21" t="n"/>
      <c r="M893" s="18" t="n"/>
      <c r="N893" s="22">
        <f>IF($B893="","",CHOOSE(WEEKDAY($B893),"الأحد","الاثنين","الثلاثاء","الأربعاء","الخميس","الجمعة","السبت"))</f>
        <v/>
      </c>
      <c r="O893" s="23">
        <f>IF(OR($K893="",$L893=""),"",HYPERLINK("https://maps.google.com/?q="&amp;$K893&amp;","&amp;$L893,"عرض الموقع"))</f>
        <v/>
      </c>
      <c r="P893" s="23">
        <f>IF(OR($B893="",N($J893)=0),"",HYPERLINK(PhotoDir&amp;"/"&amp;YEAR($B893)&amp;"-"&amp;TEXT(MONTH($B893),"00")&amp;"-"&amp;TEXT(DAY($B893),"00")&amp;"_"&amp;$D893,"فتح الصور ("&amp;$J893&amp;")"))</f>
        <v/>
      </c>
      <c r="Q893" s="24">
        <f>IF($B893="","",MONTH($B893))</f>
        <v/>
      </c>
      <c r="R893" s="24">
        <f>IF($B893="","",YEAR($B893))</f>
        <v/>
      </c>
      <c r="S893" s="25">
        <f>IF($B893="","",$B893-WEEKDAY($B893,3))</f>
        <v/>
      </c>
      <c r="T893" s="24">
        <f>IF($B893="",0,IF(COUNTIFS($B$5:$B893,$B893,$D$5:$D893,$D893)=1,1,0))</f>
        <v/>
      </c>
      <c r="U893" s="24">
        <f>IF($B893="",0,IF(COUNTIFS($B$5:$B893,$B893,$C$5:$C893,$C893)=1,1,0))</f>
        <v/>
      </c>
      <c r="V893" s="24">
        <f>IF(OR($B893="",$G893="",$G893="لا توجد مشاهدات"),0,1)</f>
        <v/>
      </c>
      <c r="W893" s="24">
        <f>IF(AND($B893&lt;&gt;"",$I893="تم تحرير مخالفة"),1,0)</f>
        <v/>
      </c>
      <c r="X893" s="24">
        <f>IF($B893="","",IF($S893=WkStart,COUNTIF($S$5:$S893,WkStart),""))</f>
        <v/>
      </c>
    </row>
    <row r="894">
      <c r="A894" s="16">
        <f>IF($B894="","",ROW()-4)</f>
        <v/>
      </c>
      <c r="B894" s="17" t="n"/>
      <c r="C894" s="18" t="n"/>
      <c r="D894" s="18" t="n"/>
      <c r="E894" s="19" t="n"/>
      <c r="F894" s="19" t="n"/>
      <c r="G894" s="18" t="n"/>
      <c r="H894" s="18" t="n"/>
      <c r="I894" s="18" t="n"/>
      <c r="J894" s="20" t="n"/>
      <c r="K894" s="21" t="n"/>
      <c r="L894" s="21" t="n"/>
      <c r="M894" s="18" t="n"/>
      <c r="N894" s="22">
        <f>IF($B894="","",CHOOSE(WEEKDAY($B894),"الأحد","الاثنين","الثلاثاء","الأربعاء","الخميس","الجمعة","السبت"))</f>
        <v/>
      </c>
      <c r="O894" s="23">
        <f>IF(OR($K894="",$L894=""),"",HYPERLINK("https://maps.google.com/?q="&amp;$K894&amp;","&amp;$L894,"عرض الموقع"))</f>
        <v/>
      </c>
      <c r="P894" s="23">
        <f>IF(OR($B894="",N($J894)=0),"",HYPERLINK(PhotoDir&amp;"/"&amp;YEAR($B894)&amp;"-"&amp;TEXT(MONTH($B894),"00")&amp;"-"&amp;TEXT(DAY($B894),"00")&amp;"_"&amp;$D894,"فتح الصور ("&amp;$J894&amp;")"))</f>
        <v/>
      </c>
      <c r="Q894" s="24">
        <f>IF($B894="","",MONTH($B894))</f>
        <v/>
      </c>
      <c r="R894" s="24">
        <f>IF($B894="","",YEAR($B894))</f>
        <v/>
      </c>
      <c r="S894" s="25">
        <f>IF($B894="","",$B894-WEEKDAY($B894,3))</f>
        <v/>
      </c>
      <c r="T894" s="24">
        <f>IF($B894="",0,IF(COUNTIFS($B$5:$B894,$B894,$D$5:$D894,$D894)=1,1,0))</f>
        <v/>
      </c>
      <c r="U894" s="24">
        <f>IF($B894="",0,IF(COUNTIFS($B$5:$B894,$B894,$C$5:$C894,$C894)=1,1,0))</f>
        <v/>
      </c>
      <c r="V894" s="24">
        <f>IF(OR($B894="",$G894="",$G894="لا توجد مشاهدات"),0,1)</f>
        <v/>
      </c>
      <c r="W894" s="24">
        <f>IF(AND($B894&lt;&gt;"",$I894="تم تحرير مخالفة"),1,0)</f>
        <v/>
      </c>
      <c r="X894" s="24">
        <f>IF($B894="","",IF($S894=WkStart,COUNTIF($S$5:$S894,WkStart),""))</f>
        <v/>
      </c>
    </row>
    <row r="895">
      <c r="A895" s="16">
        <f>IF($B895="","",ROW()-4)</f>
        <v/>
      </c>
      <c r="B895" s="17" t="n"/>
      <c r="C895" s="18" t="n"/>
      <c r="D895" s="18" t="n"/>
      <c r="E895" s="19" t="n"/>
      <c r="F895" s="19" t="n"/>
      <c r="G895" s="18" t="n"/>
      <c r="H895" s="18" t="n"/>
      <c r="I895" s="18" t="n"/>
      <c r="J895" s="20" t="n"/>
      <c r="K895" s="21" t="n"/>
      <c r="L895" s="21" t="n"/>
      <c r="M895" s="18" t="n"/>
      <c r="N895" s="22">
        <f>IF($B895="","",CHOOSE(WEEKDAY($B895),"الأحد","الاثنين","الثلاثاء","الأربعاء","الخميس","الجمعة","السبت"))</f>
        <v/>
      </c>
      <c r="O895" s="23">
        <f>IF(OR($K895="",$L895=""),"",HYPERLINK("https://maps.google.com/?q="&amp;$K895&amp;","&amp;$L895,"عرض الموقع"))</f>
        <v/>
      </c>
      <c r="P895" s="23">
        <f>IF(OR($B895="",N($J895)=0),"",HYPERLINK(PhotoDir&amp;"/"&amp;YEAR($B895)&amp;"-"&amp;TEXT(MONTH($B895),"00")&amp;"-"&amp;TEXT(DAY($B895),"00")&amp;"_"&amp;$D895,"فتح الصور ("&amp;$J895&amp;")"))</f>
        <v/>
      </c>
      <c r="Q895" s="24">
        <f>IF($B895="","",MONTH($B895))</f>
        <v/>
      </c>
      <c r="R895" s="24">
        <f>IF($B895="","",YEAR($B895))</f>
        <v/>
      </c>
      <c r="S895" s="25">
        <f>IF($B895="","",$B895-WEEKDAY($B895,3))</f>
        <v/>
      </c>
      <c r="T895" s="24">
        <f>IF($B895="",0,IF(COUNTIFS($B$5:$B895,$B895,$D$5:$D895,$D895)=1,1,0))</f>
        <v/>
      </c>
      <c r="U895" s="24">
        <f>IF($B895="",0,IF(COUNTIFS($B$5:$B895,$B895,$C$5:$C895,$C895)=1,1,0))</f>
        <v/>
      </c>
      <c r="V895" s="24">
        <f>IF(OR($B895="",$G895="",$G895="لا توجد مشاهدات"),0,1)</f>
        <v/>
      </c>
      <c r="W895" s="24">
        <f>IF(AND($B895&lt;&gt;"",$I895="تم تحرير مخالفة"),1,0)</f>
        <v/>
      </c>
      <c r="X895" s="24">
        <f>IF($B895="","",IF($S895=WkStart,COUNTIF($S$5:$S895,WkStart),""))</f>
        <v/>
      </c>
    </row>
    <row r="896">
      <c r="A896" s="16">
        <f>IF($B896="","",ROW()-4)</f>
        <v/>
      </c>
      <c r="B896" s="17" t="n"/>
      <c r="C896" s="18" t="n"/>
      <c r="D896" s="18" t="n"/>
      <c r="E896" s="19" t="n"/>
      <c r="F896" s="19" t="n"/>
      <c r="G896" s="18" t="n"/>
      <c r="H896" s="18" t="n"/>
      <c r="I896" s="18" t="n"/>
      <c r="J896" s="20" t="n"/>
      <c r="K896" s="21" t="n"/>
      <c r="L896" s="21" t="n"/>
      <c r="M896" s="18" t="n"/>
      <c r="N896" s="22">
        <f>IF($B896="","",CHOOSE(WEEKDAY($B896),"الأحد","الاثنين","الثلاثاء","الأربعاء","الخميس","الجمعة","السبت"))</f>
        <v/>
      </c>
      <c r="O896" s="23">
        <f>IF(OR($K896="",$L896=""),"",HYPERLINK("https://maps.google.com/?q="&amp;$K896&amp;","&amp;$L896,"عرض الموقع"))</f>
        <v/>
      </c>
      <c r="P896" s="23">
        <f>IF(OR($B896="",N($J896)=0),"",HYPERLINK(PhotoDir&amp;"/"&amp;YEAR($B896)&amp;"-"&amp;TEXT(MONTH($B896),"00")&amp;"-"&amp;TEXT(DAY($B896),"00")&amp;"_"&amp;$D896,"فتح الصور ("&amp;$J896&amp;")"))</f>
        <v/>
      </c>
      <c r="Q896" s="24">
        <f>IF($B896="","",MONTH($B896))</f>
        <v/>
      </c>
      <c r="R896" s="24">
        <f>IF($B896="","",YEAR($B896))</f>
        <v/>
      </c>
      <c r="S896" s="25">
        <f>IF($B896="","",$B896-WEEKDAY($B896,3))</f>
        <v/>
      </c>
      <c r="T896" s="24">
        <f>IF($B896="",0,IF(COUNTIFS($B$5:$B896,$B896,$D$5:$D896,$D896)=1,1,0))</f>
        <v/>
      </c>
      <c r="U896" s="24">
        <f>IF($B896="",0,IF(COUNTIFS($B$5:$B896,$B896,$C$5:$C896,$C896)=1,1,0))</f>
        <v/>
      </c>
      <c r="V896" s="24">
        <f>IF(OR($B896="",$G896="",$G896="لا توجد مشاهدات"),0,1)</f>
        <v/>
      </c>
      <c r="W896" s="24">
        <f>IF(AND($B896&lt;&gt;"",$I896="تم تحرير مخالفة"),1,0)</f>
        <v/>
      </c>
      <c r="X896" s="24">
        <f>IF($B896="","",IF($S896=WkStart,COUNTIF($S$5:$S896,WkStart),""))</f>
        <v/>
      </c>
    </row>
    <row r="897">
      <c r="A897" s="16">
        <f>IF($B897="","",ROW()-4)</f>
        <v/>
      </c>
      <c r="B897" s="17" t="n"/>
      <c r="C897" s="18" t="n"/>
      <c r="D897" s="18" t="n"/>
      <c r="E897" s="19" t="n"/>
      <c r="F897" s="19" t="n"/>
      <c r="G897" s="18" t="n"/>
      <c r="H897" s="18" t="n"/>
      <c r="I897" s="18" t="n"/>
      <c r="J897" s="20" t="n"/>
      <c r="K897" s="21" t="n"/>
      <c r="L897" s="21" t="n"/>
      <c r="M897" s="18" t="n"/>
      <c r="N897" s="22">
        <f>IF($B897="","",CHOOSE(WEEKDAY($B897),"الأحد","الاثنين","الثلاثاء","الأربعاء","الخميس","الجمعة","السبت"))</f>
        <v/>
      </c>
      <c r="O897" s="23">
        <f>IF(OR($K897="",$L897=""),"",HYPERLINK("https://maps.google.com/?q="&amp;$K897&amp;","&amp;$L897,"عرض الموقع"))</f>
        <v/>
      </c>
      <c r="P897" s="23">
        <f>IF(OR($B897="",N($J897)=0),"",HYPERLINK(PhotoDir&amp;"/"&amp;YEAR($B897)&amp;"-"&amp;TEXT(MONTH($B897),"00")&amp;"-"&amp;TEXT(DAY($B897),"00")&amp;"_"&amp;$D897,"فتح الصور ("&amp;$J897&amp;")"))</f>
        <v/>
      </c>
      <c r="Q897" s="24">
        <f>IF($B897="","",MONTH($B897))</f>
        <v/>
      </c>
      <c r="R897" s="24">
        <f>IF($B897="","",YEAR($B897))</f>
        <v/>
      </c>
      <c r="S897" s="25">
        <f>IF($B897="","",$B897-WEEKDAY($B897,3))</f>
        <v/>
      </c>
      <c r="T897" s="24">
        <f>IF($B897="",0,IF(COUNTIFS($B$5:$B897,$B897,$D$5:$D897,$D897)=1,1,0))</f>
        <v/>
      </c>
      <c r="U897" s="24">
        <f>IF($B897="",0,IF(COUNTIFS($B$5:$B897,$B897,$C$5:$C897,$C897)=1,1,0))</f>
        <v/>
      </c>
      <c r="V897" s="24">
        <f>IF(OR($B897="",$G897="",$G897="لا توجد مشاهدات"),0,1)</f>
        <v/>
      </c>
      <c r="W897" s="24">
        <f>IF(AND($B897&lt;&gt;"",$I897="تم تحرير مخالفة"),1,0)</f>
        <v/>
      </c>
      <c r="X897" s="24">
        <f>IF($B897="","",IF($S897=WkStart,COUNTIF($S$5:$S897,WkStart),""))</f>
        <v/>
      </c>
    </row>
    <row r="898">
      <c r="A898" s="16">
        <f>IF($B898="","",ROW()-4)</f>
        <v/>
      </c>
      <c r="B898" s="17" t="n"/>
      <c r="C898" s="18" t="n"/>
      <c r="D898" s="18" t="n"/>
      <c r="E898" s="19" t="n"/>
      <c r="F898" s="19" t="n"/>
      <c r="G898" s="18" t="n"/>
      <c r="H898" s="18" t="n"/>
      <c r="I898" s="18" t="n"/>
      <c r="J898" s="20" t="n"/>
      <c r="K898" s="21" t="n"/>
      <c r="L898" s="21" t="n"/>
      <c r="M898" s="18" t="n"/>
      <c r="N898" s="22">
        <f>IF($B898="","",CHOOSE(WEEKDAY($B898),"الأحد","الاثنين","الثلاثاء","الأربعاء","الخميس","الجمعة","السبت"))</f>
        <v/>
      </c>
      <c r="O898" s="23">
        <f>IF(OR($K898="",$L898=""),"",HYPERLINK("https://maps.google.com/?q="&amp;$K898&amp;","&amp;$L898,"عرض الموقع"))</f>
        <v/>
      </c>
      <c r="P898" s="23">
        <f>IF(OR($B898="",N($J898)=0),"",HYPERLINK(PhotoDir&amp;"/"&amp;YEAR($B898)&amp;"-"&amp;TEXT(MONTH($B898),"00")&amp;"-"&amp;TEXT(DAY($B898),"00")&amp;"_"&amp;$D898,"فتح الصور ("&amp;$J898&amp;")"))</f>
        <v/>
      </c>
      <c r="Q898" s="24">
        <f>IF($B898="","",MONTH($B898))</f>
        <v/>
      </c>
      <c r="R898" s="24">
        <f>IF($B898="","",YEAR($B898))</f>
        <v/>
      </c>
      <c r="S898" s="25">
        <f>IF($B898="","",$B898-WEEKDAY($B898,3))</f>
        <v/>
      </c>
      <c r="T898" s="24">
        <f>IF($B898="",0,IF(COUNTIFS($B$5:$B898,$B898,$D$5:$D898,$D898)=1,1,0))</f>
        <v/>
      </c>
      <c r="U898" s="24">
        <f>IF($B898="",0,IF(COUNTIFS($B$5:$B898,$B898,$C$5:$C898,$C898)=1,1,0))</f>
        <v/>
      </c>
      <c r="V898" s="24">
        <f>IF(OR($B898="",$G898="",$G898="لا توجد مشاهدات"),0,1)</f>
        <v/>
      </c>
      <c r="W898" s="24">
        <f>IF(AND($B898&lt;&gt;"",$I898="تم تحرير مخالفة"),1,0)</f>
        <v/>
      </c>
      <c r="X898" s="24">
        <f>IF($B898="","",IF($S898=WkStart,COUNTIF($S$5:$S898,WkStart),""))</f>
        <v/>
      </c>
    </row>
    <row r="899">
      <c r="A899" s="16">
        <f>IF($B899="","",ROW()-4)</f>
        <v/>
      </c>
      <c r="B899" s="17" t="n"/>
      <c r="C899" s="18" t="n"/>
      <c r="D899" s="18" t="n"/>
      <c r="E899" s="19" t="n"/>
      <c r="F899" s="19" t="n"/>
      <c r="G899" s="18" t="n"/>
      <c r="H899" s="18" t="n"/>
      <c r="I899" s="18" t="n"/>
      <c r="J899" s="20" t="n"/>
      <c r="K899" s="21" t="n"/>
      <c r="L899" s="21" t="n"/>
      <c r="M899" s="18" t="n"/>
      <c r="N899" s="22">
        <f>IF($B899="","",CHOOSE(WEEKDAY($B899),"الأحد","الاثنين","الثلاثاء","الأربعاء","الخميس","الجمعة","السبت"))</f>
        <v/>
      </c>
      <c r="O899" s="23">
        <f>IF(OR($K899="",$L899=""),"",HYPERLINK("https://maps.google.com/?q="&amp;$K899&amp;","&amp;$L899,"عرض الموقع"))</f>
        <v/>
      </c>
      <c r="P899" s="23">
        <f>IF(OR($B899="",N($J899)=0),"",HYPERLINK(PhotoDir&amp;"/"&amp;YEAR($B899)&amp;"-"&amp;TEXT(MONTH($B899),"00")&amp;"-"&amp;TEXT(DAY($B899),"00")&amp;"_"&amp;$D899,"فتح الصور ("&amp;$J899&amp;")"))</f>
        <v/>
      </c>
      <c r="Q899" s="24">
        <f>IF($B899="","",MONTH($B899))</f>
        <v/>
      </c>
      <c r="R899" s="24">
        <f>IF($B899="","",YEAR($B899))</f>
        <v/>
      </c>
      <c r="S899" s="25">
        <f>IF($B899="","",$B899-WEEKDAY($B899,3))</f>
        <v/>
      </c>
      <c r="T899" s="24">
        <f>IF($B899="",0,IF(COUNTIFS($B$5:$B899,$B899,$D$5:$D899,$D899)=1,1,0))</f>
        <v/>
      </c>
      <c r="U899" s="24">
        <f>IF($B899="",0,IF(COUNTIFS($B$5:$B899,$B899,$C$5:$C899,$C899)=1,1,0))</f>
        <v/>
      </c>
      <c r="V899" s="24">
        <f>IF(OR($B899="",$G899="",$G899="لا توجد مشاهدات"),0,1)</f>
        <v/>
      </c>
      <c r="W899" s="24">
        <f>IF(AND($B899&lt;&gt;"",$I899="تم تحرير مخالفة"),1,0)</f>
        <v/>
      </c>
      <c r="X899" s="24">
        <f>IF($B899="","",IF($S899=WkStart,COUNTIF($S$5:$S899,WkStart),""))</f>
        <v/>
      </c>
    </row>
    <row r="900">
      <c r="A900" s="16">
        <f>IF($B900="","",ROW()-4)</f>
        <v/>
      </c>
      <c r="B900" s="17" t="n"/>
      <c r="C900" s="18" t="n"/>
      <c r="D900" s="18" t="n"/>
      <c r="E900" s="19" t="n"/>
      <c r="F900" s="19" t="n"/>
      <c r="G900" s="18" t="n"/>
      <c r="H900" s="18" t="n"/>
      <c r="I900" s="18" t="n"/>
      <c r="J900" s="20" t="n"/>
      <c r="K900" s="21" t="n"/>
      <c r="L900" s="21" t="n"/>
      <c r="M900" s="18" t="n"/>
      <c r="N900" s="22">
        <f>IF($B900="","",CHOOSE(WEEKDAY($B900),"الأحد","الاثنين","الثلاثاء","الأربعاء","الخميس","الجمعة","السبت"))</f>
        <v/>
      </c>
      <c r="O900" s="23">
        <f>IF(OR($K900="",$L900=""),"",HYPERLINK("https://maps.google.com/?q="&amp;$K900&amp;","&amp;$L900,"عرض الموقع"))</f>
        <v/>
      </c>
      <c r="P900" s="23">
        <f>IF(OR($B900="",N($J900)=0),"",HYPERLINK(PhotoDir&amp;"/"&amp;YEAR($B900)&amp;"-"&amp;TEXT(MONTH($B900),"00")&amp;"-"&amp;TEXT(DAY($B900),"00")&amp;"_"&amp;$D900,"فتح الصور ("&amp;$J900&amp;")"))</f>
        <v/>
      </c>
      <c r="Q900" s="24">
        <f>IF($B900="","",MONTH($B900))</f>
        <v/>
      </c>
      <c r="R900" s="24">
        <f>IF($B900="","",YEAR($B900))</f>
        <v/>
      </c>
      <c r="S900" s="25">
        <f>IF($B900="","",$B900-WEEKDAY($B900,3))</f>
        <v/>
      </c>
      <c r="T900" s="24">
        <f>IF($B900="",0,IF(COUNTIFS($B$5:$B900,$B900,$D$5:$D900,$D900)=1,1,0))</f>
        <v/>
      </c>
      <c r="U900" s="24">
        <f>IF($B900="",0,IF(COUNTIFS($B$5:$B900,$B900,$C$5:$C900,$C900)=1,1,0))</f>
        <v/>
      </c>
      <c r="V900" s="24">
        <f>IF(OR($B900="",$G900="",$G900="لا توجد مشاهدات"),0,1)</f>
        <v/>
      </c>
      <c r="W900" s="24">
        <f>IF(AND($B900&lt;&gt;"",$I900="تم تحرير مخالفة"),1,0)</f>
        <v/>
      </c>
      <c r="X900" s="24">
        <f>IF($B900="","",IF($S900=WkStart,COUNTIF($S$5:$S900,WkStart),""))</f>
        <v/>
      </c>
    </row>
    <row r="901">
      <c r="A901" s="16">
        <f>IF($B901="","",ROW()-4)</f>
        <v/>
      </c>
      <c r="B901" s="17" t="n"/>
      <c r="C901" s="18" t="n"/>
      <c r="D901" s="18" t="n"/>
      <c r="E901" s="19" t="n"/>
      <c r="F901" s="19" t="n"/>
      <c r="G901" s="18" t="n"/>
      <c r="H901" s="18" t="n"/>
      <c r="I901" s="18" t="n"/>
      <c r="J901" s="20" t="n"/>
      <c r="K901" s="21" t="n"/>
      <c r="L901" s="21" t="n"/>
      <c r="M901" s="18" t="n"/>
      <c r="N901" s="22">
        <f>IF($B901="","",CHOOSE(WEEKDAY($B901),"الأحد","الاثنين","الثلاثاء","الأربعاء","الخميس","الجمعة","السبت"))</f>
        <v/>
      </c>
      <c r="O901" s="23">
        <f>IF(OR($K901="",$L901=""),"",HYPERLINK("https://maps.google.com/?q="&amp;$K901&amp;","&amp;$L901,"عرض الموقع"))</f>
        <v/>
      </c>
      <c r="P901" s="23">
        <f>IF(OR($B901="",N($J901)=0),"",HYPERLINK(PhotoDir&amp;"/"&amp;YEAR($B901)&amp;"-"&amp;TEXT(MONTH($B901),"00")&amp;"-"&amp;TEXT(DAY($B901),"00")&amp;"_"&amp;$D901,"فتح الصور ("&amp;$J901&amp;")"))</f>
        <v/>
      </c>
      <c r="Q901" s="24">
        <f>IF($B901="","",MONTH($B901))</f>
        <v/>
      </c>
      <c r="R901" s="24">
        <f>IF($B901="","",YEAR($B901))</f>
        <v/>
      </c>
      <c r="S901" s="25">
        <f>IF($B901="","",$B901-WEEKDAY($B901,3))</f>
        <v/>
      </c>
      <c r="T901" s="24">
        <f>IF($B901="",0,IF(COUNTIFS($B$5:$B901,$B901,$D$5:$D901,$D901)=1,1,0))</f>
        <v/>
      </c>
      <c r="U901" s="24">
        <f>IF($B901="",0,IF(COUNTIFS($B$5:$B901,$B901,$C$5:$C901,$C901)=1,1,0))</f>
        <v/>
      </c>
      <c r="V901" s="24">
        <f>IF(OR($B901="",$G901="",$G901="لا توجد مشاهدات"),0,1)</f>
        <v/>
      </c>
      <c r="W901" s="24">
        <f>IF(AND($B901&lt;&gt;"",$I901="تم تحرير مخالفة"),1,0)</f>
        <v/>
      </c>
      <c r="X901" s="24">
        <f>IF($B901="","",IF($S901=WkStart,COUNTIF($S$5:$S901,WkStart),""))</f>
        <v/>
      </c>
    </row>
    <row r="902">
      <c r="A902" s="16">
        <f>IF($B902="","",ROW()-4)</f>
        <v/>
      </c>
      <c r="B902" s="17" t="n"/>
      <c r="C902" s="18" t="n"/>
      <c r="D902" s="18" t="n"/>
      <c r="E902" s="19" t="n"/>
      <c r="F902" s="19" t="n"/>
      <c r="G902" s="18" t="n"/>
      <c r="H902" s="18" t="n"/>
      <c r="I902" s="18" t="n"/>
      <c r="J902" s="20" t="n"/>
      <c r="K902" s="21" t="n"/>
      <c r="L902" s="21" t="n"/>
      <c r="M902" s="18" t="n"/>
      <c r="N902" s="22">
        <f>IF($B902="","",CHOOSE(WEEKDAY($B902),"الأحد","الاثنين","الثلاثاء","الأربعاء","الخميس","الجمعة","السبت"))</f>
        <v/>
      </c>
      <c r="O902" s="23">
        <f>IF(OR($K902="",$L902=""),"",HYPERLINK("https://maps.google.com/?q="&amp;$K902&amp;","&amp;$L902,"عرض الموقع"))</f>
        <v/>
      </c>
      <c r="P902" s="23">
        <f>IF(OR($B902="",N($J902)=0),"",HYPERLINK(PhotoDir&amp;"/"&amp;YEAR($B902)&amp;"-"&amp;TEXT(MONTH($B902),"00")&amp;"-"&amp;TEXT(DAY($B902),"00")&amp;"_"&amp;$D902,"فتح الصور ("&amp;$J902&amp;")"))</f>
        <v/>
      </c>
      <c r="Q902" s="24">
        <f>IF($B902="","",MONTH($B902))</f>
        <v/>
      </c>
      <c r="R902" s="24">
        <f>IF($B902="","",YEAR($B902))</f>
        <v/>
      </c>
      <c r="S902" s="25">
        <f>IF($B902="","",$B902-WEEKDAY($B902,3))</f>
        <v/>
      </c>
      <c r="T902" s="24">
        <f>IF($B902="",0,IF(COUNTIFS($B$5:$B902,$B902,$D$5:$D902,$D902)=1,1,0))</f>
        <v/>
      </c>
      <c r="U902" s="24">
        <f>IF($B902="",0,IF(COUNTIFS($B$5:$B902,$B902,$C$5:$C902,$C902)=1,1,0))</f>
        <v/>
      </c>
      <c r="V902" s="24">
        <f>IF(OR($B902="",$G902="",$G902="لا توجد مشاهدات"),0,1)</f>
        <v/>
      </c>
      <c r="W902" s="24">
        <f>IF(AND($B902&lt;&gt;"",$I902="تم تحرير مخالفة"),1,0)</f>
        <v/>
      </c>
      <c r="X902" s="24">
        <f>IF($B902="","",IF($S902=WkStart,COUNTIF($S$5:$S902,WkStart),""))</f>
        <v/>
      </c>
    </row>
    <row r="903">
      <c r="A903" s="16">
        <f>IF($B903="","",ROW()-4)</f>
        <v/>
      </c>
      <c r="B903" s="17" t="n"/>
      <c r="C903" s="18" t="n"/>
      <c r="D903" s="18" t="n"/>
      <c r="E903" s="19" t="n"/>
      <c r="F903" s="19" t="n"/>
      <c r="G903" s="18" t="n"/>
      <c r="H903" s="18" t="n"/>
      <c r="I903" s="18" t="n"/>
      <c r="J903" s="20" t="n"/>
      <c r="K903" s="21" t="n"/>
      <c r="L903" s="21" t="n"/>
      <c r="M903" s="18" t="n"/>
      <c r="N903" s="22">
        <f>IF($B903="","",CHOOSE(WEEKDAY($B903),"الأحد","الاثنين","الثلاثاء","الأربعاء","الخميس","الجمعة","السبت"))</f>
        <v/>
      </c>
      <c r="O903" s="23">
        <f>IF(OR($K903="",$L903=""),"",HYPERLINK("https://maps.google.com/?q="&amp;$K903&amp;","&amp;$L903,"عرض الموقع"))</f>
        <v/>
      </c>
      <c r="P903" s="23">
        <f>IF(OR($B903="",N($J903)=0),"",HYPERLINK(PhotoDir&amp;"/"&amp;YEAR($B903)&amp;"-"&amp;TEXT(MONTH($B903),"00")&amp;"-"&amp;TEXT(DAY($B903),"00")&amp;"_"&amp;$D903,"فتح الصور ("&amp;$J903&amp;")"))</f>
        <v/>
      </c>
      <c r="Q903" s="24">
        <f>IF($B903="","",MONTH($B903))</f>
        <v/>
      </c>
      <c r="R903" s="24">
        <f>IF($B903="","",YEAR($B903))</f>
        <v/>
      </c>
      <c r="S903" s="25">
        <f>IF($B903="","",$B903-WEEKDAY($B903,3))</f>
        <v/>
      </c>
      <c r="T903" s="24">
        <f>IF($B903="",0,IF(COUNTIFS($B$5:$B903,$B903,$D$5:$D903,$D903)=1,1,0))</f>
        <v/>
      </c>
      <c r="U903" s="24">
        <f>IF($B903="",0,IF(COUNTIFS($B$5:$B903,$B903,$C$5:$C903,$C903)=1,1,0))</f>
        <v/>
      </c>
      <c r="V903" s="24">
        <f>IF(OR($B903="",$G903="",$G903="لا توجد مشاهدات"),0,1)</f>
        <v/>
      </c>
      <c r="W903" s="24">
        <f>IF(AND($B903&lt;&gt;"",$I903="تم تحرير مخالفة"),1,0)</f>
        <v/>
      </c>
      <c r="X903" s="24">
        <f>IF($B903="","",IF($S903=WkStart,COUNTIF($S$5:$S903,WkStart),""))</f>
        <v/>
      </c>
    </row>
    <row r="904">
      <c r="A904" s="16">
        <f>IF($B904="","",ROW()-4)</f>
        <v/>
      </c>
      <c r="B904" s="17" t="n"/>
      <c r="C904" s="18" t="n"/>
      <c r="D904" s="18" t="n"/>
      <c r="E904" s="19" t="n"/>
      <c r="F904" s="19" t="n"/>
      <c r="G904" s="18" t="n"/>
      <c r="H904" s="18" t="n"/>
      <c r="I904" s="18" t="n"/>
      <c r="J904" s="20" t="n"/>
      <c r="K904" s="21" t="n"/>
      <c r="L904" s="21" t="n"/>
      <c r="M904" s="18" t="n"/>
      <c r="N904" s="22">
        <f>IF($B904="","",CHOOSE(WEEKDAY($B904),"الأحد","الاثنين","الثلاثاء","الأربعاء","الخميس","الجمعة","السبت"))</f>
        <v/>
      </c>
      <c r="O904" s="23">
        <f>IF(OR($K904="",$L904=""),"",HYPERLINK("https://maps.google.com/?q="&amp;$K904&amp;","&amp;$L904,"عرض الموقع"))</f>
        <v/>
      </c>
      <c r="P904" s="23">
        <f>IF(OR($B904="",N($J904)=0),"",HYPERLINK(PhotoDir&amp;"/"&amp;YEAR($B904)&amp;"-"&amp;TEXT(MONTH($B904),"00")&amp;"-"&amp;TEXT(DAY($B904),"00")&amp;"_"&amp;$D904,"فتح الصور ("&amp;$J904&amp;")"))</f>
        <v/>
      </c>
      <c r="Q904" s="24">
        <f>IF($B904="","",MONTH($B904))</f>
        <v/>
      </c>
      <c r="R904" s="24">
        <f>IF($B904="","",YEAR($B904))</f>
        <v/>
      </c>
      <c r="S904" s="25">
        <f>IF($B904="","",$B904-WEEKDAY($B904,3))</f>
        <v/>
      </c>
      <c r="T904" s="24">
        <f>IF($B904="",0,IF(COUNTIFS($B$5:$B904,$B904,$D$5:$D904,$D904)=1,1,0))</f>
        <v/>
      </c>
      <c r="U904" s="24">
        <f>IF($B904="",0,IF(COUNTIFS($B$5:$B904,$B904,$C$5:$C904,$C904)=1,1,0))</f>
        <v/>
      </c>
      <c r="V904" s="24">
        <f>IF(OR($B904="",$G904="",$G904="لا توجد مشاهدات"),0,1)</f>
        <v/>
      </c>
      <c r="W904" s="24">
        <f>IF(AND($B904&lt;&gt;"",$I904="تم تحرير مخالفة"),1,0)</f>
        <v/>
      </c>
      <c r="X904" s="24">
        <f>IF($B904="","",IF($S904=WkStart,COUNTIF($S$5:$S904,WkStart),""))</f>
        <v/>
      </c>
    </row>
    <row r="905">
      <c r="A905" s="16">
        <f>IF($B905="","",ROW()-4)</f>
        <v/>
      </c>
      <c r="B905" s="17" t="n"/>
      <c r="C905" s="18" t="n"/>
      <c r="D905" s="18" t="n"/>
      <c r="E905" s="19" t="n"/>
      <c r="F905" s="19" t="n"/>
      <c r="G905" s="18" t="n"/>
      <c r="H905" s="18" t="n"/>
      <c r="I905" s="18" t="n"/>
      <c r="J905" s="20" t="n"/>
      <c r="K905" s="21" t="n"/>
      <c r="L905" s="21" t="n"/>
      <c r="M905" s="18" t="n"/>
      <c r="N905" s="22">
        <f>IF($B905="","",CHOOSE(WEEKDAY($B905),"الأحد","الاثنين","الثلاثاء","الأربعاء","الخميس","الجمعة","السبت"))</f>
        <v/>
      </c>
      <c r="O905" s="23">
        <f>IF(OR($K905="",$L905=""),"",HYPERLINK("https://maps.google.com/?q="&amp;$K905&amp;","&amp;$L905,"عرض الموقع"))</f>
        <v/>
      </c>
      <c r="P905" s="23">
        <f>IF(OR($B905="",N($J905)=0),"",HYPERLINK(PhotoDir&amp;"/"&amp;YEAR($B905)&amp;"-"&amp;TEXT(MONTH($B905),"00")&amp;"-"&amp;TEXT(DAY($B905),"00")&amp;"_"&amp;$D905,"فتح الصور ("&amp;$J905&amp;")"))</f>
        <v/>
      </c>
      <c r="Q905" s="24">
        <f>IF($B905="","",MONTH($B905))</f>
        <v/>
      </c>
      <c r="R905" s="24">
        <f>IF($B905="","",YEAR($B905))</f>
        <v/>
      </c>
      <c r="S905" s="25">
        <f>IF($B905="","",$B905-WEEKDAY($B905,3))</f>
        <v/>
      </c>
      <c r="T905" s="24">
        <f>IF($B905="",0,IF(COUNTIFS($B$5:$B905,$B905,$D$5:$D905,$D905)=1,1,0))</f>
        <v/>
      </c>
      <c r="U905" s="24">
        <f>IF($B905="",0,IF(COUNTIFS($B$5:$B905,$B905,$C$5:$C905,$C905)=1,1,0))</f>
        <v/>
      </c>
      <c r="V905" s="24">
        <f>IF(OR($B905="",$G905="",$G905="لا توجد مشاهدات"),0,1)</f>
        <v/>
      </c>
      <c r="W905" s="24">
        <f>IF(AND($B905&lt;&gt;"",$I905="تم تحرير مخالفة"),1,0)</f>
        <v/>
      </c>
      <c r="X905" s="24">
        <f>IF($B905="","",IF($S905=WkStart,COUNTIF($S$5:$S905,WkStart),""))</f>
        <v/>
      </c>
    </row>
    <row r="906">
      <c r="A906" s="16">
        <f>IF($B906="","",ROW()-4)</f>
        <v/>
      </c>
      <c r="B906" s="17" t="n"/>
      <c r="C906" s="18" t="n"/>
      <c r="D906" s="18" t="n"/>
      <c r="E906" s="19" t="n"/>
      <c r="F906" s="19" t="n"/>
      <c r="G906" s="18" t="n"/>
      <c r="H906" s="18" t="n"/>
      <c r="I906" s="18" t="n"/>
      <c r="J906" s="20" t="n"/>
      <c r="K906" s="21" t="n"/>
      <c r="L906" s="21" t="n"/>
      <c r="M906" s="18" t="n"/>
      <c r="N906" s="22">
        <f>IF($B906="","",CHOOSE(WEEKDAY($B906),"الأحد","الاثنين","الثلاثاء","الأربعاء","الخميس","الجمعة","السبت"))</f>
        <v/>
      </c>
      <c r="O906" s="23">
        <f>IF(OR($K906="",$L906=""),"",HYPERLINK("https://maps.google.com/?q="&amp;$K906&amp;","&amp;$L906,"عرض الموقع"))</f>
        <v/>
      </c>
      <c r="P906" s="23">
        <f>IF(OR($B906="",N($J906)=0),"",HYPERLINK(PhotoDir&amp;"/"&amp;YEAR($B906)&amp;"-"&amp;TEXT(MONTH($B906),"00")&amp;"-"&amp;TEXT(DAY($B906),"00")&amp;"_"&amp;$D906,"فتح الصور ("&amp;$J906&amp;")"))</f>
        <v/>
      </c>
      <c r="Q906" s="24">
        <f>IF($B906="","",MONTH($B906))</f>
        <v/>
      </c>
      <c r="R906" s="24">
        <f>IF($B906="","",YEAR($B906))</f>
        <v/>
      </c>
      <c r="S906" s="25">
        <f>IF($B906="","",$B906-WEEKDAY($B906,3))</f>
        <v/>
      </c>
      <c r="T906" s="24">
        <f>IF($B906="",0,IF(COUNTIFS($B$5:$B906,$B906,$D$5:$D906,$D906)=1,1,0))</f>
        <v/>
      </c>
      <c r="U906" s="24">
        <f>IF($B906="",0,IF(COUNTIFS($B$5:$B906,$B906,$C$5:$C906,$C906)=1,1,0))</f>
        <v/>
      </c>
      <c r="V906" s="24">
        <f>IF(OR($B906="",$G906="",$G906="لا توجد مشاهدات"),0,1)</f>
        <v/>
      </c>
      <c r="W906" s="24">
        <f>IF(AND($B906&lt;&gt;"",$I906="تم تحرير مخالفة"),1,0)</f>
        <v/>
      </c>
      <c r="X906" s="24">
        <f>IF($B906="","",IF($S906=WkStart,COUNTIF($S$5:$S906,WkStart),""))</f>
        <v/>
      </c>
    </row>
    <row r="907">
      <c r="A907" s="16">
        <f>IF($B907="","",ROW()-4)</f>
        <v/>
      </c>
      <c r="B907" s="17" t="n"/>
      <c r="C907" s="18" t="n"/>
      <c r="D907" s="18" t="n"/>
      <c r="E907" s="19" t="n"/>
      <c r="F907" s="19" t="n"/>
      <c r="G907" s="18" t="n"/>
      <c r="H907" s="18" t="n"/>
      <c r="I907" s="18" t="n"/>
      <c r="J907" s="20" t="n"/>
      <c r="K907" s="21" t="n"/>
      <c r="L907" s="21" t="n"/>
      <c r="M907" s="18" t="n"/>
      <c r="N907" s="22">
        <f>IF($B907="","",CHOOSE(WEEKDAY($B907),"الأحد","الاثنين","الثلاثاء","الأربعاء","الخميس","الجمعة","السبت"))</f>
        <v/>
      </c>
      <c r="O907" s="23">
        <f>IF(OR($K907="",$L907=""),"",HYPERLINK("https://maps.google.com/?q="&amp;$K907&amp;","&amp;$L907,"عرض الموقع"))</f>
        <v/>
      </c>
      <c r="P907" s="23">
        <f>IF(OR($B907="",N($J907)=0),"",HYPERLINK(PhotoDir&amp;"/"&amp;YEAR($B907)&amp;"-"&amp;TEXT(MONTH($B907),"00")&amp;"-"&amp;TEXT(DAY($B907),"00")&amp;"_"&amp;$D907,"فتح الصور ("&amp;$J907&amp;")"))</f>
        <v/>
      </c>
      <c r="Q907" s="24">
        <f>IF($B907="","",MONTH($B907))</f>
        <v/>
      </c>
      <c r="R907" s="24">
        <f>IF($B907="","",YEAR($B907))</f>
        <v/>
      </c>
      <c r="S907" s="25">
        <f>IF($B907="","",$B907-WEEKDAY($B907,3))</f>
        <v/>
      </c>
      <c r="T907" s="24">
        <f>IF($B907="",0,IF(COUNTIFS($B$5:$B907,$B907,$D$5:$D907,$D907)=1,1,0))</f>
        <v/>
      </c>
      <c r="U907" s="24">
        <f>IF($B907="",0,IF(COUNTIFS($B$5:$B907,$B907,$C$5:$C907,$C907)=1,1,0))</f>
        <v/>
      </c>
      <c r="V907" s="24">
        <f>IF(OR($B907="",$G907="",$G907="لا توجد مشاهدات"),0,1)</f>
        <v/>
      </c>
      <c r="W907" s="24">
        <f>IF(AND($B907&lt;&gt;"",$I907="تم تحرير مخالفة"),1,0)</f>
        <v/>
      </c>
      <c r="X907" s="24">
        <f>IF($B907="","",IF($S907=WkStart,COUNTIF($S$5:$S907,WkStart),""))</f>
        <v/>
      </c>
    </row>
    <row r="908">
      <c r="A908" s="16">
        <f>IF($B908="","",ROW()-4)</f>
        <v/>
      </c>
      <c r="B908" s="17" t="n"/>
      <c r="C908" s="18" t="n"/>
      <c r="D908" s="18" t="n"/>
      <c r="E908" s="19" t="n"/>
      <c r="F908" s="19" t="n"/>
      <c r="G908" s="18" t="n"/>
      <c r="H908" s="18" t="n"/>
      <c r="I908" s="18" t="n"/>
      <c r="J908" s="20" t="n"/>
      <c r="K908" s="21" t="n"/>
      <c r="L908" s="21" t="n"/>
      <c r="M908" s="18" t="n"/>
      <c r="N908" s="22">
        <f>IF($B908="","",CHOOSE(WEEKDAY($B908),"الأحد","الاثنين","الثلاثاء","الأربعاء","الخميس","الجمعة","السبت"))</f>
        <v/>
      </c>
      <c r="O908" s="23">
        <f>IF(OR($K908="",$L908=""),"",HYPERLINK("https://maps.google.com/?q="&amp;$K908&amp;","&amp;$L908,"عرض الموقع"))</f>
        <v/>
      </c>
      <c r="P908" s="23">
        <f>IF(OR($B908="",N($J908)=0),"",HYPERLINK(PhotoDir&amp;"/"&amp;YEAR($B908)&amp;"-"&amp;TEXT(MONTH($B908),"00")&amp;"-"&amp;TEXT(DAY($B908),"00")&amp;"_"&amp;$D908,"فتح الصور ("&amp;$J908&amp;")"))</f>
        <v/>
      </c>
      <c r="Q908" s="24">
        <f>IF($B908="","",MONTH($B908))</f>
        <v/>
      </c>
      <c r="R908" s="24">
        <f>IF($B908="","",YEAR($B908))</f>
        <v/>
      </c>
      <c r="S908" s="25">
        <f>IF($B908="","",$B908-WEEKDAY($B908,3))</f>
        <v/>
      </c>
      <c r="T908" s="24">
        <f>IF($B908="",0,IF(COUNTIFS($B$5:$B908,$B908,$D$5:$D908,$D908)=1,1,0))</f>
        <v/>
      </c>
      <c r="U908" s="24">
        <f>IF($B908="",0,IF(COUNTIFS($B$5:$B908,$B908,$C$5:$C908,$C908)=1,1,0))</f>
        <v/>
      </c>
      <c r="V908" s="24">
        <f>IF(OR($B908="",$G908="",$G908="لا توجد مشاهدات"),0,1)</f>
        <v/>
      </c>
      <c r="W908" s="24">
        <f>IF(AND($B908&lt;&gt;"",$I908="تم تحرير مخالفة"),1,0)</f>
        <v/>
      </c>
      <c r="X908" s="24">
        <f>IF($B908="","",IF($S908=WkStart,COUNTIF($S$5:$S908,WkStart),""))</f>
        <v/>
      </c>
    </row>
    <row r="909">
      <c r="A909" s="16">
        <f>IF($B909="","",ROW()-4)</f>
        <v/>
      </c>
      <c r="B909" s="17" t="n"/>
      <c r="C909" s="18" t="n"/>
      <c r="D909" s="18" t="n"/>
      <c r="E909" s="19" t="n"/>
      <c r="F909" s="19" t="n"/>
      <c r="G909" s="18" t="n"/>
      <c r="H909" s="18" t="n"/>
      <c r="I909" s="18" t="n"/>
      <c r="J909" s="20" t="n"/>
      <c r="K909" s="21" t="n"/>
      <c r="L909" s="21" t="n"/>
      <c r="M909" s="18" t="n"/>
      <c r="N909" s="22">
        <f>IF($B909="","",CHOOSE(WEEKDAY($B909),"الأحد","الاثنين","الثلاثاء","الأربعاء","الخميس","الجمعة","السبت"))</f>
        <v/>
      </c>
      <c r="O909" s="23">
        <f>IF(OR($K909="",$L909=""),"",HYPERLINK("https://maps.google.com/?q="&amp;$K909&amp;","&amp;$L909,"عرض الموقع"))</f>
        <v/>
      </c>
      <c r="P909" s="23">
        <f>IF(OR($B909="",N($J909)=0),"",HYPERLINK(PhotoDir&amp;"/"&amp;YEAR($B909)&amp;"-"&amp;TEXT(MONTH($B909),"00")&amp;"-"&amp;TEXT(DAY($B909),"00")&amp;"_"&amp;$D909,"فتح الصور ("&amp;$J909&amp;")"))</f>
        <v/>
      </c>
      <c r="Q909" s="24">
        <f>IF($B909="","",MONTH($B909))</f>
        <v/>
      </c>
      <c r="R909" s="24">
        <f>IF($B909="","",YEAR($B909))</f>
        <v/>
      </c>
      <c r="S909" s="25">
        <f>IF($B909="","",$B909-WEEKDAY($B909,3))</f>
        <v/>
      </c>
      <c r="T909" s="24">
        <f>IF($B909="",0,IF(COUNTIFS($B$5:$B909,$B909,$D$5:$D909,$D909)=1,1,0))</f>
        <v/>
      </c>
      <c r="U909" s="24">
        <f>IF($B909="",0,IF(COUNTIFS($B$5:$B909,$B909,$C$5:$C909,$C909)=1,1,0))</f>
        <v/>
      </c>
      <c r="V909" s="24">
        <f>IF(OR($B909="",$G909="",$G909="لا توجد مشاهدات"),0,1)</f>
        <v/>
      </c>
      <c r="W909" s="24">
        <f>IF(AND($B909&lt;&gt;"",$I909="تم تحرير مخالفة"),1,0)</f>
        <v/>
      </c>
      <c r="X909" s="24">
        <f>IF($B909="","",IF($S909=WkStart,COUNTIF($S$5:$S909,WkStart),""))</f>
        <v/>
      </c>
    </row>
    <row r="910">
      <c r="A910" s="16">
        <f>IF($B910="","",ROW()-4)</f>
        <v/>
      </c>
      <c r="B910" s="17" t="n"/>
      <c r="C910" s="18" t="n"/>
      <c r="D910" s="18" t="n"/>
      <c r="E910" s="19" t="n"/>
      <c r="F910" s="19" t="n"/>
      <c r="G910" s="18" t="n"/>
      <c r="H910" s="18" t="n"/>
      <c r="I910" s="18" t="n"/>
      <c r="J910" s="20" t="n"/>
      <c r="K910" s="21" t="n"/>
      <c r="L910" s="21" t="n"/>
      <c r="M910" s="18" t="n"/>
      <c r="N910" s="22">
        <f>IF($B910="","",CHOOSE(WEEKDAY($B910),"الأحد","الاثنين","الثلاثاء","الأربعاء","الخميس","الجمعة","السبت"))</f>
        <v/>
      </c>
      <c r="O910" s="23">
        <f>IF(OR($K910="",$L910=""),"",HYPERLINK("https://maps.google.com/?q="&amp;$K910&amp;","&amp;$L910,"عرض الموقع"))</f>
        <v/>
      </c>
      <c r="P910" s="23">
        <f>IF(OR($B910="",N($J910)=0),"",HYPERLINK(PhotoDir&amp;"/"&amp;YEAR($B910)&amp;"-"&amp;TEXT(MONTH($B910),"00")&amp;"-"&amp;TEXT(DAY($B910),"00")&amp;"_"&amp;$D910,"فتح الصور ("&amp;$J910&amp;")"))</f>
        <v/>
      </c>
      <c r="Q910" s="24">
        <f>IF($B910="","",MONTH($B910))</f>
        <v/>
      </c>
      <c r="R910" s="24">
        <f>IF($B910="","",YEAR($B910))</f>
        <v/>
      </c>
      <c r="S910" s="25">
        <f>IF($B910="","",$B910-WEEKDAY($B910,3))</f>
        <v/>
      </c>
      <c r="T910" s="24">
        <f>IF($B910="",0,IF(COUNTIFS($B$5:$B910,$B910,$D$5:$D910,$D910)=1,1,0))</f>
        <v/>
      </c>
      <c r="U910" s="24">
        <f>IF($B910="",0,IF(COUNTIFS($B$5:$B910,$B910,$C$5:$C910,$C910)=1,1,0))</f>
        <v/>
      </c>
      <c r="V910" s="24">
        <f>IF(OR($B910="",$G910="",$G910="لا توجد مشاهدات"),0,1)</f>
        <v/>
      </c>
      <c r="W910" s="24">
        <f>IF(AND($B910&lt;&gt;"",$I910="تم تحرير مخالفة"),1,0)</f>
        <v/>
      </c>
      <c r="X910" s="24">
        <f>IF($B910="","",IF($S910=WkStart,COUNTIF($S$5:$S910,WkStart),""))</f>
        <v/>
      </c>
    </row>
    <row r="911">
      <c r="A911" s="16">
        <f>IF($B911="","",ROW()-4)</f>
        <v/>
      </c>
      <c r="B911" s="17" t="n"/>
      <c r="C911" s="18" t="n"/>
      <c r="D911" s="18" t="n"/>
      <c r="E911" s="19" t="n"/>
      <c r="F911" s="19" t="n"/>
      <c r="G911" s="18" t="n"/>
      <c r="H911" s="18" t="n"/>
      <c r="I911" s="18" t="n"/>
      <c r="J911" s="20" t="n"/>
      <c r="K911" s="21" t="n"/>
      <c r="L911" s="21" t="n"/>
      <c r="M911" s="18" t="n"/>
      <c r="N911" s="22">
        <f>IF($B911="","",CHOOSE(WEEKDAY($B911),"الأحد","الاثنين","الثلاثاء","الأربعاء","الخميس","الجمعة","السبت"))</f>
        <v/>
      </c>
      <c r="O911" s="23">
        <f>IF(OR($K911="",$L911=""),"",HYPERLINK("https://maps.google.com/?q="&amp;$K911&amp;","&amp;$L911,"عرض الموقع"))</f>
        <v/>
      </c>
      <c r="P911" s="23">
        <f>IF(OR($B911="",N($J911)=0),"",HYPERLINK(PhotoDir&amp;"/"&amp;YEAR($B911)&amp;"-"&amp;TEXT(MONTH($B911),"00")&amp;"-"&amp;TEXT(DAY($B911),"00")&amp;"_"&amp;$D911,"فتح الصور ("&amp;$J911&amp;")"))</f>
        <v/>
      </c>
      <c r="Q911" s="24">
        <f>IF($B911="","",MONTH($B911))</f>
        <v/>
      </c>
      <c r="R911" s="24">
        <f>IF($B911="","",YEAR($B911))</f>
        <v/>
      </c>
      <c r="S911" s="25">
        <f>IF($B911="","",$B911-WEEKDAY($B911,3))</f>
        <v/>
      </c>
      <c r="T911" s="24">
        <f>IF($B911="",0,IF(COUNTIFS($B$5:$B911,$B911,$D$5:$D911,$D911)=1,1,0))</f>
        <v/>
      </c>
      <c r="U911" s="24">
        <f>IF($B911="",0,IF(COUNTIFS($B$5:$B911,$B911,$C$5:$C911,$C911)=1,1,0))</f>
        <v/>
      </c>
      <c r="V911" s="24">
        <f>IF(OR($B911="",$G911="",$G911="لا توجد مشاهدات"),0,1)</f>
        <v/>
      </c>
      <c r="W911" s="24">
        <f>IF(AND($B911&lt;&gt;"",$I911="تم تحرير مخالفة"),1,0)</f>
        <v/>
      </c>
      <c r="X911" s="24">
        <f>IF($B911="","",IF($S911=WkStart,COUNTIF($S$5:$S911,WkStart),""))</f>
        <v/>
      </c>
    </row>
    <row r="912">
      <c r="A912" s="16">
        <f>IF($B912="","",ROW()-4)</f>
        <v/>
      </c>
      <c r="B912" s="17" t="n"/>
      <c r="C912" s="18" t="n"/>
      <c r="D912" s="18" t="n"/>
      <c r="E912" s="19" t="n"/>
      <c r="F912" s="19" t="n"/>
      <c r="G912" s="18" t="n"/>
      <c r="H912" s="18" t="n"/>
      <c r="I912" s="18" t="n"/>
      <c r="J912" s="20" t="n"/>
      <c r="K912" s="21" t="n"/>
      <c r="L912" s="21" t="n"/>
      <c r="M912" s="18" t="n"/>
      <c r="N912" s="22">
        <f>IF($B912="","",CHOOSE(WEEKDAY($B912),"الأحد","الاثنين","الثلاثاء","الأربعاء","الخميس","الجمعة","السبت"))</f>
        <v/>
      </c>
      <c r="O912" s="23">
        <f>IF(OR($K912="",$L912=""),"",HYPERLINK("https://maps.google.com/?q="&amp;$K912&amp;","&amp;$L912,"عرض الموقع"))</f>
        <v/>
      </c>
      <c r="P912" s="23">
        <f>IF(OR($B912="",N($J912)=0),"",HYPERLINK(PhotoDir&amp;"/"&amp;YEAR($B912)&amp;"-"&amp;TEXT(MONTH($B912),"00")&amp;"-"&amp;TEXT(DAY($B912),"00")&amp;"_"&amp;$D912,"فتح الصور ("&amp;$J912&amp;")"))</f>
        <v/>
      </c>
      <c r="Q912" s="24">
        <f>IF($B912="","",MONTH($B912))</f>
        <v/>
      </c>
      <c r="R912" s="24">
        <f>IF($B912="","",YEAR($B912))</f>
        <v/>
      </c>
      <c r="S912" s="25">
        <f>IF($B912="","",$B912-WEEKDAY($B912,3))</f>
        <v/>
      </c>
      <c r="T912" s="24">
        <f>IF($B912="",0,IF(COUNTIFS($B$5:$B912,$B912,$D$5:$D912,$D912)=1,1,0))</f>
        <v/>
      </c>
      <c r="U912" s="24">
        <f>IF($B912="",0,IF(COUNTIFS($B$5:$B912,$B912,$C$5:$C912,$C912)=1,1,0))</f>
        <v/>
      </c>
      <c r="V912" s="24">
        <f>IF(OR($B912="",$G912="",$G912="لا توجد مشاهدات"),0,1)</f>
        <v/>
      </c>
      <c r="W912" s="24">
        <f>IF(AND($B912&lt;&gt;"",$I912="تم تحرير مخالفة"),1,0)</f>
        <v/>
      </c>
      <c r="X912" s="24">
        <f>IF($B912="","",IF($S912=WkStart,COUNTIF($S$5:$S912,WkStart),""))</f>
        <v/>
      </c>
    </row>
    <row r="913">
      <c r="A913" s="16">
        <f>IF($B913="","",ROW()-4)</f>
        <v/>
      </c>
      <c r="B913" s="17" t="n"/>
      <c r="C913" s="18" t="n"/>
      <c r="D913" s="18" t="n"/>
      <c r="E913" s="19" t="n"/>
      <c r="F913" s="19" t="n"/>
      <c r="G913" s="18" t="n"/>
      <c r="H913" s="18" t="n"/>
      <c r="I913" s="18" t="n"/>
      <c r="J913" s="20" t="n"/>
      <c r="K913" s="21" t="n"/>
      <c r="L913" s="21" t="n"/>
      <c r="M913" s="18" t="n"/>
      <c r="N913" s="22">
        <f>IF($B913="","",CHOOSE(WEEKDAY($B913),"الأحد","الاثنين","الثلاثاء","الأربعاء","الخميس","الجمعة","السبت"))</f>
        <v/>
      </c>
      <c r="O913" s="23">
        <f>IF(OR($K913="",$L913=""),"",HYPERLINK("https://maps.google.com/?q="&amp;$K913&amp;","&amp;$L913,"عرض الموقع"))</f>
        <v/>
      </c>
      <c r="P913" s="23">
        <f>IF(OR($B913="",N($J913)=0),"",HYPERLINK(PhotoDir&amp;"/"&amp;YEAR($B913)&amp;"-"&amp;TEXT(MONTH($B913),"00")&amp;"-"&amp;TEXT(DAY($B913),"00")&amp;"_"&amp;$D913,"فتح الصور ("&amp;$J913&amp;")"))</f>
        <v/>
      </c>
      <c r="Q913" s="24">
        <f>IF($B913="","",MONTH($B913))</f>
        <v/>
      </c>
      <c r="R913" s="24">
        <f>IF($B913="","",YEAR($B913))</f>
        <v/>
      </c>
      <c r="S913" s="25">
        <f>IF($B913="","",$B913-WEEKDAY($B913,3))</f>
        <v/>
      </c>
      <c r="T913" s="24">
        <f>IF($B913="",0,IF(COUNTIFS($B$5:$B913,$B913,$D$5:$D913,$D913)=1,1,0))</f>
        <v/>
      </c>
      <c r="U913" s="24">
        <f>IF($B913="",0,IF(COUNTIFS($B$5:$B913,$B913,$C$5:$C913,$C913)=1,1,0))</f>
        <v/>
      </c>
      <c r="V913" s="24">
        <f>IF(OR($B913="",$G913="",$G913="لا توجد مشاهدات"),0,1)</f>
        <v/>
      </c>
      <c r="W913" s="24">
        <f>IF(AND($B913&lt;&gt;"",$I913="تم تحرير مخالفة"),1,0)</f>
        <v/>
      </c>
      <c r="X913" s="24">
        <f>IF($B913="","",IF($S913=WkStart,COUNTIF($S$5:$S913,WkStart),""))</f>
        <v/>
      </c>
    </row>
    <row r="914">
      <c r="A914" s="16">
        <f>IF($B914="","",ROW()-4)</f>
        <v/>
      </c>
      <c r="B914" s="17" t="n"/>
      <c r="C914" s="18" t="n"/>
      <c r="D914" s="18" t="n"/>
      <c r="E914" s="19" t="n"/>
      <c r="F914" s="19" t="n"/>
      <c r="G914" s="18" t="n"/>
      <c r="H914" s="18" t="n"/>
      <c r="I914" s="18" t="n"/>
      <c r="J914" s="20" t="n"/>
      <c r="K914" s="21" t="n"/>
      <c r="L914" s="21" t="n"/>
      <c r="M914" s="18" t="n"/>
      <c r="N914" s="22">
        <f>IF($B914="","",CHOOSE(WEEKDAY($B914),"الأحد","الاثنين","الثلاثاء","الأربعاء","الخميس","الجمعة","السبت"))</f>
        <v/>
      </c>
      <c r="O914" s="23">
        <f>IF(OR($K914="",$L914=""),"",HYPERLINK("https://maps.google.com/?q="&amp;$K914&amp;","&amp;$L914,"عرض الموقع"))</f>
        <v/>
      </c>
      <c r="P914" s="23">
        <f>IF(OR($B914="",N($J914)=0),"",HYPERLINK(PhotoDir&amp;"/"&amp;YEAR($B914)&amp;"-"&amp;TEXT(MONTH($B914),"00")&amp;"-"&amp;TEXT(DAY($B914),"00")&amp;"_"&amp;$D914,"فتح الصور ("&amp;$J914&amp;")"))</f>
        <v/>
      </c>
      <c r="Q914" s="24">
        <f>IF($B914="","",MONTH($B914))</f>
        <v/>
      </c>
      <c r="R914" s="24">
        <f>IF($B914="","",YEAR($B914))</f>
        <v/>
      </c>
      <c r="S914" s="25">
        <f>IF($B914="","",$B914-WEEKDAY($B914,3))</f>
        <v/>
      </c>
      <c r="T914" s="24">
        <f>IF($B914="",0,IF(COUNTIFS($B$5:$B914,$B914,$D$5:$D914,$D914)=1,1,0))</f>
        <v/>
      </c>
      <c r="U914" s="24">
        <f>IF($B914="",0,IF(COUNTIFS($B$5:$B914,$B914,$C$5:$C914,$C914)=1,1,0))</f>
        <v/>
      </c>
      <c r="V914" s="24">
        <f>IF(OR($B914="",$G914="",$G914="لا توجد مشاهدات"),0,1)</f>
        <v/>
      </c>
      <c r="W914" s="24">
        <f>IF(AND($B914&lt;&gt;"",$I914="تم تحرير مخالفة"),1,0)</f>
        <v/>
      </c>
      <c r="X914" s="24">
        <f>IF($B914="","",IF($S914=WkStart,COUNTIF($S$5:$S914,WkStart),""))</f>
        <v/>
      </c>
    </row>
    <row r="915">
      <c r="A915" s="16">
        <f>IF($B915="","",ROW()-4)</f>
        <v/>
      </c>
      <c r="B915" s="17" t="n"/>
      <c r="C915" s="18" t="n"/>
      <c r="D915" s="18" t="n"/>
      <c r="E915" s="19" t="n"/>
      <c r="F915" s="19" t="n"/>
      <c r="G915" s="18" t="n"/>
      <c r="H915" s="18" t="n"/>
      <c r="I915" s="18" t="n"/>
      <c r="J915" s="20" t="n"/>
      <c r="K915" s="21" t="n"/>
      <c r="L915" s="21" t="n"/>
      <c r="M915" s="18" t="n"/>
      <c r="N915" s="22">
        <f>IF($B915="","",CHOOSE(WEEKDAY($B915),"الأحد","الاثنين","الثلاثاء","الأربعاء","الخميس","الجمعة","السبت"))</f>
        <v/>
      </c>
      <c r="O915" s="23">
        <f>IF(OR($K915="",$L915=""),"",HYPERLINK("https://maps.google.com/?q="&amp;$K915&amp;","&amp;$L915,"عرض الموقع"))</f>
        <v/>
      </c>
      <c r="P915" s="23">
        <f>IF(OR($B915="",N($J915)=0),"",HYPERLINK(PhotoDir&amp;"/"&amp;YEAR($B915)&amp;"-"&amp;TEXT(MONTH($B915),"00")&amp;"-"&amp;TEXT(DAY($B915),"00")&amp;"_"&amp;$D915,"فتح الصور ("&amp;$J915&amp;")"))</f>
        <v/>
      </c>
      <c r="Q915" s="24">
        <f>IF($B915="","",MONTH($B915))</f>
        <v/>
      </c>
      <c r="R915" s="24">
        <f>IF($B915="","",YEAR($B915))</f>
        <v/>
      </c>
      <c r="S915" s="25">
        <f>IF($B915="","",$B915-WEEKDAY($B915,3))</f>
        <v/>
      </c>
      <c r="T915" s="24">
        <f>IF($B915="",0,IF(COUNTIFS($B$5:$B915,$B915,$D$5:$D915,$D915)=1,1,0))</f>
        <v/>
      </c>
      <c r="U915" s="24">
        <f>IF($B915="",0,IF(COUNTIFS($B$5:$B915,$B915,$C$5:$C915,$C915)=1,1,0))</f>
        <v/>
      </c>
      <c r="V915" s="24">
        <f>IF(OR($B915="",$G915="",$G915="لا توجد مشاهدات"),0,1)</f>
        <v/>
      </c>
      <c r="W915" s="24">
        <f>IF(AND($B915&lt;&gt;"",$I915="تم تحرير مخالفة"),1,0)</f>
        <v/>
      </c>
      <c r="X915" s="24">
        <f>IF($B915="","",IF($S915=WkStart,COUNTIF($S$5:$S915,WkStart),""))</f>
        <v/>
      </c>
    </row>
    <row r="916">
      <c r="A916" s="16">
        <f>IF($B916="","",ROW()-4)</f>
        <v/>
      </c>
      <c r="B916" s="17" t="n"/>
      <c r="C916" s="18" t="n"/>
      <c r="D916" s="18" t="n"/>
      <c r="E916" s="19" t="n"/>
      <c r="F916" s="19" t="n"/>
      <c r="G916" s="18" t="n"/>
      <c r="H916" s="18" t="n"/>
      <c r="I916" s="18" t="n"/>
      <c r="J916" s="20" t="n"/>
      <c r="K916" s="21" t="n"/>
      <c r="L916" s="21" t="n"/>
      <c r="M916" s="18" t="n"/>
      <c r="N916" s="22">
        <f>IF($B916="","",CHOOSE(WEEKDAY($B916),"الأحد","الاثنين","الثلاثاء","الأربعاء","الخميس","الجمعة","السبت"))</f>
        <v/>
      </c>
      <c r="O916" s="23">
        <f>IF(OR($K916="",$L916=""),"",HYPERLINK("https://maps.google.com/?q="&amp;$K916&amp;","&amp;$L916,"عرض الموقع"))</f>
        <v/>
      </c>
      <c r="P916" s="23">
        <f>IF(OR($B916="",N($J916)=0),"",HYPERLINK(PhotoDir&amp;"/"&amp;YEAR($B916)&amp;"-"&amp;TEXT(MONTH($B916),"00")&amp;"-"&amp;TEXT(DAY($B916),"00")&amp;"_"&amp;$D916,"فتح الصور ("&amp;$J916&amp;")"))</f>
        <v/>
      </c>
      <c r="Q916" s="24">
        <f>IF($B916="","",MONTH($B916))</f>
        <v/>
      </c>
      <c r="R916" s="24">
        <f>IF($B916="","",YEAR($B916))</f>
        <v/>
      </c>
      <c r="S916" s="25">
        <f>IF($B916="","",$B916-WEEKDAY($B916,3))</f>
        <v/>
      </c>
      <c r="T916" s="24">
        <f>IF($B916="",0,IF(COUNTIFS($B$5:$B916,$B916,$D$5:$D916,$D916)=1,1,0))</f>
        <v/>
      </c>
      <c r="U916" s="24">
        <f>IF($B916="",0,IF(COUNTIFS($B$5:$B916,$B916,$C$5:$C916,$C916)=1,1,0))</f>
        <v/>
      </c>
      <c r="V916" s="24">
        <f>IF(OR($B916="",$G916="",$G916="لا توجد مشاهدات"),0,1)</f>
        <v/>
      </c>
      <c r="W916" s="24">
        <f>IF(AND($B916&lt;&gt;"",$I916="تم تحرير مخالفة"),1,0)</f>
        <v/>
      </c>
      <c r="X916" s="24">
        <f>IF($B916="","",IF($S916=WkStart,COUNTIF($S$5:$S916,WkStart),""))</f>
        <v/>
      </c>
    </row>
    <row r="917">
      <c r="A917" s="16">
        <f>IF($B917="","",ROW()-4)</f>
        <v/>
      </c>
      <c r="B917" s="17" t="n"/>
      <c r="C917" s="18" t="n"/>
      <c r="D917" s="18" t="n"/>
      <c r="E917" s="19" t="n"/>
      <c r="F917" s="19" t="n"/>
      <c r="G917" s="18" t="n"/>
      <c r="H917" s="18" t="n"/>
      <c r="I917" s="18" t="n"/>
      <c r="J917" s="20" t="n"/>
      <c r="K917" s="21" t="n"/>
      <c r="L917" s="21" t="n"/>
      <c r="M917" s="18" t="n"/>
      <c r="N917" s="22">
        <f>IF($B917="","",CHOOSE(WEEKDAY($B917),"الأحد","الاثنين","الثلاثاء","الأربعاء","الخميس","الجمعة","السبت"))</f>
        <v/>
      </c>
      <c r="O917" s="23">
        <f>IF(OR($K917="",$L917=""),"",HYPERLINK("https://maps.google.com/?q="&amp;$K917&amp;","&amp;$L917,"عرض الموقع"))</f>
        <v/>
      </c>
      <c r="P917" s="23">
        <f>IF(OR($B917="",N($J917)=0),"",HYPERLINK(PhotoDir&amp;"/"&amp;YEAR($B917)&amp;"-"&amp;TEXT(MONTH($B917),"00")&amp;"-"&amp;TEXT(DAY($B917),"00")&amp;"_"&amp;$D917,"فتح الصور ("&amp;$J917&amp;")"))</f>
        <v/>
      </c>
      <c r="Q917" s="24">
        <f>IF($B917="","",MONTH($B917))</f>
        <v/>
      </c>
      <c r="R917" s="24">
        <f>IF($B917="","",YEAR($B917))</f>
        <v/>
      </c>
      <c r="S917" s="25">
        <f>IF($B917="","",$B917-WEEKDAY($B917,3))</f>
        <v/>
      </c>
      <c r="T917" s="24">
        <f>IF($B917="",0,IF(COUNTIFS($B$5:$B917,$B917,$D$5:$D917,$D917)=1,1,0))</f>
        <v/>
      </c>
      <c r="U917" s="24">
        <f>IF($B917="",0,IF(COUNTIFS($B$5:$B917,$B917,$C$5:$C917,$C917)=1,1,0))</f>
        <v/>
      </c>
      <c r="V917" s="24">
        <f>IF(OR($B917="",$G917="",$G917="لا توجد مشاهدات"),0,1)</f>
        <v/>
      </c>
      <c r="W917" s="24">
        <f>IF(AND($B917&lt;&gt;"",$I917="تم تحرير مخالفة"),1,0)</f>
        <v/>
      </c>
      <c r="X917" s="24">
        <f>IF($B917="","",IF($S917=WkStart,COUNTIF($S$5:$S917,WkStart),""))</f>
        <v/>
      </c>
    </row>
    <row r="918">
      <c r="A918" s="16">
        <f>IF($B918="","",ROW()-4)</f>
        <v/>
      </c>
      <c r="B918" s="17" t="n"/>
      <c r="C918" s="18" t="n"/>
      <c r="D918" s="18" t="n"/>
      <c r="E918" s="19" t="n"/>
      <c r="F918" s="19" t="n"/>
      <c r="G918" s="18" t="n"/>
      <c r="H918" s="18" t="n"/>
      <c r="I918" s="18" t="n"/>
      <c r="J918" s="20" t="n"/>
      <c r="K918" s="21" t="n"/>
      <c r="L918" s="21" t="n"/>
      <c r="M918" s="18" t="n"/>
      <c r="N918" s="22">
        <f>IF($B918="","",CHOOSE(WEEKDAY($B918),"الأحد","الاثنين","الثلاثاء","الأربعاء","الخميس","الجمعة","السبت"))</f>
        <v/>
      </c>
      <c r="O918" s="23">
        <f>IF(OR($K918="",$L918=""),"",HYPERLINK("https://maps.google.com/?q="&amp;$K918&amp;","&amp;$L918,"عرض الموقع"))</f>
        <v/>
      </c>
      <c r="P918" s="23">
        <f>IF(OR($B918="",N($J918)=0),"",HYPERLINK(PhotoDir&amp;"/"&amp;YEAR($B918)&amp;"-"&amp;TEXT(MONTH($B918),"00")&amp;"-"&amp;TEXT(DAY($B918),"00")&amp;"_"&amp;$D918,"فتح الصور ("&amp;$J918&amp;")"))</f>
        <v/>
      </c>
      <c r="Q918" s="24">
        <f>IF($B918="","",MONTH($B918))</f>
        <v/>
      </c>
      <c r="R918" s="24">
        <f>IF($B918="","",YEAR($B918))</f>
        <v/>
      </c>
      <c r="S918" s="25">
        <f>IF($B918="","",$B918-WEEKDAY($B918,3))</f>
        <v/>
      </c>
      <c r="T918" s="24">
        <f>IF($B918="",0,IF(COUNTIFS($B$5:$B918,$B918,$D$5:$D918,$D918)=1,1,0))</f>
        <v/>
      </c>
      <c r="U918" s="24">
        <f>IF($B918="",0,IF(COUNTIFS($B$5:$B918,$B918,$C$5:$C918,$C918)=1,1,0))</f>
        <v/>
      </c>
      <c r="V918" s="24">
        <f>IF(OR($B918="",$G918="",$G918="لا توجد مشاهدات"),0,1)</f>
        <v/>
      </c>
      <c r="W918" s="24">
        <f>IF(AND($B918&lt;&gt;"",$I918="تم تحرير مخالفة"),1,0)</f>
        <v/>
      </c>
      <c r="X918" s="24">
        <f>IF($B918="","",IF($S918=WkStart,COUNTIF($S$5:$S918,WkStart),""))</f>
        <v/>
      </c>
    </row>
    <row r="919">
      <c r="A919" s="16">
        <f>IF($B919="","",ROW()-4)</f>
        <v/>
      </c>
      <c r="B919" s="17" t="n"/>
      <c r="C919" s="18" t="n"/>
      <c r="D919" s="18" t="n"/>
      <c r="E919" s="19" t="n"/>
      <c r="F919" s="19" t="n"/>
      <c r="G919" s="18" t="n"/>
      <c r="H919" s="18" t="n"/>
      <c r="I919" s="18" t="n"/>
      <c r="J919" s="20" t="n"/>
      <c r="K919" s="21" t="n"/>
      <c r="L919" s="21" t="n"/>
      <c r="M919" s="18" t="n"/>
      <c r="N919" s="22">
        <f>IF($B919="","",CHOOSE(WEEKDAY($B919),"الأحد","الاثنين","الثلاثاء","الأربعاء","الخميس","الجمعة","السبت"))</f>
        <v/>
      </c>
      <c r="O919" s="23">
        <f>IF(OR($K919="",$L919=""),"",HYPERLINK("https://maps.google.com/?q="&amp;$K919&amp;","&amp;$L919,"عرض الموقع"))</f>
        <v/>
      </c>
      <c r="P919" s="23">
        <f>IF(OR($B919="",N($J919)=0),"",HYPERLINK(PhotoDir&amp;"/"&amp;YEAR($B919)&amp;"-"&amp;TEXT(MONTH($B919),"00")&amp;"-"&amp;TEXT(DAY($B919),"00")&amp;"_"&amp;$D919,"فتح الصور ("&amp;$J919&amp;")"))</f>
        <v/>
      </c>
      <c r="Q919" s="24">
        <f>IF($B919="","",MONTH($B919))</f>
        <v/>
      </c>
      <c r="R919" s="24">
        <f>IF($B919="","",YEAR($B919))</f>
        <v/>
      </c>
      <c r="S919" s="25">
        <f>IF($B919="","",$B919-WEEKDAY($B919,3))</f>
        <v/>
      </c>
      <c r="T919" s="24">
        <f>IF($B919="",0,IF(COUNTIFS($B$5:$B919,$B919,$D$5:$D919,$D919)=1,1,0))</f>
        <v/>
      </c>
      <c r="U919" s="24">
        <f>IF($B919="",0,IF(COUNTIFS($B$5:$B919,$B919,$C$5:$C919,$C919)=1,1,0))</f>
        <v/>
      </c>
      <c r="V919" s="24">
        <f>IF(OR($B919="",$G919="",$G919="لا توجد مشاهدات"),0,1)</f>
        <v/>
      </c>
      <c r="W919" s="24">
        <f>IF(AND($B919&lt;&gt;"",$I919="تم تحرير مخالفة"),1,0)</f>
        <v/>
      </c>
      <c r="X919" s="24">
        <f>IF($B919="","",IF($S919=WkStart,COUNTIF($S$5:$S919,WkStart),""))</f>
        <v/>
      </c>
    </row>
    <row r="920">
      <c r="A920" s="16">
        <f>IF($B920="","",ROW()-4)</f>
        <v/>
      </c>
      <c r="B920" s="17" t="n"/>
      <c r="C920" s="18" t="n"/>
      <c r="D920" s="18" t="n"/>
      <c r="E920" s="19" t="n"/>
      <c r="F920" s="19" t="n"/>
      <c r="G920" s="18" t="n"/>
      <c r="H920" s="18" t="n"/>
      <c r="I920" s="18" t="n"/>
      <c r="J920" s="20" t="n"/>
      <c r="K920" s="21" t="n"/>
      <c r="L920" s="21" t="n"/>
      <c r="M920" s="18" t="n"/>
      <c r="N920" s="22">
        <f>IF($B920="","",CHOOSE(WEEKDAY($B920),"الأحد","الاثنين","الثلاثاء","الأربعاء","الخميس","الجمعة","السبت"))</f>
        <v/>
      </c>
      <c r="O920" s="23">
        <f>IF(OR($K920="",$L920=""),"",HYPERLINK("https://maps.google.com/?q="&amp;$K920&amp;","&amp;$L920,"عرض الموقع"))</f>
        <v/>
      </c>
      <c r="P920" s="23">
        <f>IF(OR($B920="",N($J920)=0),"",HYPERLINK(PhotoDir&amp;"/"&amp;YEAR($B920)&amp;"-"&amp;TEXT(MONTH($B920),"00")&amp;"-"&amp;TEXT(DAY($B920),"00")&amp;"_"&amp;$D920,"فتح الصور ("&amp;$J920&amp;")"))</f>
        <v/>
      </c>
      <c r="Q920" s="24">
        <f>IF($B920="","",MONTH($B920))</f>
        <v/>
      </c>
      <c r="R920" s="24">
        <f>IF($B920="","",YEAR($B920))</f>
        <v/>
      </c>
      <c r="S920" s="25">
        <f>IF($B920="","",$B920-WEEKDAY($B920,3))</f>
        <v/>
      </c>
      <c r="T920" s="24">
        <f>IF($B920="",0,IF(COUNTIFS($B$5:$B920,$B920,$D$5:$D920,$D920)=1,1,0))</f>
        <v/>
      </c>
      <c r="U920" s="24">
        <f>IF($B920="",0,IF(COUNTIFS($B$5:$B920,$B920,$C$5:$C920,$C920)=1,1,0))</f>
        <v/>
      </c>
      <c r="V920" s="24">
        <f>IF(OR($B920="",$G920="",$G920="لا توجد مشاهدات"),0,1)</f>
        <v/>
      </c>
      <c r="W920" s="24">
        <f>IF(AND($B920&lt;&gt;"",$I920="تم تحرير مخالفة"),1,0)</f>
        <v/>
      </c>
      <c r="X920" s="24">
        <f>IF($B920="","",IF($S920=WkStart,COUNTIF($S$5:$S920,WkStart),""))</f>
        <v/>
      </c>
    </row>
    <row r="921">
      <c r="A921" s="16">
        <f>IF($B921="","",ROW()-4)</f>
        <v/>
      </c>
      <c r="B921" s="17" t="n"/>
      <c r="C921" s="18" t="n"/>
      <c r="D921" s="18" t="n"/>
      <c r="E921" s="19" t="n"/>
      <c r="F921" s="19" t="n"/>
      <c r="G921" s="18" t="n"/>
      <c r="H921" s="18" t="n"/>
      <c r="I921" s="18" t="n"/>
      <c r="J921" s="20" t="n"/>
      <c r="K921" s="21" t="n"/>
      <c r="L921" s="21" t="n"/>
      <c r="M921" s="18" t="n"/>
      <c r="N921" s="22">
        <f>IF($B921="","",CHOOSE(WEEKDAY($B921),"الأحد","الاثنين","الثلاثاء","الأربعاء","الخميس","الجمعة","السبت"))</f>
        <v/>
      </c>
      <c r="O921" s="23">
        <f>IF(OR($K921="",$L921=""),"",HYPERLINK("https://maps.google.com/?q="&amp;$K921&amp;","&amp;$L921,"عرض الموقع"))</f>
        <v/>
      </c>
      <c r="P921" s="23">
        <f>IF(OR($B921="",N($J921)=0),"",HYPERLINK(PhotoDir&amp;"/"&amp;YEAR($B921)&amp;"-"&amp;TEXT(MONTH($B921),"00")&amp;"-"&amp;TEXT(DAY($B921),"00")&amp;"_"&amp;$D921,"فتح الصور ("&amp;$J921&amp;")"))</f>
        <v/>
      </c>
      <c r="Q921" s="24">
        <f>IF($B921="","",MONTH($B921))</f>
        <v/>
      </c>
      <c r="R921" s="24">
        <f>IF($B921="","",YEAR($B921))</f>
        <v/>
      </c>
      <c r="S921" s="25">
        <f>IF($B921="","",$B921-WEEKDAY($B921,3))</f>
        <v/>
      </c>
      <c r="T921" s="24">
        <f>IF($B921="",0,IF(COUNTIFS($B$5:$B921,$B921,$D$5:$D921,$D921)=1,1,0))</f>
        <v/>
      </c>
      <c r="U921" s="24">
        <f>IF($B921="",0,IF(COUNTIFS($B$5:$B921,$B921,$C$5:$C921,$C921)=1,1,0))</f>
        <v/>
      </c>
      <c r="V921" s="24">
        <f>IF(OR($B921="",$G921="",$G921="لا توجد مشاهدات"),0,1)</f>
        <v/>
      </c>
      <c r="W921" s="24">
        <f>IF(AND($B921&lt;&gt;"",$I921="تم تحرير مخالفة"),1,0)</f>
        <v/>
      </c>
      <c r="X921" s="24">
        <f>IF($B921="","",IF($S921=WkStart,COUNTIF($S$5:$S921,WkStart),""))</f>
        <v/>
      </c>
    </row>
    <row r="922">
      <c r="A922" s="16">
        <f>IF($B922="","",ROW()-4)</f>
        <v/>
      </c>
      <c r="B922" s="17" t="n"/>
      <c r="C922" s="18" t="n"/>
      <c r="D922" s="18" t="n"/>
      <c r="E922" s="19" t="n"/>
      <c r="F922" s="19" t="n"/>
      <c r="G922" s="18" t="n"/>
      <c r="H922" s="18" t="n"/>
      <c r="I922" s="18" t="n"/>
      <c r="J922" s="20" t="n"/>
      <c r="K922" s="21" t="n"/>
      <c r="L922" s="21" t="n"/>
      <c r="M922" s="18" t="n"/>
      <c r="N922" s="22">
        <f>IF($B922="","",CHOOSE(WEEKDAY($B922),"الأحد","الاثنين","الثلاثاء","الأربعاء","الخميس","الجمعة","السبت"))</f>
        <v/>
      </c>
      <c r="O922" s="23">
        <f>IF(OR($K922="",$L922=""),"",HYPERLINK("https://maps.google.com/?q="&amp;$K922&amp;","&amp;$L922,"عرض الموقع"))</f>
        <v/>
      </c>
      <c r="P922" s="23">
        <f>IF(OR($B922="",N($J922)=0),"",HYPERLINK(PhotoDir&amp;"/"&amp;YEAR($B922)&amp;"-"&amp;TEXT(MONTH($B922),"00")&amp;"-"&amp;TEXT(DAY($B922),"00")&amp;"_"&amp;$D922,"فتح الصور ("&amp;$J922&amp;")"))</f>
        <v/>
      </c>
      <c r="Q922" s="24">
        <f>IF($B922="","",MONTH($B922))</f>
        <v/>
      </c>
      <c r="R922" s="24">
        <f>IF($B922="","",YEAR($B922))</f>
        <v/>
      </c>
      <c r="S922" s="25">
        <f>IF($B922="","",$B922-WEEKDAY($B922,3))</f>
        <v/>
      </c>
      <c r="T922" s="24">
        <f>IF($B922="",0,IF(COUNTIFS($B$5:$B922,$B922,$D$5:$D922,$D922)=1,1,0))</f>
        <v/>
      </c>
      <c r="U922" s="24">
        <f>IF($B922="",0,IF(COUNTIFS($B$5:$B922,$B922,$C$5:$C922,$C922)=1,1,0))</f>
        <v/>
      </c>
      <c r="V922" s="24">
        <f>IF(OR($B922="",$G922="",$G922="لا توجد مشاهدات"),0,1)</f>
        <v/>
      </c>
      <c r="W922" s="24">
        <f>IF(AND($B922&lt;&gt;"",$I922="تم تحرير مخالفة"),1,0)</f>
        <v/>
      </c>
      <c r="X922" s="24">
        <f>IF($B922="","",IF($S922=WkStart,COUNTIF($S$5:$S922,WkStart),""))</f>
        <v/>
      </c>
    </row>
    <row r="923">
      <c r="A923" s="16">
        <f>IF($B923="","",ROW()-4)</f>
        <v/>
      </c>
      <c r="B923" s="17" t="n"/>
      <c r="C923" s="18" t="n"/>
      <c r="D923" s="18" t="n"/>
      <c r="E923" s="19" t="n"/>
      <c r="F923" s="19" t="n"/>
      <c r="G923" s="18" t="n"/>
      <c r="H923" s="18" t="n"/>
      <c r="I923" s="18" t="n"/>
      <c r="J923" s="20" t="n"/>
      <c r="K923" s="21" t="n"/>
      <c r="L923" s="21" t="n"/>
      <c r="M923" s="18" t="n"/>
      <c r="N923" s="22">
        <f>IF($B923="","",CHOOSE(WEEKDAY($B923),"الأحد","الاثنين","الثلاثاء","الأربعاء","الخميس","الجمعة","السبت"))</f>
        <v/>
      </c>
      <c r="O923" s="23">
        <f>IF(OR($K923="",$L923=""),"",HYPERLINK("https://maps.google.com/?q="&amp;$K923&amp;","&amp;$L923,"عرض الموقع"))</f>
        <v/>
      </c>
      <c r="P923" s="23">
        <f>IF(OR($B923="",N($J923)=0),"",HYPERLINK(PhotoDir&amp;"/"&amp;YEAR($B923)&amp;"-"&amp;TEXT(MONTH($B923),"00")&amp;"-"&amp;TEXT(DAY($B923),"00")&amp;"_"&amp;$D923,"فتح الصور ("&amp;$J923&amp;")"))</f>
        <v/>
      </c>
      <c r="Q923" s="24">
        <f>IF($B923="","",MONTH($B923))</f>
        <v/>
      </c>
      <c r="R923" s="24">
        <f>IF($B923="","",YEAR($B923))</f>
        <v/>
      </c>
      <c r="S923" s="25">
        <f>IF($B923="","",$B923-WEEKDAY($B923,3))</f>
        <v/>
      </c>
      <c r="T923" s="24">
        <f>IF($B923="",0,IF(COUNTIFS($B$5:$B923,$B923,$D$5:$D923,$D923)=1,1,0))</f>
        <v/>
      </c>
      <c r="U923" s="24">
        <f>IF($B923="",0,IF(COUNTIFS($B$5:$B923,$B923,$C$5:$C923,$C923)=1,1,0))</f>
        <v/>
      </c>
      <c r="V923" s="24">
        <f>IF(OR($B923="",$G923="",$G923="لا توجد مشاهدات"),0,1)</f>
        <v/>
      </c>
      <c r="W923" s="24">
        <f>IF(AND($B923&lt;&gt;"",$I923="تم تحرير مخالفة"),1,0)</f>
        <v/>
      </c>
      <c r="X923" s="24">
        <f>IF($B923="","",IF($S923=WkStart,COUNTIF($S$5:$S923,WkStart),""))</f>
        <v/>
      </c>
    </row>
    <row r="924">
      <c r="A924" s="16">
        <f>IF($B924="","",ROW()-4)</f>
        <v/>
      </c>
      <c r="B924" s="17" t="n"/>
      <c r="C924" s="18" t="n"/>
      <c r="D924" s="18" t="n"/>
      <c r="E924" s="19" t="n"/>
      <c r="F924" s="19" t="n"/>
      <c r="G924" s="18" t="n"/>
      <c r="H924" s="18" t="n"/>
      <c r="I924" s="18" t="n"/>
      <c r="J924" s="20" t="n"/>
      <c r="K924" s="21" t="n"/>
      <c r="L924" s="21" t="n"/>
      <c r="M924" s="18" t="n"/>
      <c r="N924" s="22">
        <f>IF($B924="","",CHOOSE(WEEKDAY($B924),"الأحد","الاثنين","الثلاثاء","الأربعاء","الخميس","الجمعة","السبت"))</f>
        <v/>
      </c>
      <c r="O924" s="23">
        <f>IF(OR($K924="",$L924=""),"",HYPERLINK("https://maps.google.com/?q="&amp;$K924&amp;","&amp;$L924,"عرض الموقع"))</f>
        <v/>
      </c>
      <c r="P924" s="23">
        <f>IF(OR($B924="",N($J924)=0),"",HYPERLINK(PhotoDir&amp;"/"&amp;YEAR($B924)&amp;"-"&amp;TEXT(MONTH($B924),"00")&amp;"-"&amp;TEXT(DAY($B924),"00")&amp;"_"&amp;$D924,"فتح الصور ("&amp;$J924&amp;")"))</f>
        <v/>
      </c>
      <c r="Q924" s="24">
        <f>IF($B924="","",MONTH($B924))</f>
        <v/>
      </c>
      <c r="R924" s="24">
        <f>IF($B924="","",YEAR($B924))</f>
        <v/>
      </c>
      <c r="S924" s="25">
        <f>IF($B924="","",$B924-WEEKDAY($B924,3))</f>
        <v/>
      </c>
      <c r="T924" s="24">
        <f>IF($B924="",0,IF(COUNTIFS($B$5:$B924,$B924,$D$5:$D924,$D924)=1,1,0))</f>
        <v/>
      </c>
      <c r="U924" s="24">
        <f>IF($B924="",0,IF(COUNTIFS($B$5:$B924,$B924,$C$5:$C924,$C924)=1,1,0))</f>
        <v/>
      </c>
      <c r="V924" s="24">
        <f>IF(OR($B924="",$G924="",$G924="لا توجد مشاهدات"),0,1)</f>
        <v/>
      </c>
      <c r="W924" s="24">
        <f>IF(AND($B924&lt;&gt;"",$I924="تم تحرير مخالفة"),1,0)</f>
        <v/>
      </c>
      <c r="X924" s="24">
        <f>IF($B924="","",IF($S924=WkStart,COUNTIF($S$5:$S924,WkStart),""))</f>
        <v/>
      </c>
    </row>
    <row r="925">
      <c r="A925" s="16">
        <f>IF($B925="","",ROW()-4)</f>
        <v/>
      </c>
      <c r="B925" s="17" t="n"/>
      <c r="C925" s="18" t="n"/>
      <c r="D925" s="18" t="n"/>
      <c r="E925" s="19" t="n"/>
      <c r="F925" s="19" t="n"/>
      <c r="G925" s="18" t="n"/>
      <c r="H925" s="18" t="n"/>
      <c r="I925" s="18" t="n"/>
      <c r="J925" s="20" t="n"/>
      <c r="K925" s="21" t="n"/>
      <c r="L925" s="21" t="n"/>
      <c r="M925" s="18" t="n"/>
      <c r="N925" s="22">
        <f>IF($B925="","",CHOOSE(WEEKDAY($B925),"الأحد","الاثنين","الثلاثاء","الأربعاء","الخميس","الجمعة","السبت"))</f>
        <v/>
      </c>
      <c r="O925" s="23">
        <f>IF(OR($K925="",$L925=""),"",HYPERLINK("https://maps.google.com/?q="&amp;$K925&amp;","&amp;$L925,"عرض الموقع"))</f>
        <v/>
      </c>
      <c r="P925" s="23">
        <f>IF(OR($B925="",N($J925)=0),"",HYPERLINK(PhotoDir&amp;"/"&amp;YEAR($B925)&amp;"-"&amp;TEXT(MONTH($B925),"00")&amp;"-"&amp;TEXT(DAY($B925),"00")&amp;"_"&amp;$D925,"فتح الصور ("&amp;$J925&amp;")"))</f>
        <v/>
      </c>
      <c r="Q925" s="24">
        <f>IF($B925="","",MONTH($B925))</f>
        <v/>
      </c>
      <c r="R925" s="24">
        <f>IF($B925="","",YEAR($B925))</f>
        <v/>
      </c>
      <c r="S925" s="25">
        <f>IF($B925="","",$B925-WEEKDAY($B925,3))</f>
        <v/>
      </c>
      <c r="T925" s="24">
        <f>IF($B925="",0,IF(COUNTIFS($B$5:$B925,$B925,$D$5:$D925,$D925)=1,1,0))</f>
        <v/>
      </c>
      <c r="U925" s="24">
        <f>IF($B925="",0,IF(COUNTIFS($B$5:$B925,$B925,$C$5:$C925,$C925)=1,1,0))</f>
        <v/>
      </c>
      <c r="V925" s="24">
        <f>IF(OR($B925="",$G925="",$G925="لا توجد مشاهدات"),0,1)</f>
        <v/>
      </c>
      <c r="W925" s="24">
        <f>IF(AND($B925&lt;&gt;"",$I925="تم تحرير مخالفة"),1,0)</f>
        <v/>
      </c>
      <c r="X925" s="24">
        <f>IF($B925="","",IF($S925=WkStart,COUNTIF($S$5:$S925,WkStart),""))</f>
        <v/>
      </c>
    </row>
    <row r="926">
      <c r="A926" s="16">
        <f>IF($B926="","",ROW()-4)</f>
        <v/>
      </c>
      <c r="B926" s="17" t="n"/>
      <c r="C926" s="18" t="n"/>
      <c r="D926" s="18" t="n"/>
      <c r="E926" s="19" t="n"/>
      <c r="F926" s="19" t="n"/>
      <c r="G926" s="18" t="n"/>
      <c r="H926" s="18" t="n"/>
      <c r="I926" s="18" t="n"/>
      <c r="J926" s="20" t="n"/>
      <c r="K926" s="21" t="n"/>
      <c r="L926" s="21" t="n"/>
      <c r="M926" s="18" t="n"/>
      <c r="N926" s="22">
        <f>IF($B926="","",CHOOSE(WEEKDAY($B926),"الأحد","الاثنين","الثلاثاء","الأربعاء","الخميس","الجمعة","السبت"))</f>
        <v/>
      </c>
      <c r="O926" s="23">
        <f>IF(OR($K926="",$L926=""),"",HYPERLINK("https://maps.google.com/?q="&amp;$K926&amp;","&amp;$L926,"عرض الموقع"))</f>
        <v/>
      </c>
      <c r="P926" s="23">
        <f>IF(OR($B926="",N($J926)=0),"",HYPERLINK(PhotoDir&amp;"/"&amp;YEAR($B926)&amp;"-"&amp;TEXT(MONTH($B926),"00")&amp;"-"&amp;TEXT(DAY($B926),"00")&amp;"_"&amp;$D926,"فتح الصور ("&amp;$J926&amp;")"))</f>
        <v/>
      </c>
      <c r="Q926" s="24">
        <f>IF($B926="","",MONTH($B926))</f>
        <v/>
      </c>
      <c r="R926" s="24">
        <f>IF($B926="","",YEAR($B926))</f>
        <v/>
      </c>
      <c r="S926" s="25">
        <f>IF($B926="","",$B926-WEEKDAY($B926,3))</f>
        <v/>
      </c>
      <c r="T926" s="24">
        <f>IF($B926="",0,IF(COUNTIFS($B$5:$B926,$B926,$D$5:$D926,$D926)=1,1,0))</f>
        <v/>
      </c>
      <c r="U926" s="24">
        <f>IF($B926="",0,IF(COUNTIFS($B$5:$B926,$B926,$C$5:$C926,$C926)=1,1,0))</f>
        <v/>
      </c>
      <c r="V926" s="24">
        <f>IF(OR($B926="",$G926="",$G926="لا توجد مشاهدات"),0,1)</f>
        <v/>
      </c>
      <c r="W926" s="24">
        <f>IF(AND($B926&lt;&gt;"",$I926="تم تحرير مخالفة"),1,0)</f>
        <v/>
      </c>
      <c r="X926" s="24">
        <f>IF($B926="","",IF($S926=WkStart,COUNTIF($S$5:$S926,WkStart),""))</f>
        <v/>
      </c>
    </row>
    <row r="927">
      <c r="A927" s="16">
        <f>IF($B927="","",ROW()-4)</f>
        <v/>
      </c>
      <c r="B927" s="17" t="n"/>
      <c r="C927" s="18" t="n"/>
      <c r="D927" s="18" t="n"/>
      <c r="E927" s="19" t="n"/>
      <c r="F927" s="19" t="n"/>
      <c r="G927" s="18" t="n"/>
      <c r="H927" s="18" t="n"/>
      <c r="I927" s="18" t="n"/>
      <c r="J927" s="20" t="n"/>
      <c r="K927" s="21" t="n"/>
      <c r="L927" s="21" t="n"/>
      <c r="M927" s="18" t="n"/>
      <c r="N927" s="22">
        <f>IF($B927="","",CHOOSE(WEEKDAY($B927),"الأحد","الاثنين","الثلاثاء","الأربعاء","الخميس","الجمعة","السبت"))</f>
        <v/>
      </c>
      <c r="O927" s="23">
        <f>IF(OR($K927="",$L927=""),"",HYPERLINK("https://maps.google.com/?q="&amp;$K927&amp;","&amp;$L927,"عرض الموقع"))</f>
        <v/>
      </c>
      <c r="P927" s="23">
        <f>IF(OR($B927="",N($J927)=0),"",HYPERLINK(PhotoDir&amp;"/"&amp;YEAR($B927)&amp;"-"&amp;TEXT(MONTH($B927),"00")&amp;"-"&amp;TEXT(DAY($B927),"00")&amp;"_"&amp;$D927,"فتح الصور ("&amp;$J927&amp;")"))</f>
        <v/>
      </c>
      <c r="Q927" s="24">
        <f>IF($B927="","",MONTH($B927))</f>
        <v/>
      </c>
      <c r="R927" s="24">
        <f>IF($B927="","",YEAR($B927))</f>
        <v/>
      </c>
      <c r="S927" s="25">
        <f>IF($B927="","",$B927-WEEKDAY($B927,3))</f>
        <v/>
      </c>
      <c r="T927" s="24">
        <f>IF($B927="",0,IF(COUNTIFS($B$5:$B927,$B927,$D$5:$D927,$D927)=1,1,0))</f>
        <v/>
      </c>
      <c r="U927" s="24">
        <f>IF($B927="",0,IF(COUNTIFS($B$5:$B927,$B927,$C$5:$C927,$C927)=1,1,0))</f>
        <v/>
      </c>
      <c r="V927" s="24">
        <f>IF(OR($B927="",$G927="",$G927="لا توجد مشاهدات"),0,1)</f>
        <v/>
      </c>
      <c r="W927" s="24">
        <f>IF(AND($B927&lt;&gt;"",$I927="تم تحرير مخالفة"),1,0)</f>
        <v/>
      </c>
      <c r="X927" s="24">
        <f>IF($B927="","",IF($S927=WkStart,COUNTIF($S$5:$S927,WkStart),""))</f>
        <v/>
      </c>
    </row>
    <row r="928">
      <c r="A928" s="16">
        <f>IF($B928="","",ROW()-4)</f>
        <v/>
      </c>
      <c r="B928" s="17" t="n"/>
      <c r="C928" s="18" t="n"/>
      <c r="D928" s="18" t="n"/>
      <c r="E928" s="19" t="n"/>
      <c r="F928" s="19" t="n"/>
      <c r="G928" s="18" t="n"/>
      <c r="H928" s="18" t="n"/>
      <c r="I928" s="18" t="n"/>
      <c r="J928" s="20" t="n"/>
      <c r="K928" s="21" t="n"/>
      <c r="L928" s="21" t="n"/>
      <c r="M928" s="18" t="n"/>
      <c r="N928" s="22">
        <f>IF($B928="","",CHOOSE(WEEKDAY($B928),"الأحد","الاثنين","الثلاثاء","الأربعاء","الخميس","الجمعة","السبت"))</f>
        <v/>
      </c>
      <c r="O928" s="23">
        <f>IF(OR($K928="",$L928=""),"",HYPERLINK("https://maps.google.com/?q="&amp;$K928&amp;","&amp;$L928,"عرض الموقع"))</f>
        <v/>
      </c>
      <c r="P928" s="23">
        <f>IF(OR($B928="",N($J928)=0),"",HYPERLINK(PhotoDir&amp;"/"&amp;YEAR($B928)&amp;"-"&amp;TEXT(MONTH($B928),"00")&amp;"-"&amp;TEXT(DAY($B928),"00")&amp;"_"&amp;$D928,"فتح الصور ("&amp;$J928&amp;")"))</f>
        <v/>
      </c>
      <c r="Q928" s="24">
        <f>IF($B928="","",MONTH($B928))</f>
        <v/>
      </c>
      <c r="R928" s="24">
        <f>IF($B928="","",YEAR($B928))</f>
        <v/>
      </c>
      <c r="S928" s="25">
        <f>IF($B928="","",$B928-WEEKDAY($B928,3))</f>
        <v/>
      </c>
      <c r="T928" s="24">
        <f>IF($B928="",0,IF(COUNTIFS($B$5:$B928,$B928,$D$5:$D928,$D928)=1,1,0))</f>
        <v/>
      </c>
      <c r="U928" s="24">
        <f>IF($B928="",0,IF(COUNTIFS($B$5:$B928,$B928,$C$5:$C928,$C928)=1,1,0))</f>
        <v/>
      </c>
      <c r="V928" s="24">
        <f>IF(OR($B928="",$G928="",$G928="لا توجد مشاهدات"),0,1)</f>
        <v/>
      </c>
      <c r="W928" s="24">
        <f>IF(AND($B928&lt;&gt;"",$I928="تم تحرير مخالفة"),1,0)</f>
        <v/>
      </c>
      <c r="X928" s="24">
        <f>IF($B928="","",IF($S928=WkStart,COUNTIF($S$5:$S928,WkStart),""))</f>
        <v/>
      </c>
    </row>
    <row r="929">
      <c r="A929" s="16">
        <f>IF($B929="","",ROW()-4)</f>
        <v/>
      </c>
      <c r="B929" s="17" t="n"/>
      <c r="C929" s="18" t="n"/>
      <c r="D929" s="18" t="n"/>
      <c r="E929" s="19" t="n"/>
      <c r="F929" s="19" t="n"/>
      <c r="G929" s="18" t="n"/>
      <c r="H929" s="18" t="n"/>
      <c r="I929" s="18" t="n"/>
      <c r="J929" s="20" t="n"/>
      <c r="K929" s="21" t="n"/>
      <c r="L929" s="21" t="n"/>
      <c r="M929" s="18" t="n"/>
      <c r="N929" s="22">
        <f>IF($B929="","",CHOOSE(WEEKDAY($B929),"الأحد","الاثنين","الثلاثاء","الأربعاء","الخميس","الجمعة","السبت"))</f>
        <v/>
      </c>
      <c r="O929" s="23">
        <f>IF(OR($K929="",$L929=""),"",HYPERLINK("https://maps.google.com/?q="&amp;$K929&amp;","&amp;$L929,"عرض الموقع"))</f>
        <v/>
      </c>
      <c r="P929" s="23">
        <f>IF(OR($B929="",N($J929)=0),"",HYPERLINK(PhotoDir&amp;"/"&amp;YEAR($B929)&amp;"-"&amp;TEXT(MONTH($B929),"00")&amp;"-"&amp;TEXT(DAY($B929),"00")&amp;"_"&amp;$D929,"فتح الصور ("&amp;$J929&amp;")"))</f>
        <v/>
      </c>
      <c r="Q929" s="24">
        <f>IF($B929="","",MONTH($B929))</f>
        <v/>
      </c>
      <c r="R929" s="24">
        <f>IF($B929="","",YEAR($B929))</f>
        <v/>
      </c>
      <c r="S929" s="25">
        <f>IF($B929="","",$B929-WEEKDAY($B929,3))</f>
        <v/>
      </c>
      <c r="T929" s="24">
        <f>IF($B929="",0,IF(COUNTIFS($B$5:$B929,$B929,$D$5:$D929,$D929)=1,1,0))</f>
        <v/>
      </c>
      <c r="U929" s="24">
        <f>IF($B929="",0,IF(COUNTIFS($B$5:$B929,$B929,$C$5:$C929,$C929)=1,1,0))</f>
        <v/>
      </c>
      <c r="V929" s="24">
        <f>IF(OR($B929="",$G929="",$G929="لا توجد مشاهدات"),0,1)</f>
        <v/>
      </c>
      <c r="W929" s="24">
        <f>IF(AND($B929&lt;&gt;"",$I929="تم تحرير مخالفة"),1,0)</f>
        <v/>
      </c>
      <c r="X929" s="24">
        <f>IF($B929="","",IF($S929=WkStart,COUNTIF($S$5:$S929,WkStart),""))</f>
        <v/>
      </c>
    </row>
    <row r="930">
      <c r="A930" s="16">
        <f>IF($B930="","",ROW()-4)</f>
        <v/>
      </c>
      <c r="B930" s="17" t="n"/>
      <c r="C930" s="18" t="n"/>
      <c r="D930" s="18" t="n"/>
      <c r="E930" s="19" t="n"/>
      <c r="F930" s="19" t="n"/>
      <c r="G930" s="18" t="n"/>
      <c r="H930" s="18" t="n"/>
      <c r="I930" s="18" t="n"/>
      <c r="J930" s="20" t="n"/>
      <c r="K930" s="21" t="n"/>
      <c r="L930" s="21" t="n"/>
      <c r="M930" s="18" t="n"/>
      <c r="N930" s="22">
        <f>IF($B930="","",CHOOSE(WEEKDAY($B930),"الأحد","الاثنين","الثلاثاء","الأربعاء","الخميس","الجمعة","السبت"))</f>
        <v/>
      </c>
      <c r="O930" s="23">
        <f>IF(OR($K930="",$L930=""),"",HYPERLINK("https://maps.google.com/?q="&amp;$K930&amp;","&amp;$L930,"عرض الموقع"))</f>
        <v/>
      </c>
      <c r="P930" s="23">
        <f>IF(OR($B930="",N($J930)=0),"",HYPERLINK(PhotoDir&amp;"/"&amp;YEAR($B930)&amp;"-"&amp;TEXT(MONTH($B930),"00")&amp;"-"&amp;TEXT(DAY($B930),"00")&amp;"_"&amp;$D930,"فتح الصور ("&amp;$J930&amp;")"))</f>
        <v/>
      </c>
      <c r="Q930" s="24">
        <f>IF($B930="","",MONTH($B930))</f>
        <v/>
      </c>
      <c r="R930" s="24">
        <f>IF($B930="","",YEAR($B930))</f>
        <v/>
      </c>
      <c r="S930" s="25">
        <f>IF($B930="","",$B930-WEEKDAY($B930,3))</f>
        <v/>
      </c>
      <c r="T930" s="24">
        <f>IF($B930="",0,IF(COUNTIFS($B$5:$B930,$B930,$D$5:$D930,$D930)=1,1,0))</f>
        <v/>
      </c>
      <c r="U930" s="24">
        <f>IF($B930="",0,IF(COUNTIFS($B$5:$B930,$B930,$C$5:$C930,$C930)=1,1,0))</f>
        <v/>
      </c>
      <c r="V930" s="24">
        <f>IF(OR($B930="",$G930="",$G930="لا توجد مشاهدات"),0,1)</f>
        <v/>
      </c>
      <c r="W930" s="24">
        <f>IF(AND($B930&lt;&gt;"",$I930="تم تحرير مخالفة"),1,0)</f>
        <v/>
      </c>
      <c r="X930" s="24">
        <f>IF($B930="","",IF($S930=WkStart,COUNTIF($S$5:$S930,WkStart),""))</f>
        <v/>
      </c>
    </row>
    <row r="931">
      <c r="A931" s="16">
        <f>IF($B931="","",ROW()-4)</f>
        <v/>
      </c>
      <c r="B931" s="17" t="n"/>
      <c r="C931" s="18" t="n"/>
      <c r="D931" s="18" t="n"/>
      <c r="E931" s="19" t="n"/>
      <c r="F931" s="19" t="n"/>
      <c r="G931" s="18" t="n"/>
      <c r="H931" s="18" t="n"/>
      <c r="I931" s="18" t="n"/>
      <c r="J931" s="20" t="n"/>
      <c r="K931" s="21" t="n"/>
      <c r="L931" s="21" t="n"/>
      <c r="M931" s="18" t="n"/>
      <c r="N931" s="22">
        <f>IF($B931="","",CHOOSE(WEEKDAY($B931),"الأحد","الاثنين","الثلاثاء","الأربعاء","الخميس","الجمعة","السبت"))</f>
        <v/>
      </c>
      <c r="O931" s="23">
        <f>IF(OR($K931="",$L931=""),"",HYPERLINK("https://maps.google.com/?q="&amp;$K931&amp;","&amp;$L931,"عرض الموقع"))</f>
        <v/>
      </c>
      <c r="P931" s="23">
        <f>IF(OR($B931="",N($J931)=0),"",HYPERLINK(PhotoDir&amp;"/"&amp;YEAR($B931)&amp;"-"&amp;TEXT(MONTH($B931),"00")&amp;"-"&amp;TEXT(DAY($B931),"00")&amp;"_"&amp;$D931,"فتح الصور ("&amp;$J931&amp;")"))</f>
        <v/>
      </c>
      <c r="Q931" s="24">
        <f>IF($B931="","",MONTH($B931))</f>
        <v/>
      </c>
      <c r="R931" s="24">
        <f>IF($B931="","",YEAR($B931))</f>
        <v/>
      </c>
      <c r="S931" s="25">
        <f>IF($B931="","",$B931-WEEKDAY($B931,3))</f>
        <v/>
      </c>
      <c r="T931" s="24">
        <f>IF($B931="",0,IF(COUNTIFS($B$5:$B931,$B931,$D$5:$D931,$D931)=1,1,0))</f>
        <v/>
      </c>
      <c r="U931" s="24">
        <f>IF($B931="",0,IF(COUNTIFS($B$5:$B931,$B931,$C$5:$C931,$C931)=1,1,0))</f>
        <v/>
      </c>
      <c r="V931" s="24">
        <f>IF(OR($B931="",$G931="",$G931="لا توجد مشاهدات"),0,1)</f>
        <v/>
      </c>
      <c r="W931" s="24">
        <f>IF(AND($B931&lt;&gt;"",$I931="تم تحرير مخالفة"),1,0)</f>
        <v/>
      </c>
      <c r="X931" s="24">
        <f>IF($B931="","",IF($S931=WkStart,COUNTIF($S$5:$S931,WkStart),""))</f>
        <v/>
      </c>
    </row>
    <row r="932">
      <c r="A932" s="16">
        <f>IF($B932="","",ROW()-4)</f>
        <v/>
      </c>
      <c r="B932" s="17" t="n"/>
      <c r="C932" s="18" t="n"/>
      <c r="D932" s="18" t="n"/>
      <c r="E932" s="19" t="n"/>
      <c r="F932" s="19" t="n"/>
      <c r="G932" s="18" t="n"/>
      <c r="H932" s="18" t="n"/>
      <c r="I932" s="18" t="n"/>
      <c r="J932" s="20" t="n"/>
      <c r="K932" s="21" t="n"/>
      <c r="L932" s="21" t="n"/>
      <c r="M932" s="18" t="n"/>
      <c r="N932" s="22">
        <f>IF($B932="","",CHOOSE(WEEKDAY($B932),"الأحد","الاثنين","الثلاثاء","الأربعاء","الخميس","الجمعة","السبت"))</f>
        <v/>
      </c>
      <c r="O932" s="23">
        <f>IF(OR($K932="",$L932=""),"",HYPERLINK("https://maps.google.com/?q="&amp;$K932&amp;","&amp;$L932,"عرض الموقع"))</f>
        <v/>
      </c>
      <c r="P932" s="23">
        <f>IF(OR($B932="",N($J932)=0),"",HYPERLINK(PhotoDir&amp;"/"&amp;YEAR($B932)&amp;"-"&amp;TEXT(MONTH($B932),"00")&amp;"-"&amp;TEXT(DAY($B932),"00")&amp;"_"&amp;$D932,"فتح الصور ("&amp;$J932&amp;")"))</f>
        <v/>
      </c>
      <c r="Q932" s="24">
        <f>IF($B932="","",MONTH($B932))</f>
        <v/>
      </c>
      <c r="R932" s="24">
        <f>IF($B932="","",YEAR($B932))</f>
        <v/>
      </c>
      <c r="S932" s="25">
        <f>IF($B932="","",$B932-WEEKDAY($B932,3))</f>
        <v/>
      </c>
      <c r="T932" s="24">
        <f>IF($B932="",0,IF(COUNTIFS($B$5:$B932,$B932,$D$5:$D932,$D932)=1,1,0))</f>
        <v/>
      </c>
      <c r="U932" s="24">
        <f>IF($B932="",0,IF(COUNTIFS($B$5:$B932,$B932,$C$5:$C932,$C932)=1,1,0))</f>
        <v/>
      </c>
      <c r="V932" s="24">
        <f>IF(OR($B932="",$G932="",$G932="لا توجد مشاهدات"),0,1)</f>
        <v/>
      </c>
      <c r="W932" s="24">
        <f>IF(AND($B932&lt;&gt;"",$I932="تم تحرير مخالفة"),1,0)</f>
        <v/>
      </c>
      <c r="X932" s="24">
        <f>IF($B932="","",IF($S932=WkStart,COUNTIF($S$5:$S932,WkStart),""))</f>
        <v/>
      </c>
    </row>
    <row r="933">
      <c r="A933" s="16">
        <f>IF($B933="","",ROW()-4)</f>
        <v/>
      </c>
      <c r="B933" s="17" t="n"/>
      <c r="C933" s="18" t="n"/>
      <c r="D933" s="18" t="n"/>
      <c r="E933" s="19" t="n"/>
      <c r="F933" s="19" t="n"/>
      <c r="G933" s="18" t="n"/>
      <c r="H933" s="18" t="n"/>
      <c r="I933" s="18" t="n"/>
      <c r="J933" s="20" t="n"/>
      <c r="K933" s="21" t="n"/>
      <c r="L933" s="21" t="n"/>
      <c r="M933" s="18" t="n"/>
      <c r="N933" s="22">
        <f>IF($B933="","",CHOOSE(WEEKDAY($B933),"الأحد","الاثنين","الثلاثاء","الأربعاء","الخميس","الجمعة","السبت"))</f>
        <v/>
      </c>
      <c r="O933" s="23">
        <f>IF(OR($K933="",$L933=""),"",HYPERLINK("https://maps.google.com/?q="&amp;$K933&amp;","&amp;$L933,"عرض الموقع"))</f>
        <v/>
      </c>
      <c r="P933" s="23">
        <f>IF(OR($B933="",N($J933)=0),"",HYPERLINK(PhotoDir&amp;"/"&amp;YEAR($B933)&amp;"-"&amp;TEXT(MONTH($B933),"00")&amp;"-"&amp;TEXT(DAY($B933),"00")&amp;"_"&amp;$D933,"فتح الصور ("&amp;$J933&amp;")"))</f>
        <v/>
      </c>
      <c r="Q933" s="24">
        <f>IF($B933="","",MONTH($B933))</f>
        <v/>
      </c>
      <c r="R933" s="24">
        <f>IF($B933="","",YEAR($B933))</f>
        <v/>
      </c>
      <c r="S933" s="25">
        <f>IF($B933="","",$B933-WEEKDAY($B933,3))</f>
        <v/>
      </c>
      <c r="T933" s="24">
        <f>IF($B933="",0,IF(COUNTIFS($B$5:$B933,$B933,$D$5:$D933,$D933)=1,1,0))</f>
        <v/>
      </c>
      <c r="U933" s="24">
        <f>IF($B933="",0,IF(COUNTIFS($B$5:$B933,$B933,$C$5:$C933,$C933)=1,1,0))</f>
        <v/>
      </c>
      <c r="V933" s="24">
        <f>IF(OR($B933="",$G933="",$G933="لا توجد مشاهدات"),0,1)</f>
        <v/>
      </c>
      <c r="W933" s="24">
        <f>IF(AND($B933&lt;&gt;"",$I933="تم تحرير مخالفة"),1,0)</f>
        <v/>
      </c>
      <c r="X933" s="24">
        <f>IF($B933="","",IF($S933=WkStart,COUNTIF($S$5:$S933,WkStart),""))</f>
        <v/>
      </c>
    </row>
    <row r="934">
      <c r="A934" s="16">
        <f>IF($B934="","",ROW()-4)</f>
        <v/>
      </c>
      <c r="B934" s="17" t="n"/>
      <c r="C934" s="18" t="n"/>
      <c r="D934" s="18" t="n"/>
      <c r="E934" s="19" t="n"/>
      <c r="F934" s="19" t="n"/>
      <c r="G934" s="18" t="n"/>
      <c r="H934" s="18" t="n"/>
      <c r="I934" s="18" t="n"/>
      <c r="J934" s="20" t="n"/>
      <c r="K934" s="21" t="n"/>
      <c r="L934" s="21" t="n"/>
      <c r="M934" s="18" t="n"/>
      <c r="N934" s="22">
        <f>IF($B934="","",CHOOSE(WEEKDAY($B934),"الأحد","الاثنين","الثلاثاء","الأربعاء","الخميس","الجمعة","السبت"))</f>
        <v/>
      </c>
      <c r="O934" s="23">
        <f>IF(OR($K934="",$L934=""),"",HYPERLINK("https://maps.google.com/?q="&amp;$K934&amp;","&amp;$L934,"عرض الموقع"))</f>
        <v/>
      </c>
      <c r="P934" s="23">
        <f>IF(OR($B934="",N($J934)=0),"",HYPERLINK(PhotoDir&amp;"/"&amp;YEAR($B934)&amp;"-"&amp;TEXT(MONTH($B934),"00")&amp;"-"&amp;TEXT(DAY($B934),"00")&amp;"_"&amp;$D934,"فتح الصور ("&amp;$J934&amp;")"))</f>
        <v/>
      </c>
      <c r="Q934" s="24">
        <f>IF($B934="","",MONTH($B934))</f>
        <v/>
      </c>
      <c r="R934" s="24">
        <f>IF($B934="","",YEAR($B934))</f>
        <v/>
      </c>
      <c r="S934" s="25">
        <f>IF($B934="","",$B934-WEEKDAY($B934,3))</f>
        <v/>
      </c>
      <c r="T934" s="24">
        <f>IF($B934="",0,IF(COUNTIFS($B$5:$B934,$B934,$D$5:$D934,$D934)=1,1,0))</f>
        <v/>
      </c>
      <c r="U934" s="24">
        <f>IF($B934="",0,IF(COUNTIFS($B$5:$B934,$B934,$C$5:$C934,$C934)=1,1,0))</f>
        <v/>
      </c>
      <c r="V934" s="24">
        <f>IF(OR($B934="",$G934="",$G934="لا توجد مشاهدات"),0,1)</f>
        <v/>
      </c>
      <c r="W934" s="24">
        <f>IF(AND($B934&lt;&gt;"",$I934="تم تحرير مخالفة"),1,0)</f>
        <v/>
      </c>
      <c r="X934" s="24">
        <f>IF($B934="","",IF($S934=WkStart,COUNTIF($S$5:$S934,WkStart),""))</f>
        <v/>
      </c>
    </row>
    <row r="935">
      <c r="A935" s="16">
        <f>IF($B935="","",ROW()-4)</f>
        <v/>
      </c>
      <c r="B935" s="17" t="n"/>
      <c r="C935" s="18" t="n"/>
      <c r="D935" s="18" t="n"/>
      <c r="E935" s="19" t="n"/>
      <c r="F935" s="19" t="n"/>
      <c r="G935" s="18" t="n"/>
      <c r="H935" s="18" t="n"/>
      <c r="I935" s="18" t="n"/>
      <c r="J935" s="20" t="n"/>
      <c r="K935" s="21" t="n"/>
      <c r="L935" s="21" t="n"/>
      <c r="M935" s="18" t="n"/>
      <c r="N935" s="22">
        <f>IF($B935="","",CHOOSE(WEEKDAY($B935),"الأحد","الاثنين","الثلاثاء","الأربعاء","الخميس","الجمعة","السبت"))</f>
        <v/>
      </c>
      <c r="O935" s="23">
        <f>IF(OR($K935="",$L935=""),"",HYPERLINK("https://maps.google.com/?q="&amp;$K935&amp;","&amp;$L935,"عرض الموقع"))</f>
        <v/>
      </c>
      <c r="P935" s="23">
        <f>IF(OR($B935="",N($J935)=0),"",HYPERLINK(PhotoDir&amp;"/"&amp;YEAR($B935)&amp;"-"&amp;TEXT(MONTH($B935),"00")&amp;"-"&amp;TEXT(DAY($B935),"00")&amp;"_"&amp;$D935,"فتح الصور ("&amp;$J935&amp;")"))</f>
        <v/>
      </c>
      <c r="Q935" s="24">
        <f>IF($B935="","",MONTH($B935))</f>
        <v/>
      </c>
      <c r="R935" s="24">
        <f>IF($B935="","",YEAR($B935))</f>
        <v/>
      </c>
      <c r="S935" s="25">
        <f>IF($B935="","",$B935-WEEKDAY($B935,3))</f>
        <v/>
      </c>
      <c r="T935" s="24">
        <f>IF($B935="",0,IF(COUNTIFS($B$5:$B935,$B935,$D$5:$D935,$D935)=1,1,0))</f>
        <v/>
      </c>
      <c r="U935" s="24">
        <f>IF($B935="",0,IF(COUNTIFS($B$5:$B935,$B935,$C$5:$C935,$C935)=1,1,0))</f>
        <v/>
      </c>
      <c r="V935" s="24">
        <f>IF(OR($B935="",$G935="",$G935="لا توجد مشاهدات"),0,1)</f>
        <v/>
      </c>
      <c r="W935" s="24">
        <f>IF(AND($B935&lt;&gt;"",$I935="تم تحرير مخالفة"),1,0)</f>
        <v/>
      </c>
      <c r="X935" s="24">
        <f>IF($B935="","",IF($S935=WkStart,COUNTIF($S$5:$S935,WkStart),""))</f>
        <v/>
      </c>
    </row>
    <row r="936">
      <c r="A936" s="16">
        <f>IF($B936="","",ROW()-4)</f>
        <v/>
      </c>
      <c r="B936" s="17" t="n"/>
      <c r="C936" s="18" t="n"/>
      <c r="D936" s="18" t="n"/>
      <c r="E936" s="19" t="n"/>
      <c r="F936" s="19" t="n"/>
      <c r="G936" s="18" t="n"/>
      <c r="H936" s="18" t="n"/>
      <c r="I936" s="18" t="n"/>
      <c r="J936" s="20" t="n"/>
      <c r="K936" s="21" t="n"/>
      <c r="L936" s="21" t="n"/>
      <c r="M936" s="18" t="n"/>
      <c r="N936" s="22">
        <f>IF($B936="","",CHOOSE(WEEKDAY($B936),"الأحد","الاثنين","الثلاثاء","الأربعاء","الخميس","الجمعة","السبت"))</f>
        <v/>
      </c>
      <c r="O936" s="23">
        <f>IF(OR($K936="",$L936=""),"",HYPERLINK("https://maps.google.com/?q="&amp;$K936&amp;","&amp;$L936,"عرض الموقع"))</f>
        <v/>
      </c>
      <c r="P936" s="23">
        <f>IF(OR($B936="",N($J936)=0),"",HYPERLINK(PhotoDir&amp;"/"&amp;YEAR($B936)&amp;"-"&amp;TEXT(MONTH($B936),"00")&amp;"-"&amp;TEXT(DAY($B936),"00")&amp;"_"&amp;$D936,"فتح الصور ("&amp;$J936&amp;")"))</f>
        <v/>
      </c>
      <c r="Q936" s="24">
        <f>IF($B936="","",MONTH($B936))</f>
        <v/>
      </c>
      <c r="R936" s="24">
        <f>IF($B936="","",YEAR($B936))</f>
        <v/>
      </c>
      <c r="S936" s="25">
        <f>IF($B936="","",$B936-WEEKDAY($B936,3))</f>
        <v/>
      </c>
      <c r="T936" s="24">
        <f>IF($B936="",0,IF(COUNTIFS($B$5:$B936,$B936,$D$5:$D936,$D936)=1,1,0))</f>
        <v/>
      </c>
      <c r="U936" s="24">
        <f>IF($B936="",0,IF(COUNTIFS($B$5:$B936,$B936,$C$5:$C936,$C936)=1,1,0))</f>
        <v/>
      </c>
      <c r="V936" s="24">
        <f>IF(OR($B936="",$G936="",$G936="لا توجد مشاهدات"),0,1)</f>
        <v/>
      </c>
      <c r="W936" s="24">
        <f>IF(AND($B936&lt;&gt;"",$I936="تم تحرير مخالفة"),1,0)</f>
        <v/>
      </c>
      <c r="X936" s="24">
        <f>IF($B936="","",IF($S936=WkStart,COUNTIF($S$5:$S936,WkStart),""))</f>
        <v/>
      </c>
    </row>
    <row r="937">
      <c r="A937" s="16">
        <f>IF($B937="","",ROW()-4)</f>
        <v/>
      </c>
      <c r="B937" s="17" t="n"/>
      <c r="C937" s="18" t="n"/>
      <c r="D937" s="18" t="n"/>
      <c r="E937" s="19" t="n"/>
      <c r="F937" s="19" t="n"/>
      <c r="G937" s="18" t="n"/>
      <c r="H937" s="18" t="n"/>
      <c r="I937" s="18" t="n"/>
      <c r="J937" s="20" t="n"/>
      <c r="K937" s="21" t="n"/>
      <c r="L937" s="21" t="n"/>
      <c r="M937" s="18" t="n"/>
      <c r="N937" s="22">
        <f>IF($B937="","",CHOOSE(WEEKDAY($B937),"الأحد","الاثنين","الثلاثاء","الأربعاء","الخميس","الجمعة","السبت"))</f>
        <v/>
      </c>
      <c r="O937" s="23">
        <f>IF(OR($K937="",$L937=""),"",HYPERLINK("https://maps.google.com/?q="&amp;$K937&amp;","&amp;$L937,"عرض الموقع"))</f>
        <v/>
      </c>
      <c r="P937" s="23">
        <f>IF(OR($B937="",N($J937)=0),"",HYPERLINK(PhotoDir&amp;"/"&amp;YEAR($B937)&amp;"-"&amp;TEXT(MONTH($B937),"00")&amp;"-"&amp;TEXT(DAY($B937),"00")&amp;"_"&amp;$D937,"فتح الصور ("&amp;$J937&amp;")"))</f>
        <v/>
      </c>
      <c r="Q937" s="24">
        <f>IF($B937="","",MONTH($B937))</f>
        <v/>
      </c>
      <c r="R937" s="24">
        <f>IF($B937="","",YEAR($B937))</f>
        <v/>
      </c>
      <c r="S937" s="25">
        <f>IF($B937="","",$B937-WEEKDAY($B937,3))</f>
        <v/>
      </c>
      <c r="T937" s="24">
        <f>IF($B937="",0,IF(COUNTIFS($B$5:$B937,$B937,$D$5:$D937,$D937)=1,1,0))</f>
        <v/>
      </c>
      <c r="U937" s="24">
        <f>IF($B937="",0,IF(COUNTIFS($B$5:$B937,$B937,$C$5:$C937,$C937)=1,1,0))</f>
        <v/>
      </c>
      <c r="V937" s="24">
        <f>IF(OR($B937="",$G937="",$G937="لا توجد مشاهدات"),0,1)</f>
        <v/>
      </c>
      <c r="W937" s="24">
        <f>IF(AND($B937&lt;&gt;"",$I937="تم تحرير مخالفة"),1,0)</f>
        <v/>
      </c>
      <c r="X937" s="24">
        <f>IF($B937="","",IF($S937=WkStart,COUNTIF($S$5:$S937,WkStart),""))</f>
        <v/>
      </c>
    </row>
    <row r="938">
      <c r="A938" s="16">
        <f>IF($B938="","",ROW()-4)</f>
        <v/>
      </c>
      <c r="B938" s="17" t="n"/>
      <c r="C938" s="18" t="n"/>
      <c r="D938" s="18" t="n"/>
      <c r="E938" s="19" t="n"/>
      <c r="F938" s="19" t="n"/>
      <c r="G938" s="18" t="n"/>
      <c r="H938" s="18" t="n"/>
      <c r="I938" s="18" t="n"/>
      <c r="J938" s="20" t="n"/>
      <c r="K938" s="21" t="n"/>
      <c r="L938" s="21" t="n"/>
      <c r="M938" s="18" t="n"/>
      <c r="N938" s="22">
        <f>IF($B938="","",CHOOSE(WEEKDAY($B938),"الأحد","الاثنين","الثلاثاء","الأربعاء","الخميس","الجمعة","السبت"))</f>
        <v/>
      </c>
      <c r="O938" s="23">
        <f>IF(OR($K938="",$L938=""),"",HYPERLINK("https://maps.google.com/?q="&amp;$K938&amp;","&amp;$L938,"عرض الموقع"))</f>
        <v/>
      </c>
      <c r="P938" s="23">
        <f>IF(OR($B938="",N($J938)=0),"",HYPERLINK(PhotoDir&amp;"/"&amp;YEAR($B938)&amp;"-"&amp;TEXT(MONTH($B938),"00")&amp;"-"&amp;TEXT(DAY($B938),"00")&amp;"_"&amp;$D938,"فتح الصور ("&amp;$J938&amp;")"))</f>
        <v/>
      </c>
      <c r="Q938" s="24">
        <f>IF($B938="","",MONTH($B938))</f>
        <v/>
      </c>
      <c r="R938" s="24">
        <f>IF($B938="","",YEAR($B938))</f>
        <v/>
      </c>
      <c r="S938" s="25">
        <f>IF($B938="","",$B938-WEEKDAY($B938,3))</f>
        <v/>
      </c>
      <c r="T938" s="24">
        <f>IF($B938="",0,IF(COUNTIFS($B$5:$B938,$B938,$D$5:$D938,$D938)=1,1,0))</f>
        <v/>
      </c>
      <c r="U938" s="24">
        <f>IF($B938="",0,IF(COUNTIFS($B$5:$B938,$B938,$C$5:$C938,$C938)=1,1,0))</f>
        <v/>
      </c>
      <c r="V938" s="24">
        <f>IF(OR($B938="",$G938="",$G938="لا توجد مشاهدات"),0,1)</f>
        <v/>
      </c>
      <c r="W938" s="24">
        <f>IF(AND($B938&lt;&gt;"",$I938="تم تحرير مخالفة"),1,0)</f>
        <v/>
      </c>
      <c r="X938" s="24">
        <f>IF($B938="","",IF($S938=WkStart,COUNTIF($S$5:$S938,WkStart),""))</f>
        <v/>
      </c>
    </row>
    <row r="939">
      <c r="A939" s="16">
        <f>IF($B939="","",ROW()-4)</f>
        <v/>
      </c>
      <c r="B939" s="17" t="n"/>
      <c r="C939" s="18" t="n"/>
      <c r="D939" s="18" t="n"/>
      <c r="E939" s="19" t="n"/>
      <c r="F939" s="19" t="n"/>
      <c r="G939" s="18" t="n"/>
      <c r="H939" s="18" t="n"/>
      <c r="I939" s="18" t="n"/>
      <c r="J939" s="20" t="n"/>
      <c r="K939" s="21" t="n"/>
      <c r="L939" s="21" t="n"/>
      <c r="M939" s="18" t="n"/>
      <c r="N939" s="22">
        <f>IF($B939="","",CHOOSE(WEEKDAY($B939),"الأحد","الاثنين","الثلاثاء","الأربعاء","الخميس","الجمعة","السبت"))</f>
        <v/>
      </c>
      <c r="O939" s="23">
        <f>IF(OR($K939="",$L939=""),"",HYPERLINK("https://maps.google.com/?q="&amp;$K939&amp;","&amp;$L939,"عرض الموقع"))</f>
        <v/>
      </c>
      <c r="P939" s="23">
        <f>IF(OR($B939="",N($J939)=0),"",HYPERLINK(PhotoDir&amp;"/"&amp;YEAR($B939)&amp;"-"&amp;TEXT(MONTH($B939),"00")&amp;"-"&amp;TEXT(DAY($B939),"00")&amp;"_"&amp;$D939,"فتح الصور ("&amp;$J939&amp;")"))</f>
        <v/>
      </c>
      <c r="Q939" s="24">
        <f>IF($B939="","",MONTH($B939))</f>
        <v/>
      </c>
      <c r="R939" s="24">
        <f>IF($B939="","",YEAR($B939))</f>
        <v/>
      </c>
      <c r="S939" s="25">
        <f>IF($B939="","",$B939-WEEKDAY($B939,3))</f>
        <v/>
      </c>
      <c r="T939" s="24">
        <f>IF($B939="",0,IF(COUNTIFS($B$5:$B939,$B939,$D$5:$D939,$D939)=1,1,0))</f>
        <v/>
      </c>
      <c r="U939" s="24">
        <f>IF($B939="",0,IF(COUNTIFS($B$5:$B939,$B939,$C$5:$C939,$C939)=1,1,0))</f>
        <v/>
      </c>
      <c r="V939" s="24">
        <f>IF(OR($B939="",$G939="",$G939="لا توجد مشاهدات"),0,1)</f>
        <v/>
      </c>
      <c r="W939" s="24">
        <f>IF(AND($B939&lt;&gt;"",$I939="تم تحرير مخالفة"),1,0)</f>
        <v/>
      </c>
      <c r="X939" s="24">
        <f>IF($B939="","",IF($S939=WkStart,COUNTIF($S$5:$S939,WkStart),""))</f>
        <v/>
      </c>
    </row>
    <row r="940">
      <c r="A940" s="16">
        <f>IF($B940="","",ROW()-4)</f>
        <v/>
      </c>
      <c r="B940" s="17" t="n"/>
      <c r="C940" s="18" t="n"/>
      <c r="D940" s="18" t="n"/>
      <c r="E940" s="19" t="n"/>
      <c r="F940" s="19" t="n"/>
      <c r="G940" s="18" t="n"/>
      <c r="H940" s="18" t="n"/>
      <c r="I940" s="18" t="n"/>
      <c r="J940" s="20" t="n"/>
      <c r="K940" s="21" t="n"/>
      <c r="L940" s="21" t="n"/>
      <c r="M940" s="18" t="n"/>
      <c r="N940" s="22">
        <f>IF($B940="","",CHOOSE(WEEKDAY($B940),"الأحد","الاثنين","الثلاثاء","الأربعاء","الخميس","الجمعة","السبت"))</f>
        <v/>
      </c>
      <c r="O940" s="23">
        <f>IF(OR($K940="",$L940=""),"",HYPERLINK("https://maps.google.com/?q="&amp;$K940&amp;","&amp;$L940,"عرض الموقع"))</f>
        <v/>
      </c>
      <c r="P940" s="23">
        <f>IF(OR($B940="",N($J940)=0),"",HYPERLINK(PhotoDir&amp;"/"&amp;YEAR($B940)&amp;"-"&amp;TEXT(MONTH($B940),"00")&amp;"-"&amp;TEXT(DAY($B940),"00")&amp;"_"&amp;$D940,"فتح الصور ("&amp;$J940&amp;")"))</f>
        <v/>
      </c>
      <c r="Q940" s="24">
        <f>IF($B940="","",MONTH($B940))</f>
        <v/>
      </c>
      <c r="R940" s="24">
        <f>IF($B940="","",YEAR($B940))</f>
        <v/>
      </c>
      <c r="S940" s="25">
        <f>IF($B940="","",$B940-WEEKDAY($B940,3))</f>
        <v/>
      </c>
      <c r="T940" s="24">
        <f>IF($B940="",0,IF(COUNTIFS($B$5:$B940,$B940,$D$5:$D940,$D940)=1,1,0))</f>
        <v/>
      </c>
      <c r="U940" s="24">
        <f>IF($B940="",0,IF(COUNTIFS($B$5:$B940,$B940,$C$5:$C940,$C940)=1,1,0))</f>
        <v/>
      </c>
      <c r="V940" s="24">
        <f>IF(OR($B940="",$G940="",$G940="لا توجد مشاهدات"),0,1)</f>
        <v/>
      </c>
      <c r="W940" s="24">
        <f>IF(AND($B940&lt;&gt;"",$I940="تم تحرير مخالفة"),1,0)</f>
        <v/>
      </c>
      <c r="X940" s="24">
        <f>IF($B940="","",IF($S940=WkStart,COUNTIF($S$5:$S940,WkStart),""))</f>
        <v/>
      </c>
    </row>
    <row r="941">
      <c r="A941" s="16">
        <f>IF($B941="","",ROW()-4)</f>
        <v/>
      </c>
      <c r="B941" s="17" t="n"/>
      <c r="C941" s="18" t="n"/>
      <c r="D941" s="18" t="n"/>
      <c r="E941" s="19" t="n"/>
      <c r="F941" s="19" t="n"/>
      <c r="G941" s="18" t="n"/>
      <c r="H941" s="18" t="n"/>
      <c r="I941" s="18" t="n"/>
      <c r="J941" s="20" t="n"/>
      <c r="K941" s="21" t="n"/>
      <c r="L941" s="21" t="n"/>
      <c r="M941" s="18" t="n"/>
      <c r="N941" s="22">
        <f>IF($B941="","",CHOOSE(WEEKDAY($B941),"الأحد","الاثنين","الثلاثاء","الأربعاء","الخميس","الجمعة","السبت"))</f>
        <v/>
      </c>
      <c r="O941" s="23">
        <f>IF(OR($K941="",$L941=""),"",HYPERLINK("https://maps.google.com/?q="&amp;$K941&amp;","&amp;$L941,"عرض الموقع"))</f>
        <v/>
      </c>
      <c r="P941" s="23">
        <f>IF(OR($B941="",N($J941)=0),"",HYPERLINK(PhotoDir&amp;"/"&amp;YEAR($B941)&amp;"-"&amp;TEXT(MONTH($B941),"00")&amp;"-"&amp;TEXT(DAY($B941),"00")&amp;"_"&amp;$D941,"فتح الصور ("&amp;$J941&amp;")"))</f>
        <v/>
      </c>
      <c r="Q941" s="24">
        <f>IF($B941="","",MONTH($B941))</f>
        <v/>
      </c>
      <c r="R941" s="24">
        <f>IF($B941="","",YEAR($B941))</f>
        <v/>
      </c>
      <c r="S941" s="25">
        <f>IF($B941="","",$B941-WEEKDAY($B941,3))</f>
        <v/>
      </c>
      <c r="T941" s="24">
        <f>IF($B941="",0,IF(COUNTIFS($B$5:$B941,$B941,$D$5:$D941,$D941)=1,1,0))</f>
        <v/>
      </c>
      <c r="U941" s="24">
        <f>IF($B941="",0,IF(COUNTIFS($B$5:$B941,$B941,$C$5:$C941,$C941)=1,1,0))</f>
        <v/>
      </c>
      <c r="V941" s="24">
        <f>IF(OR($B941="",$G941="",$G941="لا توجد مشاهدات"),0,1)</f>
        <v/>
      </c>
      <c r="W941" s="24">
        <f>IF(AND($B941&lt;&gt;"",$I941="تم تحرير مخالفة"),1,0)</f>
        <v/>
      </c>
      <c r="X941" s="24">
        <f>IF($B941="","",IF($S941=WkStart,COUNTIF($S$5:$S941,WkStart),""))</f>
        <v/>
      </c>
    </row>
    <row r="942">
      <c r="A942" s="16">
        <f>IF($B942="","",ROW()-4)</f>
        <v/>
      </c>
      <c r="B942" s="17" t="n"/>
      <c r="C942" s="18" t="n"/>
      <c r="D942" s="18" t="n"/>
      <c r="E942" s="19" t="n"/>
      <c r="F942" s="19" t="n"/>
      <c r="G942" s="18" t="n"/>
      <c r="H942" s="18" t="n"/>
      <c r="I942" s="18" t="n"/>
      <c r="J942" s="20" t="n"/>
      <c r="K942" s="21" t="n"/>
      <c r="L942" s="21" t="n"/>
      <c r="M942" s="18" t="n"/>
      <c r="N942" s="22">
        <f>IF($B942="","",CHOOSE(WEEKDAY($B942),"الأحد","الاثنين","الثلاثاء","الأربعاء","الخميس","الجمعة","السبت"))</f>
        <v/>
      </c>
      <c r="O942" s="23">
        <f>IF(OR($K942="",$L942=""),"",HYPERLINK("https://maps.google.com/?q="&amp;$K942&amp;","&amp;$L942,"عرض الموقع"))</f>
        <v/>
      </c>
      <c r="P942" s="23">
        <f>IF(OR($B942="",N($J942)=0),"",HYPERLINK(PhotoDir&amp;"/"&amp;YEAR($B942)&amp;"-"&amp;TEXT(MONTH($B942),"00")&amp;"-"&amp;TEXT(DAY($B942),"00")&amp;"_"&amp;$D942,"فتح الصور ("&amp;$J942&amp;")"))</f>
        <v/>
      </c>
      <c r="Q942" s="24">
        <f>IF($B942="","",MONTH($B942))</f>
        <v/>
      </c>
      <c r="R942" s="24">
        <f>IF($B942="","",YEAR($B942))</f>
        <v/>
      </c>
      <c r="S942" s="25">
        <f>IF($B942="","",$B942-WEEKDAY($B942,3))</f>
        <v/>
      </c>
      <c r="T942" s="24">
        <f>IF($B942="",0,IF(COUNTIFS($B$5:$B942,$B942,$D$5:$D942,$D942)=1,1,0))</f>
        <v/>
      </c>
      <c r="U942" s="24">
        <f>IF($B942="",0,IF(COUNTIFS($B$5:$B942,$B942,$C$5:$C942,$C942)=1,1,0))</f>
        <v/>
      </c>
      <c r="V942" s="24">
        <f>IF(OR($B942="",$G942="",$G942="لا توجد مشاهدات"),0,1)</f>
        <v/>
      </c>
      <c r="W942" s="24">
        <f>IF(AND($B942&lt;&gt;"",$I942="تم تحرير مخالفة"),1,0)</f>
        <v/>
      </c>
      <c r="X942" s="24">
        <f>IF($B942="","",IF($S942=WkStart,COUNTIF($S$5:$S942,WkStart),""))</f>
        <v/>
      </c>
    </row>
    <row r="943">
      <c r="A943" s="16">
        <f>IF($B943="","",ROW()-4)</f>
        <v/>
      </c>
      <c r="B943" s="17" t="n"/>
      <c r="C943" s="18" t="n"/>
      <c r="D943" s="18" t="n"/>
      <c r="E943" s="19" t="n"/>
      <c r="F943" s="19" t="n"/>
      <c r="G943" s="18" t="n"/>
      <c r="H943" s="18" t="n"/>
      <c r="I943" s="18" t="n"/>
      <c r="J943" s="20" t="n"/>
      <c r="K943" s="21" t="n"/>
      <c r="L943" s="21" t="n"/>
      <c r="M943" s="18" t="n"/>
      <c r="N943" s="22">
        <f>IF($B943="","",CHOOSE(WEEKDAY($B943),"الأحد","الاثنين","الثلاثاء","الأربعاء","الخميس","الجمعة","السبت"))</f>
        <v/>
      </c>
      <c r="O943" s="23">
        <f>IF(OR($K943="",$L943=""),"",HYPERLINK("https://maps.google.com/?q="&amp;$K943&amp;","&amp;$L943,"عرض الموقع"))</f>
        <v/>
      </c>
      <c r="P943" s="23">
        <f>IF(OR($B943="",N($J943)=0),"",HYPERLINK(PhotoDir&amp;"/"&amp;YEAR($B943)&amp;"-"&amp;TEXT(MONTH($B943),"00")&amp;"-"&amp;TEXT(DAY($B943),"00")&amp;"_"&amp;$D943,"فتح الصور ("&amp;$J943&amp;")"))</f>
        <v/>
      </c>
      <c r="Q943" s="24">
        <f>IF($B943="","",MONTH($B943))</f>
        <v/>
      </c>
      <c r="R943" s="24">
        <f>IF($B943="","",YEAR($B943))</f>
        <v/>
      </c>
      <c r="S943" s="25">
        <f>IF($B943="","",$B943-WEEKDAY($B943,3))</f>
        <v/>
      </c>
      <c r="T943" s="24">
        <f>IF($B943="",0,IF(COUNTIFS($B$5:$B943,$B943,$D$5:$D943,$D943)=1,1,0))</f>
        <v/>
      </c>
      <c r="U943" s="24">
        <f>IF($B943="",0,IF(COUNTIFS($B$5:$B943,$B943,$C$5:$C943,$C943)=1,1,0))</f>
        <v/>
      </c>
      <c r="V943" s="24">
        <f>IF(OR($B943="",$G943="",$G943="لا توجد مشاهدات"),0,1)</f>
        <v/>
      </c>
      <c r="W943" s="24">
        <f>IF(AND($B943&lt;&gt;"",$I943="تم تحرير مخالفة"),1,0)</f>
        <v/>
      </c>
      <c r="X943" s="24">
        <f>IF($B943="","",IF($S943=WkStart,COUNTIF($S$5:$S943,WkStart),""))</f>
        <v/>
      </c>
    </row>
    <row r="944">
      <c r="A944" s="16">
        <f>IF($B944="","",ROW()-4)</f>
        <v/>
      </c>
      <c r="B944" s="17" t="n"/>
      <c r="C944" s="18" t="n"/>
      <c r="D944" s="18" t="n"/>
      <c r="E944" s="19" t="n"/>
      <c r="F944" s="19" t="n"/>
      <c r="G944" s="18" t="n"/>
      <c r="H944" s="18" t="n"/>
      <c r="I944" s="18" t="n"/>
      <c r="J944" s="20" t="n"/>
      <c r="K944" s="21" t="n"/>
      <c r="L944" s="21" t="n"/>
      <c r="M944" s="18" t="n"/>
      <c r="N944" s="22">
        <f>IF($B944="","",CHOOSE(WEEKDAY($B944),"الأحد","الاثنين","الثلاثاء","الأربعاء","الخميس","الجمعة","السبت"))</f>
        <v/>
      </c>
      <c r="O944" s="23">
        <f>IF(OR($K944="",$L944=""),"",HYPERLINK("https://maps.google.com/?q="&amp;$K944&amp;","&amp;$L944,"عرض الموقع"))</f>
        <v/>
      </c>
      <c r="P944" s="23">
        <f>IF(OR($B944="",N($J944)=0),"",HYPERLINK(PhotoDir&amp;"/"&amp;YEAR($B944)&amp;"-"&amp;TEXT(MONTH($B944),"00")&amp;"-"&amp;TEXT(DAY($B944),"00")&amp;"_"&amp;$D944,"فتح الصور ("&amp;$J944&amp;")"))</f>
        <v/>
      </c>
      <c r="Q944" s="24">
        <f>IF($B944="","",MONTH($B944))</f>
        <v/>
      </c>
      <c r="R944" s="24">
        <f>IF($B944="","",YEAR($B944))</f>
        <v/>
      </c>
      <c r="S944" s="25">
        <f>IF($B944="","",$B944-WEEKDAY($B944,3))</f>
        <v/>
      </c>
      <c r="T944" s="24">
        <f>IF($B944="",0,IF(COUNTIFS($B$5:$B944,$B944,$D$5:$D944,$D944)=1,1,0))</f>
        <v/>
      </c>
      <c r="U944" s="24">
        <f>IF($B944="",0,IF(COUNTIFS($B$5:$B944,$B944,$C$5:$C944,$C944)=1,1,0))</f>
        <v/>
      </c>
      <c r="V944" s="24">
        <f>IF(OR($B944="",$G944="",$G944="لا توجد مشاهدات"),0,1)</f>
        <v/>
      </c>
      <c r="W944" s="24">
        <f>IF(AND($B944&lt;&gt;"",$I944="تم تحرير مخالفة"),1,0)</f>
        <v/>
      </c>
      <c r="X944" s="24">
        <f>IF($B944="","",IF($S944=WkStart,COUNTIF($S$5:$S944,WkStart),""))</f>
        <v/>
      </c>
    </row>
    <row r="945">
      <c r="A945" s="16">
        <f>IF($B945="","",ROW()-4)</f>
        <v/>
      </c>
      <c r="B945" s="17" t="n"/>
      <c r="C945" s="18" t="n"/>
      <c r="D945" s="18" t="n"/>
      <c r="E945" s="19" t="n"/>
      <c r="F945" s="19" t="n"/>
      <c r="G945" s="18" t="n"/>
      <c r="H945" s="18" t="n"/>
      <c r="I945" s="18" t="n"/>
      <c r="J945" s="20" t="n"/>
      <c r="K945" s="21" t="n"/>
      <c r="L945" s="21" t="n"/>
      <c r="M945" s="18" t="n"/>
      <c r="N945" s="22">
        <f>IF($B945="","",CHOOSE(WEEKDAY($B945),"الأحد","الاثنين","الثلاثاء","الأربعاء","الخميس","الجمعة","السبت"))</f>
        <v/>
      </c>
      <c r="O945" s="23">
        <f>IF(OR($K945="",$L945=""),"",HYPERLINK("https://maps.google.com/?q="&amp;$K945&amp;","&amp;$L945,"عرض الموقع"))</f>
        <v/>
      </c>
      <c r="P945" s="23">
        <f>IF(OR($B945="",N($J945)=0),"",HYPERLINK(PhotoDir&amp;"/"&amp;YEAR($B945)&amp;"-"&amp;TEXT(MONTH($B945),"00")&amp;"-"&amp;TEXT(DAY($B945),"00")&amp;"_"&amp;$D945,"فتح الصور ("&amp;$J945&amp;")"))</f>
        <v/>
      </c>
      <c r="Q945" s="24">
        <f>IF($B945="","",MONTH($B945))</f>
        <v/>
      </c>
      <c r="R945" s="24">
        <f>IF($B945="","",YEAR($B945))</f>
        <v/>
      </c>
      <c r="S945" s="25">
        <f>IF($B945="","",$B945-WEEKDAY($B945,3))</f>
        <v/>
      </c>
      <c r="T945" s="24">
        <f>IF($B945="",0,IF(COUNTIFS($B$5:$B945,$B945,$D$5:$D945,$D945)=1,1,0))</f>
        <v/>
      </c>
      <c r="U945" s="24">
        <f>IF($B945="",0,IF(COUNTIFS($B$5:$B945,$B945,$C$5:$C945,$C945)=1,1,0))</f>
        <v/>
      </c>
      <c r="V945" s="24">
        <f>IF(OR($B945="",$G945="",$G945="لا توجد مشاهدات"),0,1)</f>
        <v/>
      </c>
      <c r="W945" s="24">
        <f>IF(AND($B945&lt;&gt;"",$I945="تم تحرير مخالفة"),1,0)</f>
        <v/>
      </c>
      <c r="X945" s="24">
        <f>IF($B945="","",IF($S945=WkStart,COUNTIF($S$5:$S945,WkStart),""))</f>
        <v/>
      </c>
    </row>
    <row r="946">
      <c r="A946" s="16">
        <f>IF($B946="","",ROW()-4)</f>
        <v/>
      </c>
      <c r="B946" s="17" t="n"/>
      <c r="C946" s="18" t="n"/>
      <c r="D946" s="18" t="n"/>
      <c r="E946" s="19" t="n"/>
      <c r="F946" s="19" t="n"/>
      <c r="G946" s="18" t="n"/>
      <c r="H946" s="18" t="n"/>
      <c r="I946" s="18" t="n"/>
      <c r="J946" s="20" t="n"/>
      <c r="K946" s="21" t="n"/>
      <c r="L946" s="21" t="n"/>
      <c r="M946" s="18" t="n"/>
      <c r="N946" s="22">
        <f>IF($B946="","",CHOOSE(WEEKDAY($B946),"الأحد","الاثنين","الثلاثاء","الأربعاء","الخميس","الجمعة","السبت"))</f>
        <v/>
      </c>
      <c r="O946" s="23">
        <f>IF(OR($K946="",$L946=""),"",HYPERLINK("https://maps.google.com/?q="&amp;$K946&amp;","&amp;$L946,"عرض الموقع"))</f>
        <v/>
      </c>
      <c r="P946" s="23">
        <f>IF(OR($B946="",N($J946)=0),"",HYPERLINK(PhotoDir&amp;"/"&amp;YEAR($B946)&amp;"-"&amp;TEXT(MONTH($B946),"00")&amp;"-"&amp;TEXT(DAY($B946),"00")&amp;"_"&amp;$D946,"فتح الصور ("&amp;$J946&amp;")"))</f>
        <v/>
      </c>
      <c r="Q946" s="24">
        <f>IF($B946="","",MONTH($B946))</f>
        <v/>
      </c>
      <c r="R946" s="24">
        <f>IF($B946="","",YEAR($B946))</f>
        <v/>
      </c>
      <c r="S946" s="25">
        <f>IF($B946="","",$B946-WEEKDAY($B946,3))</f>
        <v/>
      </c>
      <c r="T946" s="24">
        <f>IF($B946="",0,IF(COUNTIFS($B$5:$B946,$B946,$D$5:$D946,$D946)=1,1,0))</f>
        <v/>
      </c>
      <c r="U946" s="24">
        <f>IF($B946="",0,IF(COUNTIFS($B$5:$B946,$B946,$C$5:$C946,$C946)=1,1,0))</f>
        <v/>
      </c>
      <c r="V946" s="24">
        <f>IF(OR($B946="",$G946="",$G946="لا توجد مشاهدات"),0,1)</f>
        <v/>
      </c>
      <c r="W946" s="24">
        <f>IF(AND($B946&lt;&gt;"",$I946="تم تحرير مخالفة"),1,0)</f>
        <v/>
      </c>
      <c r="X946" s="24">
        <f>IF($B946="","",IF($S946=WkStart,COUNTIF($S$5:$S946,WkStart),""))</f>
        <v/>
      </c>
    </row>
    <row r="947">
      <c r="A947" s="16">
        <f>IF($B947="","",ROW()-4)</f>
        <v/>
      </c>
      <c r="B947" s="17" t="n"/>
      <c r="C947" s="18" t="n"/>
      <c r="D947" s="18" t="n"/>
      <c r="E947" s="19" t="n"/>
      <c r="F947" s="19" t="n"/>
      <c r="G947" s="18" t="n"/>
      <c r="H947" s="18" t="n"/>
      <c r="I947" s="18" t="n"/>
      <c r="J947" s="20" t="n"/>
      <c r="K947" s="21" t="n"/>
      <c r="L947" s="21" t="n"/>
      <c r="M947" s="18" t="n"/>
      <c r="N947" s="22">
        <f>IF($B947="","",CHOOSE(WEEKDAY($B947),"الأحد","الاثنين","الثلاثاء","الأربعاء","الخميس","الجمعة","السبت"))</f>
        <v/>
      </c>
      <c r="O947" s="23">
        <f>IF(OR($K947="",$L947=""),"",HYPERLINK("https://maps.google.com/?q="&amp;$K947&amp;","&amp;$L947,"عرض الموقع"))</f>
        <v/>
      </c>
      <c r="P947" s="23">
        <f>IF(OR($B947="",N($J947)=0),"",HYPERLINK(PhotoDir&amp;"/"&amp;YEAR($B947)&amp;"-"&amp;TEXT(MONTH($B947),"00")&amp;"-"&amp;TEXT(DAY($B947),"00")&amp;"_"&amp;$D947,"فتح الصور ("&amp;$J947&amp;")"))</f>
        <v/>
      </c>
      <c r="Q947" s="24">
        <f>IF($B947="","",MONTH($B947))</f>
        <v/>
      </c>
      <c r="R947" s="24">
        <f>IF($B947="","",YEAR($B947))</f>
        <v/>
      </c>
      <c r="S947" s="25">
        <f>IF($B947="","",$B947-WEEKDAY($B947,3))</f>
        <v/>
      </c>
      <c r="T947" s="24">
        <f>IF($B947="",0,IF(COUNTIFS($B$5:$B947,$B947,$D$5:$D947,$D947)=1,1,0))</f>
        <v/>
      </c>
      <c r="U947" s="24">
        <f>IF($B947="",0,IF(COUNTIFS($B$5:$B947,$B947,$C$5:$C947,$C947)=1,1,0))</f>
        <v/>
      </c>
      <c r="V947" s="24">
        <f>IF(OR($B947="",$G947="",$G947="لا توجد مشاهدات"),0,1)</f>
        <v/>
      </c>
      <c r="W947" s="24">
        <f>IF(AND($B947&lt;&gt;"",$I947="تم تحرير مخالفة"),1,0)</f>
        <v/>
      </c>
      <c r="X947" s="24">
        <f>IF($B947="","",IF($S947=WkStart,COUNTIF($S$5:$S947,WkStart),""))</f>
        <v/>
      </c>
    </row>
    <row r="948">
      <c r="A948" s="16">
        <f>IF($B948="","",ROW()-4)</f>
        <v/>
      </c>
      <c r="B948" s="17" t="n"/>
      <c r="C948" s="18" t="n"/>
      <c r="D948" s="18" t="n"/>
      <c r="E948" s="19" t="n"/>
      <c r="F948" s="19" t="n"/>
      <c r="G948" s="18" t="n"/>
      <c r="H948" s="18" t="n"/>
      <c r="I948" s="18" t="n"/>
      <c r="J948" s="20" t="n"/>
      <c r="K948" s="21" t="n"/>
      <c r="L948" s="21" t="n"/>
      <c r="M948" s="18" t="n"/>
      <c r="N948" s="22">
        <f>IF($B948="","",CHOOSE(WEEKDAY($B948),"الأحد","الاثنين","الثلاثاء","الأربعاء","الخميس","الجمعة","السبت"))</f>
        <v/>
      </c>
      <c r="O948" s="23">
        <f>IF(OR($K948="",$L948=""),"",HYPERLINK("https://maps.google.com/?q="&amp;$K948&amp;","&amp;$L948,"عرض الموقع"))</f>
        <v/>
      </c>
      <c r="P948" s="23">
        <f>IF(OR($B948="",N($J948)=0),"",HYPERLINK(PhotoDir&amp;"/"&amp;YEAR($B948)&amp;"-"&amp;TEXT(MONTH($B948),"00")&amp;"-"&amp;TEXT(DAY($B948),"00")&amp;"_"&amp;$D948,"فتح الصور ("&amp;$J948&amp;")"))</f>
        <v/>
      </c>
      <c r="Q948" s="24">
        <f>IF($B948="","",MONTH($B948))</f>
        <v/>
      </c>
      <c r="R948" s="24">
        <f>IF($B948="","",YEAR($B948))</f>
        <v/>
      </c>
      <c r="S948" s="25">
        <f>IF($B948="","",$B948-WEEKDAY($B948,3))</f>
        <v/>
      </c>
      <c r="T948" s="24">
        <f>IF($B948="",0,IF(COUNTIFS($B$5:$B948,$B948,$D$5:$D948,$D948)=1,1,0))</f>
        <v/>
      </c>
      <c r="U948" s="24">
        <f>IF($B948="",0,IF(COUNTIFS($B$5:$B948,$B948,$C$5:$C948,$C948)=1,1,0))</f>
        <v/>
      </c>
      <c r="V948" s="24">
        <f>IF(OR($B948="",$G948="",$G948="لا توجد مشاهدات"),0,1)</f>
        <v/>
      </c>
      <c r="W948" s="24">
        <f>IF(AND($B948&lt;&gt;"",$I948="تم تحرير مخالفة"),1,0)</f>
        <v/>
      </c>
      <c r="X948" s="24">
        <f>IF($B948="","",IF($S948=WkStart,COUNTIF($S$5:$S948,WkStart),""))</f>
        <v/>
      </c>
    </row>
    <row r="949">
      <c r="A949" s="16">
        <f>IF($B949="","",ROW()-4)</f>
        <v/>
      </c>
      <c r="B949" s="17" t="n"/>
      <c r="C949" s="18" t="n"/>
      <c r="D949" s="18" t="n"/>
      <c r="E949" s="19" t="n"/>
      <c r="F949" s="19" t="n"/>
      <c r="G949" s="18" t="n"/>
      <c r="H949" s="18" t="n"/>
      <c r="I949" s="18" t="n"/>
      <c r="J949" s="20" t="n"/>
      <c r="K949" s="21" t="n"/>
      <c r="L949" s="21" t="n"/>
      <c r="M949" s="18" t="n"/>
      <c r="N949" s="22">
        <f>IF($B949="","",CHOOSE(WEEKDAY($B949),"الأحد","الاثنين","الثلاثاء","الأربعاء","الخميس","الجمعة","السبت"))</f>
        <v/>
      </c>
      <c r="O949" s="23">
        <f>IF(OR($K949="",$L949=""),"",HYPERLINK("https://maps.google.com/?q="&amp;$K949&amp;","&amp;$L949,"عرض الموقع"))</f>
        <v/>
      </c>
      <c r="P949" s="23">
        <f>IF(OR($B949="",N($J949)=0),"",HYPERLINK(PhotoDir&amp;"/"&amp;YEAR($B949)&amp;"-"&amp;TEXT(MONTH($B949),"00")&amp;"-"&amp;TEXT(DAY($B949),"00")&amp;"_"&amp;$D949,"فتح الصور ("&amp;$J949&amp;")"))</f>
        <v/>
      </c>
      <c r="Q949" s="24">
        <f>IF($B949="","",MONTH($B949))</f>
        <v/>
      </c>
      <c r="R949" s="24">
        <f>IF($B949="","",YEAR($B949))</f>
        <v/>
      </c>
      <c r="S949" s="25">
        <f>IF($B949="","",$B949-WEEKDAY($B949,3))</f>
        <v/>
      </c>
      <c r="T949" s="24">
        <f>IF($B949="",0,IF(COUNTIFS($B$5:$B949,$B949,$D$5:$D949,$D949)=1,1,0))</f>
        <v/>
      </c>
      <c r="U949" s="24">
        <f>IF($B949="",0,IF(COUNTIFS($B$5:$B949,$B949,$C$5:$C949,$C949)=1,1,0))</f>
        <v/>
      </c>
      <c r="V949" s="24">
        <f>IF(OR($B949="",$G949="",$G949="لا توجد مشاهدات"),0,1)</f>
        <v/>
      </c>
      <c r="W949" s="24">
        <f>IF(AND($B949&lt;&gt;"",$I949="تم تحرير مخالفة"),1,0)</f>
        <v/>
      </c>
      <c r="X949" s="24">
        <f>IF($B949="","",IF($S949=WkStart,COUNTIF($S$5:$S949,WkStart),""))</f>
        <v/>
      </c>
    </row>
    <row r="950">
      <c r="A950" s="16">
        <f>IF($B950="","",ROW()-4)</f>
        <v/>
      </c>
      <c r="B950" s="17" t="n"/>
      <c r="C950" s="18" t="n"/>
      <c r="D950" s="18" t="n"/>
      <c r="E950" s="19" t="n"/>
      <c r="F950" s="19" t="n"/>
      <c r="G950" s="18" t="n"/>
      <c r="H950" s="18" t="n"/>
      <c r="I950" s="18" t="n"/>
      <c r="J950" s="20" t="n"/>
      <c r="K950" s="21" t="n"/>
      <c r="L950" s="21" t="n"/>
      <c r="M950" s="18" t="n"/>
      <c r="N950" s="22">
        <f>IF($B950="","",CHOOSE(WEEKDAY($B950),"الأحد","الاثنين","الثلاثاء","الأربعاء","الخميس","الجمعة","السبت"))</f>
        <v/>
      </c>
      <c r="O950" s="23">
        <f>IF(OR($K950="",$L950=""),"",HYPERLINK("https://maps.google.com/?q="&amp;$K950&amp;","&amp;$L950,"عرض الموقع"))</f>
        <v/>
      </c>
      <c r="P950" s="23">
        <f>IF(OR($B950="",N($J950)=0),"",HYPERLINK(PhotoDir&amp;"/"&amp;YEAR($B950)&amp;"-"&amp;TEXT(MONTH($B950),"00")&amp;"-"&amp;TEXT(DAY($B950),"00")&amp;"_"&amp;$D950,"فتح الصور ("&amp;$J950&amp;")"))</f>
        <v/>
      </c>
      <c r="Q950" s="24">
        <f>IF($B950="","",MONTH($B950))</f>
        <v/>
      </c>
      <c r="R950" s="24">
        <f>IF($B950="","",YEAR($B950))</f>
        <v/>
      </c>
      <c r="S950" s="25">
        <f>IF($B950="","",$B950-WEEKDAY($B950,3))</f>
        <v/>
      </c>
      <c r="T950" s="24">
        <f>IF($B950="",0,IF(COUNTIFS($B$5:$B950,$B950,$D$5:$D950,$D950)=1,1,0))</f>
        <v/>
      </c>
      <c r="U950" s="24">
        <f>IF($B950="",0,IF(COUNTIFS($B$5:$B950,$B950,$C$5:$C950,$C950)=1,1,0))</f>
        <v/>
      </c>
      <c r="V950" s="24">
        <f>IF(OR($B950="",$G950="",$G950="لا توجد مشاهدات"),0,1)</f>
        <v/>
      </c>
      <c r="W950" s="24">
        <f>IF(AND($B950&lt;&gt;"",$I950="تم تحرير مخالفة"),1,0)</f>
        <v/>
      </c>
      <c r="X950" s="24">
        <f>IF($B950="","",IF($S950=WkStart,COUNTIF($S$5:$S950,WkStart),""))</f>
        <v/>
      </c>
    </row>
    <row r="951">
      <c r="A951" s="16">
        <f>IF($B951="","",ROW()-4)</f>
        <v/>
      </c>
      <c r="B951" s="17" t="n"/>
      <c r="C951" s="18" t="n"/>
      <c r="D951" s="18" t="n"/>
      <c r="E951" s="19" t="n"/>
      <c r="F951" s="19" t="n"/>
      <c r="G951" s="18" t="n"/>
      <c r="H951" s="18" t="n"/>
      <c r="I951" s="18" t="n"/>
      <c r="J951" s="20" t="n"/>
      <c r="K951" s="21" t="n"/>
      <c r="L951" s="21" t="n"/>
      <c r="M951" s="18" t="n"/>
      <c r="N951" s="22">
        <f>IF($B951="","",CHOOSE(WEEKDAY($B951),"الأحد","الاثنين","الثلاثاء","الأربعاء","الخميس","الجمعة","السبت"))</f>
        <v/>
      </c>
      <c r="O951" s="23">
        <f>IF(OR($K951="",$L951=""),"",HYPERLINK("https://maps.google.com/?q="&amp;$K951&amp;","&amp;$L951,"عرض الموقع"))</f>
        <v/>
      </c>
      <c r="P951" s="23">
        <f>IF(OR($B951="",N($J951)=0),"",HYPERLINK(PhotoDir&amp;"/"&amp;YEAR($B951)&amp;"-"&amp;TEXT(MONTH($B951),"00")&amp;"-"&amp;TEXT(DAY($B951),"00")&amp;"_"&amp;$D951,"فتح الصور ("&amp;$J951&amp;")"))</f>
        <v/>
      </c>
      <c r="Q951" s="24">
        <f>IF($B951="","",MONTH($B951))</f>
        <v/>
      </c>
      <c r="R951" s="24">
        <f>IF($B951="","",YEAR($B951))</f>
        <v/>
      </c>
      <c r="S951" s="25">
        <f>IF($B951="","",$B951-WEEKDAY($B951,3))</f>
        <v/>
      </c>
      <c r="T951" s="24">
        <f>IF($B951="",0,IF(COUNTIFS($B$5:$B951,$B951,$D$5:$D951,$D951)=1,1,0))</f>
        <v/>
      </c>
      <c r="U951" s="24">
        <f>IF($B951="",0,IF(COUNTIFS($B$5:$B951,$B951,$C$5:$C951,$C951)=1,1,0))</f>
        <v/>
      </c>
      <c r="V951" s="24">
        <f>IF(OR($B951="",$G951="",$G951="لا توجد مشاهدات"),0,1)</f>
        <v/>
      </c>
      <c r="W951" s="24">
        <f>IF(AND($B951&lt;&gt;"",$I951="تم تحرير مخالفة"),1,0)</f>
        <v/>
      </c>
      <c r="X951" s="24">
        <f>IF($B951="","",IF($S951=WkStart,COUNTIF($S$5:$S951,WkStart),""))</f>
        <v/>
      </c>
    </row>
    <row r="952">
      <c r="A952" s="16">
        <f>IF($B952="","",ROW()-4)</f>
        <v/>
      </c>
      <c r="B952" s="17" t="n"/>
      <c r="C952" s="18" t="n"/>
      <c r="D952" s="18" t="n"/>
      <c r="E952" s="19" t="n"/>
      <c r="F952" s="19" t="n"/>
      <c r="G952" s="18" t="n"/>
      <c r="H952" s="18" t="n"/>
      <c r="I952" s="18" t="n"/>
      <c r="J952" s="20" t="n"/>
      <c r="K952" s="21" t="n"/>
      <c r="L952" s="21" t="n"/>
      <c r="M952" s="18" t="n"/>
      <c r="N952" s="22">
        <f>IF($B952="","",CHOOSE(WEEKDAY($B952),"الأحد","الاثنين","الثلاثاء","الأربعاء","الخميس","الجمعة","السبت"))</f>
        <v/>
      </c>
      <c r="O952" s="23">
        <f>IF(OR($K952="",$L952=""),"",HYPERLINK("https://maps.google.com/?q="&amp;$K952&amp;","&amp;$L952,"عرض الموقع"))</f>
        <v/>
      </c>
      <c r="P952" s="23">
        <f>IF(OR($B952="",N($J952)=0),"",HYPERLINK(PhotoDir&amp;"/"&amp;YEAR($B952)&amp;"-"&amp;TEXT(MONTH($B952),"00")&amp;"-"&amp;TEXT(DAY($B952),"00")&amp;"_"&amp;$D952,"فتح الصور ("&amp;$J952&amp;")"))</f>
        <v/>
      </c>
      <c r="Q952" s="24">
        <f>IF($B952="","",MONTH($B952))</f>
        <v/>
      </c>
      <c r="R952" s="24">
        <f>IF($B952="","",YEAR($B952))</f>
        <v/>
      </c>
      <c r="S952" s="25">
        <f>IF($B952="","",$B952-WEEKDAY($B952,3))</f>
        <v/>
      </c>
      <c r="T952" s="24">
        <f>IF($B952="",0,IF(COUNTIFS($B$5:$B952,$B952,$D$5:$D952,$D952)=1,1,0))</f>
        <v/>
      </c>
      <c r="U952" s="24">
        <f>IF($B952="",0,IF(COUNTIFS($B$5:$B952,$B952,$C$5:$C952,$C952)=1,1,0))</f>
        <v/>
      </c>
      <c r="V952" s="24">
        <f>IF(OR($B952="",$G952="",$G952="لا توجد مشاهدات"),0,1)</f>
        <v/>
      </c>
      <c r="W952" s="24">
        <f>IF(AND($B952&lt;&gt;"",$I952="تم تحرير مخالفة"),1,0)</f>
        <v/>
      </c>
      <c r="X952" s="24">
        <f>IF($B952="","",IF($S952=WkStart,COUNTIF($S$5:$S952,WkStart),""))</f>
        <v/>
      </c>
    </row>
    <row r="953">
      <c r="A953" s="16">
        <f>IF($B953="","",ROW()-4)</f>
        <v/>
      </c>
      <c r="B953" s="17" t="n"/>
      <c r="C953" s="18" t="n"/>
      <c r="D953" s="18" t="n"/>
      <c r="E953" s="19" t="n"/>
      <c r="F953" s="19" t="n"/>
      <c r="G953" s="18" t="n"/>
      <c r="H953" s="18" t="n"/>
      <c r="I953" s="18" t="n"/>
      <c r="J953" s="20" t="n"/>
      <c r="K953" s="21" t="n"/>
      <c r="L953" s="21" t="n"/>
      <c r="M953" s="18" t="n"/>
      <c r="N953" s="22">
        <f>IF($B953="","",CHOOSE(WEEKDAY($B953),"الأحد","الاثنين","الثلاثاء","الأربعاء","الخميس","الجمعة","السبت"))</f>
        <v/>
      </c>
      <c r="O953" s="23">
        <f>IF(OR($K953="",$L953=""),"",HYPERLINK("https://maps.google.com/?q="&amp;$K953&amp;","&amp;$L953,"عرض الموقع"))</f>
        <v/>
      </c>
      <c r="P953" s="23">
        <f>IF(OR($B953="",N($J953)=0),"",HYPERLINK(PhotoDir&amp;"/"&amp;YEAR($B953)&amp;"-"&amp;TEXT(MONTH($B953),"00")&amp;"-"&amp;TEXT(DAY($B953),"00")&amp;"_"&amp;$D953,"فتح الصور ("&amp;$J953&amp;")"))</f>
        <v/>
      </c>
      <c r="Q953" s="24">
        <f>IF($B953="","",MONTH($B953))</f>
        <v/>
      </c>
      <c r="R953" s="24">
        <f>IF($B953="","",YEAR($B953))</f>
        <v/>
      </c>
      <c r="S953" s="25">
        <f>IF($B953="","",$B953-WEEKDAY($B953,3))</f>
        <v/>
      </c>
      <c r="T953" s="24">
        <f>IF($B953="",0,IF(COUNTIFS($B$5:$B953,$B953,$D$5:$D953,$D953)=1,1,0))</f>
        <v/>
      </c>
      <c r="U953" s="24">
        <f>IF($B953="",0,IF(COUNTIFS($B$5:$B953,$B953,$C$5:$C953,$C953)=1,1,0))</f>
        <v/>
      </c>
      <c r="V953" s="24">
        <f>IF(OR($B953="",$G953="",$G953="لا توجد مشاهدات"),0,1)</f>
        <v/>
      </c>
      <c r="W953" s="24">
        <f>IF(AND($B953&lt;&gt;"",$I953="تم تحرير مخالفة"),1,0)</f>
        <v/>
      </c>
      <c r="X953" s="24">
        <f>IF($B953="","",IF($S953=WkStart,COUNTIF($S$5:$S953,WkStart),""))</f>
        <v/>
      </c>
    </row>
    <row r="954">
      <c r="A954" s="16">
        <f>IF($B954="","",ROW()-4)</f>
        <v/>
      </c>
      <c r="B954" s="17" t="n"/>
      <c r="C954" s="18" t="n"/>
      <c r="D954" s="18" t="n"/>
      <c r="E954" s="19" t="n"/>
      <c r="F954" s="19" t="n"/>
      <c r="G954" s="18" t="n"/>
      <c r="H954" s="18" t="n"/>
      <c r="I954" s="18" t="n"/>
      <c r="J954" s="20" t="n"/>
      <c r="K954" s="21" t="n"/>
      <c r="L954" s="21" t="n"/>
      <c r="M954" s="18" t="n"/>
      <c r="N954" s="22">
        <f>IF($B954="","",CHOOSE(WEEKDAY($B954),"الأحد","الاثنين","الثلاثاء","الأربعاء","الخميس","الجمعة","السبت"))</f>
        <v/>
      </c>
      <c r="O954" s="23">
        <f>IF(OR($K954="",$L954=""),"",HYPERLINK("https://maps.google.com/?q="&amp;$K954&amp;","&amp;$L954,"عرض الموقع"))</f>
        <v/>
      </c>
      <c r="P954" s="23">
        <f>IF(OR($B954="",N($J954)=0),"",HYPERLINK(PhotoDir&amp;"/"&amp;YEAR($B954)&amp;"-"&amp;TEXT(MONTH($B954),"00")&amp;"-"&amp;TEXT(DAY($B954),"00")&amp;"_"&amp;$D954,"فتح الصور ("&amp;$J954&amp;")"))</f>
        <v/>
      </c>
      <c r="Q954" s="24">
        <f>IF($B954="","",MONTH($B954))</f>
        <v/>
      </c>
      <c r="R954" s="24">
        <f>IF($B954="","",YEAR($B954))</f>
        <v/>
      </c>
      <c r="S954" s="25">
        <f>IF($B954="","",$B954-WEEKDAY($B954,3))</f>
        <v/>
      </c>
      <c r="T954" s="24">
        <f>IF($B954="",0,IF(COUNTIFS($B$5:$B954,$B954,$D$5:$D954,$D954)=1,1,0))</f>
        <v/>
      </c>
      <c r="U954" s="24">
        <f>IF($B954="",0,IF(COUNTIFS($B$5:$B954,$B954,$C$5:$C954,$C954)=1,1,0))</f>
        <v/>
      </c>
      <c r="V954" s="24">
        <f>IF(OR($B954="",$G954="",$G954="لا توجد مشاهدات"),0,1)</f>
        <v/>
      </c>
      <c r="W954" s="24">
        <f>IF(AND($B954&lt;&gt;"",$I954="تم تحرير مخالفة"),1,0)</f>
        <v/>
      </c>
      <c r="X954" s="24">
        <f>IF($B954="","",IF($S954=WkStart,COUNTIF($S$5:$S954,WkStart),""))</f>
        <v/>
      </c>
    </row>
    <row r="955">
      <c r="A955" s="16">
        <f>IF($B955="","",ROW()-4)</f>
        <v/>
      </c>
      <c r="B955" s="17" t="n"/>
      <c r="C955" s="18" t="n"/>
      <c r="D955" s="18" t="n"/>
      <c r="E955" s="19" t="n"/>
      <c r="F955" s="19" t="n"/>
      <c r="G955" s="18" t="n"/>
      <c r="H955" s="18" t="n"/>
      <c r="I955" s="18" t="n"/>
      <c r="J955" s="20" t="n"/>
      <c r="K955" s="21" t="n"/>
      <c r="L955" s="21" t="n"/>
      <c r="M955" s="18" t="n"/>
      <c r="N955" s="22">
        <f>IF($B955="","",CHOOSE(WEEKDAY($B955),"الأحد","الاثنين","الثلاثاء","الأربعاء","الخميس","الجمعة","السبت"))</f>
        <v/>
      </c>
      <c r="O955" s="23">
        <f>IF(OR($K955="",$L955=""),"",HYPERLINK("https://maps.google.com/?q="&amp;$K955&amp;","&amp;$L955,"عرض الموقع"))</f>
        <v/>
      </c>
      <c r="P955" s="23">
        <f>IF(OR($B955="",N($J955)=0),"",HYPERLINK(PhotoDir&amp;"/"&amp;YEAR($B955)&amp;"-"&amp;TEXT(MONTH($B955),"00")&amp;"-"&amp;TEXT(DAY($B955),"00")&amp;"_"&amp;$D955,"فتح الصور ("&amp;$J955&amp;")"))</f>
        <v/>
      </c>
      <c r="Q955" s="24">
        <f>IF($B955="","",MONTH($B955))</f>
        <v/>
      </c>
      <c r="R955" s="24">
        <f>IF($B955="","",YEAR($B955))</f>
        <v/>
      </c>
      <c r="S955" s="25">
        <f>IF($B955="","",$B955-WEEKDAY($B955,3))</f>
        <v/>
      </c>
      <c r="T955" s="24">
        <f>IF($B955="",0,IF(COUNTIFS($B$5:$B955,$B955,$D$5:$D955,$D955)=1,1,0))</f>
        <v/>
      </c>
      <c r="U955" s="24">
        <f>IF($B955="",0,IF(COUNTIFS($B$5:$B955,$B955,$C$5:$C955,$C955)=1,1,0))</f>
        <v/>
      </c>
      <c r="V955" s="24">
        <f>IF(OR($B955="",$G955="",$G955="لا توجد مشاهدات"),0,1)</f>
        <v/>
      </c>
      <c r="W955" s="24">
        <f>IF(AND($B955&lt;&gt;"",$I955="تم تحرير مخالفة"),1,0)</f>
        <v/>
      </c>
      <c r="X955" s="24">
        <f>IF($B955="","",IF($S955=WkStart,COUNTIF($S$5:$S955,WkStart),""))</f>
        <v/>
      </c>
    </row>
    <row r="956">
      <c r="A956" s="16">
        <f>IF($B956="","",ROW()-4)</f>
        <v/>
      </c>
      <c r="B956" s="17" t="n"/>
      <c r="C956" s="18" t="n"/>
      <c r="D956" s="18" t="n"/>
      <c r="E956" s="19" t="n"/>
      <c r="F956" s="19" t="n"/>
      <c r="G956" s="18" t="n"/>
      <c r="H956" s="18" t="n"/>
      <c r="I956" s="18" t="n"/>
      <c r="J956" s="20" t="n"/>
      <c r="K956" s="21" t="n"/>
      <c r="L956" s="21" t="n"/>
      <c r="M956" s="18" t="n"/>
      <c r="N956" s="22">
        <f>IF($B956="","",CHOOSE(WEEKDAY($B956),"الأحد","الاثنين","الثلاثاء","الأربعاء","الخميس","الجمعة","السبت"))</f>
        <v/>
      </c>
      <c r="O956" s="23">
        <f>IF(OR($K956="",$L956=""),"",HYPERLINK("https://maps.google.com/?q="&amp;$K956&amp;","&amp;$L956,"عرض الموقع"))</f>
        <v/>
      </c>
      <c r="P956" s="23">
        <f>IF(OR($B956="",N($J956)=0),"",HYPERLINK(PhotoDir&amp;"/"&amp;YEAR($B956)&amp;"-"&amp;TEXT(MONTH($B956),"00")&amp;"-"&amp;TEXT(DAY($B956),"00")&amp;"_"&amp;$D956,"فتح الصور ("&amp;$J956&amp;")"))</f>
        <v/>
      </c>
      <c r="Q956" s="24">
        <f>IF($B956="","",MONTH($B956))</f>
        <v/>
      </c>
      <c r="R956" s="24">
        <f>IF($B956="","",YEAR($B956))</f>
        <v/>
      </c>
      <c r="S956" s="25">
        <f>IF($B956="","",$B956-WEEKDAY($B956,3))</f>
        <v/>
      </c>
      <c r="T956" s="24">
        <f>IF($B956="",0,IF(COUNTIFS($B$5:$B956,$B956,$D$5:$D956,$D956)=1,1,0))</f>
        <v/>
      </c>
      <c r="U956" s="24">
        <f>IF($B956="",0,IF(COUNTIFS($B$5:$B956,$B956,$C$5:$C956,$C956)=1,1,0))</f>
        <v/>
      </c>
      <c r="V956" s="24">
        <f>IF(OR($B956="",$G956="",$G956="لا توجد مشاهدات"),0,1)</f>
        <v/>
      </c>
      <c r="W956" s="24">
        <f>IF(AND($B956&lt;&gt;"",$I956="تم تحرير مخالفة"),1,0)</f>
        <v/>
      </c>
      <c r="X956" s="24">
        <f>IF($B956="","",IF($S956=WkStart,COUNTIF($S$5:$S956,WkStart),""))</f>
        <v/>
      </c>
    </row>
    <row r="957">
      <c r="A957" s="16">
        <f>IF($B957="","",ROW()-4)</f>
        <v/>
      </c>
      <c r="B957" s="17" t="n"/>
      <c r="C957" s="18" t="n"/>
      <c r="D957" s="18" t="n"/>
      <c r="E957" s="19" t="n"/>
      <c r="F957" s="19" t="n"/>
      <c r="G957" s="18" t="n"/>
      <c r="H957" s="18" t="n"/>
      <c r="I957" s="18" t="n"/>
      <c r="J957" s="20" t="n"/>
      <c r="K957" s="21" t="n"/>
      <c r="L957" s="21" t="n"/>
      <c r="M957" s="18" t="n"/>
      <c r="N957" s="22">
        <f>IF($B957="","",CHOOSE(WEEKDAY($B957),"الأحد","الاثنين","الثلاثاء","الأربعاء","الخميس","الجمعة","السبت"))</f>
        <v/>
      </c>
      <c r="O957" s="23">
        <f>IF(OR($K957="",$L957=""),"",HYPERLINK("https://maps.google.com/?q="&amp;$K957&amp;","&amp;$L957,"عرض الموقع"))</f>
        <v/>
      </c>
      <c r="P957" s="23">
        <f>IF(OR($B957="",N($J957)=0),"",HYPERLINK(PhotoDir&amp;"/"&amp;YEAR($B957)&amp;"-"&amp;TEXT(MONTH($B957),"00")&amp;"-"&amp;TEXT(DAY($B957),"00")&amp;"_"&amp;$D957,"فتح الصور ("&amp;$J957&amp;")"))</f>
        <v/>
      </c>
      <c r="Q957" s="24">
        <f>IF($B957="","",MONTH($B957))</f>
        <v/>
      </c>
      <c r="R957" s="24">
        <f>IF($B957="","",YEAR($B957))</f>
        <v/>
      </c>
      <c r="S957" s="25">
        <f>IF($B957="","",$B957-WEEKDAY($B957,3))</f>
        <v/>
      </c>
      <c r="T957" s="24">
        <f>IF($B957="",0,IF(COUNTIFS($B$5:$B957,$B957,$D$5:$D957,$D957)=1,1,0))</f>
        <v/>
      </c>
      <c r="U957" s="24">
        <f>IF($B957="",0,IF(COUNTIFS($B$5:$B957,$B957,$C$5:$C957,$C957)=1,1,0))</f>
        <v/>
      </c>
      <c r="V957" s="24">
        <f>IF(OR($B957="",$G957="",$G957="لا توجد مشاهدات"),0,1)</f>
        <v/>
      </c>
      <c r="W957" s="24">
        <f>IF(AND($B957&lt;&gt;"",$I957="تم تحرير مخالفة"),1,0)</f>
        <v/>
      </c>
      <c r="X957" s="24">
        <f>IF($B957="","",IF($S957=WkStart,COUNTIF($S$5:$S957,WkStart),""))</f>
        <v/>
      </c>
    </row>
    <row r="958">
      <c r="A958" s="16">
        <f>IF($B958="","",ROW()-4)</f>
        <v/>
      </c>
      <c r="B958" s="17" t="n"/>
      <c r="C958" s="18" t="n"/>
      <c r="D958" s="18" t="n"/>
      <c r="E958" s="19" t="n"/>
      <c r="F958" s="19" t="n"/>
      <c r="G958" s="18" t="n"/>
      <c r="H958" s="18" t="n"/>
      <c r="I958" s="18" t="n"/>
      <c r="J958" s="20" t="n"/>
      <c r="K958" s="21" t="n"/>
      <c r="L958" s="21" t="n"/>
      <c r="M958" s="18" t="n"/>
      <c r="N958" s="22">
        <f>IF($B958="","",CHOOSE(WEEKDAY($B958),"الأحد","الاثنين","الثلاثاء","الأربعاء","الخميس","الجمعة","السبت"))</f>
        <v/>
      </c>
      <c r="O958" s="23">
        <f>IF(OR($K958="",$L958=""),"",HYPERLINK("https://maps.google.com/?q="&amp;$K958&amp;","&amp;$L958,"عرض الموقع"))</f>
        <v/>
      </c>
      <c r="P958" s="23">
        <f>IF(OR($B958="",N($J958)=0),"",HYPERLINK(PhotoDir&amp;"/"&amp;YEAR($B958)&amp;"-"&amp;TEXT(MONTH($B958),"00")&amp;"-"&amp;TEXT(DAY($B958),"00")&amp;"_"&amp;$D958,"فتح الصور ("&amp;$J958&amp;")"))</f>
        <v/>
      </c>
      <c r="Q958" s="24">
        <f>IF($B958="","",MONTH($B958))</f>
        <v/>
      </c>
      <c r="R958" s="24">
        <f>IF($B958="","",YEAR($B958))</f>
        <v/>
      </c>
      <c r="S958" s="25">
        <f>IF($B958="","",$B958-WEEKDAY($B958,3))</f>
        <v/>
      </c>
      <c r="T958" s="24">
        <f>IF($B958="",0,IF(COUNTIFS($B$5:$B958,$B958,$D$5:$D958,$D958)=1,1,0))</f>
        <v/>
      </c>
      <c r="U958" s="24">
        <f>IF($B958="",0,IF(COUNTIFS($B$5:$B958,$B958,$C$5:$C958,$C958)=1,1,0))</f>
        <v/>
      </c>
      <c r="V958" s="24">
        <f>IF(OR($B958="",$G958="",$G958="لا توجد مشاهدات"),0,1)</f>
        <v/>
      </c>
      <c r="W958" s="24">
        <f>IF(AND($B958&lt;&gt;"",$I958="تم تحرير مخالفة"),1,0)</f>
        <v/>
      </c>
      <c r="X958" s="24">
        <f>IF($B958="","",IF($S958=WkStart,COUNTIF($S$5:$S958,WkStart),""))</f>
        <v/>
      </c>
    </row>
    <row r="959">
      <c r="A959" s="16">
        <f>IF($B959="","",ROW()-4)</f>
        <v/>
      </c>
      <c r="B959" s="17" t="n"/>
      <c r="C959" s="18" t="n"/>
      <c r="D959" s="18" t="n"/>
      <c r="E959" s="19" t="n"/>
      <c r="F959" s="19" t="n"/>
      <c r="G959" s="18" t="n"/>
      <c r="H959" s="18" t="n"/>
      <c r="I959" s="18" t="n"/>
      <c r="J959" s="20" t="n"/>
      <c r="K959" s="21" t="n"/>
      <c r="L959" s="21" t="n"/>
      <c r="M959" s="18" t="n"/>
      <c r="N959" s="22">
        <f>IF($B959="","",CHOOSE(WEEKDAY($B959),"الأحد","الاثنين","الثلاثاء","الأربعاء","الخميس","الجمعة","السبت"))</f>
        <v/>
      </c>
      <c r="O959" s="23">
        <f>IF(OR($K959="",$L959=""),"",HYPERLINK("https://maps.google.com/?q="&amp;$K959&amp;","&amp;$L959,"عرض الموقع"))</f>
        <v/>
      </c>
      <c r="P959" s="23">
        <f>IF(OR($B959="",N($J959)=0),"",HYPERLINK(PhotoDir&amp;"/"&amp;YEAR($B959)&amp;"-"&amp;TEXT(MONTH($B959),"00")&amp;"-"&amp;TEXT(DAY($B959),"00")&amp;"_"&amp;$D959,"فتح الصور ("&amp;$J959&amp;")"))</f>
        <v/>
      </c>
      <c r="Q959" s="24">
        <f>IF($B959="","",MONTH($B959))</f>
        <v/>
      </c>
      <c r="R959" s="24">
        <f>IF($B959="","",YEAR($B959))</f>
        <v/>
      </c>
      <c r="S959" s="25">
        <f>IF($B959="","",$B959-WEEKDAY($B959,3))</f>
        <v/>
      </c>
      <c r="T959" s="24">
        <f>IF($B959="",0,IF(COUNTIFS($B$5:$B959,$B959,$D$5:$D959,$D959)=1,1,0))</f>
        <v/>
      </c>
      <c r="U959" s="24">
        <f>IF($B959="",0,IF(COUNTIFS($B$5:$B959,$B959,$C$5:$C959,$C959)=1,1,0))</f>
        <v/>
      </c>
      <c r="V959" s="24">
        <f>IF(OR($B959="",$G959="",$G959="لا توجد مشاهدات"),0,1)</f>
        <v/>
      </c>
      <c r="W959" s="24">
        <f>IF(AND($B959&lt;&gt;"",$I959="تم تحرير مخالفة"),1,0)</f>
        <v/>
      </c>
      <c r="X959" s="24">
        <f>IF($B959="","",IF($S959=WkStart,COUNTIF($S$5:$S959,WkStart),""))</f>
        <v/>
      </c>
    </row>
    <row r="960">
      <c r="A960" s="16">
        <f>IF($B960="","",ROW()-4)</f>
        <v/>
      </c>
      <c r="B960" s="17" t="n"/>
      <c r="C960" s="18" t="n"/>
      <c r="D960" s="18" t="n"/>
      <c r="E960" s="19" t="n"/>
      <c r="F960" s="19" t="n"/>
      <c r="G960" s="18" t="n"/>
      <c r="H960" s="18" t="n"/>
      <c r="I960" s="18" t="n"/>
      <c r="J960" s="20" t="n"/>
      <c r="K960" s="21" t="n"/>
      <c r="L960" s="21" t="n"/>
      <c r="M960" s="18" t="n"/>
      <c r="N960" s="22">
        <f>IF($B960="","",CHOOSE(WEEKDAY($B960),"الأحد","الاثنين","الثلاثاء","الأربعاء","الخميس","الجمعة","السبت"))</f>
        <v/>
      </c>
      <c r="O960" s="23">
        <f>IF(OR($K960="",$L960=""),"",HYPERLINK("https://maps.google.com/?q="&amp;$K960&amp;","&amp;$L960,"عرض الموقع"))</f>
        <v/>
      </c>
      <c r="P960" s="23">
        <f>IF(OR($B960="",N($J960)=0),"",HYPERLINK(PhotoDir&amp;"/"&amp;YEAR($B960)&amp;"-"&amp;TEXT(MONTH($B960),"00")&amp;"-"&amp;TEXT(DAY($B960),"00")&amp;"_"&amp;$D960,"فتح الصور ("&amp;$J960&amp;")"))</f>
        <v/>
      </c>
      <c r="Q960" s="24">
        <f>IF($B960="","",MONTH($B960))</f>
        <v/>
      </c>
      <c r="R960" s="24">
        <f>IF($B960="","",YEAR($B960))</f>
        <v/>
      </c>
      <c r="S960" s="25">
        <f>IF($B960="","",$B960-WEEKDAY($B960,3))</f>
        <v/>
      </c>
      <c r="T960" s="24">
        <f>IF($B960="",0,IF(COUNTIFS($B$5:$B960,$B960,$D$5:$D960,$D960)=1,1,0))</f>
        <v/>
      </c>
      <c r="U960" s="24">
        <f>IF($B960="",0,IF(COUNTIFS($B$5:$B960,$B960,$C$5:$C960,$C960)=1,1,0))</f>
        <v/>
      </c>
      <c r="V960" s="24">
        <f>IF(OR($B960="",$G960="",$G960="لا توجد مشاهدات"),0,1)</f>
        <v/>
      </c>
      <c r="W960" s="24">
        <f>IF(AND($B960&lt;&gt;"",$I960="تم تحرير مخالفة"),1,0)</f>
        <v/>
      </c>
      <c r="X960" s="24">
        <f>IF($B960="","",IF($S960=WkStart,COUNTIF($S$5:$S960,WkStart),""))</f>
        <v/>
      </c>
    </row>
    <row r="961">
      <c r="A961" s="16">
        <f>IF($B961="","",ROW()-4)</f>
        <v/>
      </c>
      <c r="B961" s="17" t="n"/>
      <c r="C961" s="18" t="n"/>
      <c r="D961" s="18" t="n"/>
      <c r="E961" s="19" t="n"/>
      <c r="F961" s="19" t="n"/>
      <c r="G961" s="18" t="n"/>
      <c r="H961" s="18" t="n"/>
      <c r="I961" s="18" t="n"/>
      <c r="J961" s="20" t="n"/>
      <c r="K961" s="21" t="n"/>
      <c r="L961" s="21" t="n"/>
      <c r="M961" s="18" t="n"/>
      <c r="N961" s="22">
        <f>IF($B961="","",CHOOSE(WEEKDAY($B961),"الأحد","الاثنين","الثلاثاء","الأربعاء","الخميس","الجمعة","السبت"))</f>
        <v/>
      </c>
      <c r="O961" s="23">
        <f>IF(OR($K961="",$L961=""),"",HYPERLINK("https://maps.google.com/?q="&amp;$K961&amp;","&amp;$L961,"عرض الموقع"))</f>
        <v/>
      </c>
      <c r="P961" s="23">
        <f>IF(OR($B961="",N($J961)=0),"",HYPERLINK(PhotoDir&amp;"/"&amp;YEAR($B961)&amp;"-"&amp;TEXT(MONTH($B961),"00")&amp;"-"&amp;TEXT(DAY($B961),"00")&amp;"_"&amp;$D961,"فتح الصور ("&amp;$J961&amp;")"))</f>
        <v/>
      </c>
      <c r="Q961" s="24">
        <f>IF($B961="","",MONTH($B961))</f>
        <v/>
      </c>
      <c r="R961" s="24">
        <f>IF($B961="","",YEAR($B961))</f>
        <v/>
      </c>
      <c r="S961" s="25">
        <f>IF($B961="","",$B961-WEEKDAY($B961,3))</f>
        <v/>
      </c>
      <c r="T961" s="24">
        <f>IF($B961="",0,IF(COUNTIFS($B$5:$B961,$B961,$D$5:$D961,$D961)=1,1,0))</f>
        <v/>
      </c>
      <c r="U961" s="24">
        <f>IF($B961="",0,IF(COUNTIFS($B$5:$B961,$B961,$C$5:$C961,$C961)=1,1,0))</f>
        <v/>
      </c>
      <c r="V961" s="24">
        <f>IF(OR($B961="",$G961="",$G961="لا توجد مشاهدات"),0,1)</f>
        <v/>
      </c>
      <c r="W961" s="24">
        <f>IF(AND($B961&lt;&gt;"",$I961="تم تحرير مخالفة"),1,0)</f>
        <v/>
      </c>
      <c r="X961" s="24">
        <f>IF($B961="","",IF($S961=WkStart,COUNTIF($S$5:$S961,WkStart),""))</f>
        <v/>
      </c>
    </row>
    <row r="962">
      <c r="A962" s="16">
        <f>IF($B962="","",ROW()-4)</f>
        <v/>
      </c>
      <c r="B962" s="17" t="n"/>
      <c r="C962" s="18" t="n"/>
      <c r="D962" s="18" t="n"/>
      <c r="E962" s="19" t="n"/>
      <c r="F962" s="19" t="n"/>
      <c r="G962" s="18" t="n"/>
      <c r="H962" s="18" t="n"/>
      <c r="I962" s="18" t="n"/>
      <c r="J962" s="20" t="n"/>
      <c r="K962" s="21" t="n"/>
      <c r="L962" s="21" t="n"/>
      <c r="M962" s="18" t="n"/>
      <c r="N962" s="22">
        <f>IF($B962="","",CHOOSE(WEEKDAY($B962),"الأحد","الاثنين","الثلاثاء","الأربعاء","الخميس","الجمعة","السبت"))</f>
        <v/>
      </c>
      <c r="O962" s="23">
        <f>IF(OR($K962="",$L962=""),"",HYPERLINK("https://maps.google.com/?q="&amp;$K962&amp;","&amp;$L962,"عرض الموقع"))</f>
        <v/>
      </c>
      <c r="P962" s="23">
        <f>IF(OR($B962="",N($J962)=0),"",HYPERLINK(PhotoDir&amp;"/"&amp;YEAR($B962)&amp;"-"&amp;TEXT(MONTH($B962),"00")&amp;"-"&amp;TEXT(DAY($B962),"00")&amp;"_"&amp;$D962,"فتح الصور ("&amp;$J962&amp;")"))</f>
        <v/>
      </c>
      <c r="Q962" s="24">
        <f>IF($B962="","",MONTH($B962))</f>
        <v/>
      </c>
      <c r="R962" s="24">
        <f>IF($B962="","",YEAR($B962))</f>
        <v/>
      </c>
      <c r="S962" s="25">
        <f>IF($B962="","",$B962-WEEKDAY($B962,3))</f>
        <v/>
      </c>
      <c r="T962" s="24">
        <f>IF($B962="",0,IF(COUNTIFS($B$5:$B962,$B962,$D$5:$D962,$D962)=1,1,0))</f>
        <v/>
      </c>
      <c r="U962" s="24">
        <f>IF($B962="",0,IF(COUNTIFS($B$5:$B962,$B962,$C$5:$C962,$C962)=1,1,0))</f>
        <v/>
      </c>
      <c r="V962" s="24">
        <f>IF(OR($B962="",$G962="",$G962="لا توجد مشاهدات"),0,1)</f>
        <v/>
      </c>
      <c r="W962" s="24">
        <f>IF(AND($B962&lt;&gt;"",$I962="تم تحرير مخالفة"),1,0)</f>
        <v/>
      </c>
      <c r="X962" s="24">
        <f>IF($B962="","",IF($S962=WkStart,COUNTIF($S$5:$S962,WkStart),""))</f>
        <v/>
      </c>
    </row>
    <row r="963">
      <c r="A963" s="16">
        <f>IF($B963="","",ROW()-4)</f>
        <v/>
      </c>
      <c r="B963" s="17" t="n"/>
      <c r="C963" s="18" t="n"/>
      <c r="D963" s="18" t="n"/>
      <c r="E963" s="19" t="n"/>
      <c r="F963" s="19" t="n"/>
      <c r="G963" s="18" t="n"/>
      <c r="H963" s="18" t="n"/>
      <c r="I963" s="18" t="n"/>
      <c r="J963" s="20" t="n"/>
      <c r="K963" s="21" t="n"/>
      <c r="L963" s="21" t="n"/>
      <c r="M963" s="18" t="n"/>
      <c r="N963" s="22">
        <f>IF($B963="","",CHOOSE(WEEKDAY($B963),"الأحد","الاثنين","الثلاثاء","الأربعاء","الخميس","الجمعة","السبت"))</f>
        <v/>
      </c>
      <c r="O963" s="23">
        <f>IF(OR($K963="",$L963=""),"",HYPERLINK("https://maps.google.com/?q="&amp;$K963&amp;","&amp;$L963,"عرض الموقع"))</f>
        <v/>
      </c>
      <c r="P963" s="23">
        <f>IF(OR($B963="",N($J963)=0),"",HYPERLINK(PhotoDir&amp;"/"&amp;YEAR($B963)&amp;"-"&amp;TEXT(MONTH($B963),"00")&amp;"-"&amp;TEXT(DAY($B963),"00")&amp;"_"&amp;$D963,"فتح الصور ("&amp;$J963&amp;")"))</f>
        <v/>
      </c>
      <c r="Q963" s="24">
        <f>IF($B963="","",MONTH($B963))</f>
        <v/>
      </c>
      <c r="R963" s="24">
        <f>IF($B963="","",YEAR($B963))</f>
        <v/>
      </c>
      <c r="S963" s="25">
        <f>IF($B963="","",$B963-WEEKDAY($B963,3))</f>
        <v/>
      </c>
      <c r="T963" s="24">
        <f>IF($B963="",0,IF(COUNTIFS($B$5:$B963,$B963,$D$5:$D963,$D963)=1,1,0))</f>
        <v/>
      </c>
      <c r="U963" s="24">
        <f>IF($B963="",0,IF(COUNTIFS($B$5:$B963,$B963,$C$5:$C963,$C963)=1,1,0))</f>
        <v/>
      </c>
      <c r="V963" s="24">
        <f>IF(OR($B963="",$G963="",$G963="لا توجد مشاهدات"),0,1)</f>
        <v/>
      </c>
      <c r="W963" s="24">
        <f>IF(AND($B963&lt;&gt;"",$I963="تم تحرير مخالفة"),1,0)</f>
        <v/>
      </c>
      <c r="X963" s="24">
        <f>IF($B963="","",IF($S963=WkStart,COUNTIF($S$5:$S963,WkStart),""))</f>
        <v/>
      </c>
    </row>
    <row r="964">
      <c r="A964" s="16">
        <f>IF($B964="","",ROW()-4)</f>
        <v/>
      </c>
      <c r="B964" s="17" t="n"/>
      <c r="C964" s="18" t="n"/>
      <c r="D964" s="18" t="n"/>
      <c r="E964" s="19" t="n"/>
      <c r="F964" s="19" t="n"/>
      <c r="G964" s="18" t="n"/>
      <c r="H964" s="18" t="n"/>
      <c r="I964" s="18" t="n"/>
      <c r="J964" s="20" t="n"/>
      <c r="K964" s="21" t="n"/>
      <c r="L964" s="21" t="n"/>
      <c r="M964" s="18" t="n"/>
      <c r="N964" s="22">
        <f>IF($B964="","",CHOOSE(WEEKDAY($B964),"الأحد","الاثنين","الثلاثاء","الأربعاء","الخميس","الجمعة","السبت"))</f>
        <v/>
      </c>
      <c r="O964" s="23">
        <f>IF(OR($K964="",$L964=""),"",HYPERLINK("https://maps.google.com/?q="&amp;$K964&amp;","&amp;$L964,"عرض الموقع"))</f>
        <v/>
      </c>
      <c r="P964" s="23">
        <f>IF(OR($B964="",N($J964)=0),"",HYPERLINK(PhotoDir&amp;"/"&amp;YEAR($B964)&amp;"-"&amp;TEXT(MONTH($B964),"00")&amp;"-"&amp;TEXT(DAY($B964),"00")&amp;"_"&amp;$D964,"فتح الصور ("&amp;$J964&amp;")"))</f>
        <v/>
      </c>
      <c r="Q964" s="24">
        <f>IF($B964="","",MONTH($B964))</f>
        <v/>
      </c>
      <c r="R964" s="24">
        <f>IF($B964="","",YEAR($B964))</f>
        <v/>
      </c>
      <c r="S964" s="25">
        <f>IF($B964="","",$B964-WEEKDAY($B964,3))</f>
        <v/>
      </c>
      <c r="T964" s="24">
        <f>IF($B964="",0,IF(COUNTIFS($B$5:$B964,$B964,$D$5:$D964,$D964)=1,1,0))</f>
        <v/>
      </c>
      <c r="U964" s="24">
        <f>IF($B964="",0,IF(COUNTIFS($B$5:$B964,$B964,$C$5:$C964,$C964)=1,1,0))</f>
        <v/>
      </c>
      <c r="V964" s="24">
        <f>IF(OR($B964="",$G964="",$G964="لا توجد مشاهدات"),0,1)</f>
        <v/>
      </c>
      <c r="W964" s="24">
        <f>IF(AND($B964&lt;&gt;"",$I964="تم تحرير مخالفة"),1,0)</f>
        <v/>
      </c>
      <c r="X964" s="24">
        <f>IF($B964="","",IF($S964=WkStart,COUNTIF($S$5:$S964,WkStart),""))</f>
        <v/>
      </c>
    </row>
    <row r="965">
      <c r="A965" s="16">
        <f>IF($B965="","",ROW()-4)</f>
        <v/>
      </c>
      <c r="B965" s="17" t="n"/>
      <c r="C965" s="18" t="n"/>
      <c r="D965" s="18" t="n"/>
      <c r="E965" s="19" t="n"/>
      <c r="F965" s="19" t="n"/>
      <c r="G965" s="18" t="n"/>
      <c r="H965" s="18" t="n"/>
      <c r="I965" s="18" t="n"/>
      <c r="J965" s="20" t="n"/>
      <c r="K965" s="21" t="n"/>
      <c r="L965" s="21" t="n"/>
      <c r="M965" s="18" t="n"/>
      <c r="N965" s="22">
        <f>IF($B965="","",CHOOSE(WEEKDAY($B965),"الأحد","الاثنين","الثلاثاء","الأربعاء","الخميس","الجمعة","السبت"))</f>
        <v/>
      </c>
      <c r="O965" s="23">
        <f>IF(OR($K965="",$L965=""),"",HYPERLINK("https://maps.google.com/?q="&amp;$K965&amp;","&amp;$L965,"عرض الموقع"))</f>
        <v/>
      </c>
      <c r="P965" s="23">
        <f>IF(OR($B965="",N($J965)=0),"",HYPERLINK(PhotoDir&amp;"/"&amp;YEAR($B965)&amp;"-"&amp;TEXT(MONTH($B965),"00")&amp;"-"&amp;TEXT(DAY($B965),"00")&amp;"_"&amp;$D965,"فتح الصور ("&amp;$J965&amp;")"))</f>
        <v/>
      </c>
      <c r="Q965" s="24">
        <f>IF($B965="","",MONTH($B965))</f>
        <v/>
      </c>
      <c r="R965" s="24">
        <f>IF($B965="","",YEAR($B965))</f>
        <v/>
      </c>
      <c r="S965" s="25">
        <f>IF($B965="","",$B965-WEEKDAY($B965,3))</f>
        <v/>
      </c>
      <c r="T965" s="24">
        <f>IF($B965="",0,IF(COUNTIFS($B$5:$B965,$B965,$D$5:$D965,$D965)=1,1,0))</f>
        <v/>
      </c>
      <c r="U965" s="24">
        <f>IF($B965="",0,IF(COUNTIFS($B$5:$B965,$B965,$C$5:$C965,$C965)=1,1,0))</f>
        <v/>
      </c>
      <c r="V965" s="24">
        <f>IF(OR($B965="",$G965="",$G965="لا توجد مشاهدات"),0,1)</f>
        <v/>
      </c>
      <c r="W965" s="24">
        <f>IF(AND($B965&lt;&gt;"",$I965="تم تحرير مخالفة"),1,0)</f>
        <v/>
      </c>
      <c r="X965" s="24">
        <f>IF($B965="","",IF($S965=WkStart,COUNTIF($S$5:$S965,WkStart),""))</f>
        <v/>
      </c>
    </row>
    <row r="966">
      <c r="A966" s="16">
        <f>IF($B966="","",ROW()-4)</f>
        <v/>
      </c>
      <c r="B966" s="17" t="n"/>
      <c r="C966" s="18" t="n"/>
      <c r="D966" s="18" t="n"/>
      <c r="E966" s="19" t="n"/>
      <c r="F966" s="19" t="n"/>
      <c r="G966" s="18" t="n"/>
      <c r="H966" s="18" t="n"/>
      <c r="I966" s="18" t="n"/>
      <c r="J966" s="20" t="n"/>
      <c r="K966" s="21" t="n"/>
      <c r="L966" s="21" t="n"/>
      <c r="M966" s="18" t="n"/>
      <c r="N966" s="22">
        <f>IF($B966="","",CHOOSE(WEEKDAY($B966),"الأحد","الاثنين","الثلاثاء","الأربعاء","الخميس","الجمعة","السبت"))</f>
        <v/>
      </c>
      <c r="O966" s="23">
        <f>IF(OR($K966="",$L966=""),"",HYPERLINK("https://maps.google.com/?q="&amp;$K966&amp;","&amp;$L966,"عرض الموقع"))</f>
        <v/>
      </c>
      <c r="P966" s="23">
        <f>IF(OR($B966="",N($J966)=0),"",HYPERLINK(PhotoDir&amp;"/"&amp;YEAR($B966)&amp;"-"&amp;TEXT(MONTH($B966),"00")&amp;"-"&amp;TEXT(DAY($B966),"00")&amp;"_"&amp;$D966,"فتح الصور ("&amp;$J966&amp;")"))</f>
        <v/>
      </c>
      <c r="Q966" s="24">
        <f>IF($B966="","",MONTH($B966))</f>
        <v/>
      </c>
      <c r="R966" s="24">
        <f>IF($B966="","",YEAR($B966))</f>
        <v/>
      </c>
      <c r="S966" s="25">
        <f>IF($B966="","",$B966-WEEKDAY($B966,3))</f>
        <v/>
      </c>
      <c r="T966" s="24">
        <f>IF($B966="",0,IF(COUNTIFS($B$5:$B966,$B966,$D$5:$D966,$D966)=1,1,0))</f>
        <v/>
      </c>
      <c r="U966" s="24">
        <f>IF($B966="",0,IF(COUNTIFS($B$5:$B966,$B966,$C$5:$C966,$C966)=1,1,0))</f>
        <v/>
      </c>
      <c r="V966" s="24">
        <f>IF(OR($B966="",$G966="",$G966="لا توجد مشاهدات"),0,1)</f>
        <v/>
      </c>
      <c r="W966" s="24">
        <f>IF(AND($B966&lt;&gt;"",$I966="تم تحرير مخالفة"),1,0)</f>
        <v/>
      </c>
      <c r="X966" s="24">
        <f>IF($B966="","",IF($S966=WkStart,COUNTIF($S$5:$S966,WkStart),""))</f>
        <v/>
      </c>
    </row>
    <row r="967">
      <c r="A967" s="16">
        <f>IF($B967="","",ROW()-4)</f>
        <v/>
      </c>
      <c r="B967" s="17" t="n"/>
      <c r="C967" s="18" t="n"/>
      <c r="D967" s="18" t="n"/>
      <c r="E967" s="19" t="n"/>
      <c r="F967" s="19" t="n"/>
      <c r="G967" s="18" t="n"/>
      <c r="H967" s="18" t="n"/>
      <c r="I967" s="18" t="n"/>
      <c r="J967" s="20" t="n"/>
      <c r="K967" s="21" t="n"/>
      <c r="L967" s="21" t="n"/>
      <c r="M967" s="18" t="n"/>
      <c r="N967" s="22">
        <f>IF($B967="","",CHOOSE(WEEKDAY($B967),"الأحد","الاثنين","الثلاثاء","الأربعاء","الخميس","الجمعة","السبت"))</f>
        <v/>
      </c>
      <c r="O967" s="23">
        <f>IF(OR($K967="",$L967=""),"",HYPERLINK("https://maps.google.com/?q="&amp;$K967&amp;","&amp;$L967,"عرض الموقع"))</f>
        <v/>
      </c>
      <c r="P967" s="23">
        <f>IF(OR($B967="",N($J967)=0),"",HYPERLINK(PhotoDir&amp;"/"&amp;YEAR($B967)&amp;"-"&amp;TEXT(MONTH($B967),"00")&amp;"-"&amp;TEXT(DAY($B967),"00")&amp;"_"&amp;$D967,"فتح الصور ("&amp;$J967&amp;")"))</f>
        <v/>
      </c>
      <c r="Q967" s="24">
        <f>IF($B967="","",MONTH($B967))</f>
        <v/>
      </c>
      <c r="R967" s="24">
        <f>IF($B967="","",YEAR($B967))</f>
        <v/>
      </c>
      <c r="S967" s="25">
        <f>IF($B967="","",$B967-WEEKDAY($B967,3))</f>
        <v/>
      </c>
      <c r="T967" s="24">
        <f>IF($B967="",0,IF(COUNTIFS($B$5:$B967,$B967,$D$5:$D967,$D967)=1,1,0))</f>
        <v/>
      </c>
      <c r="U967" s="24">
        <f>IF($B967="",0,IF(COUNTIFS($B$5:$B967,$B967,$C$5:$C967,$C967)=1,1,0))</f>
        <v/>
      </c>
      <c r="V967" s="24">
        <f>IF(OR($B967="",$G967="",$G967="لا توجد مشاهدات"),0,1)</f>
        <v/>
      </c>
      <c r="W967" s="24">
        <f>IF(AND($B967&lt;&gt;"",$I967="تم تحرير مخالفة"),1,0)</f>
        <v/>
      </c>
      <c r="X967" s="24">
        <f>IF($B967="","",IF($S967=WkStart,COUNTIF($S$5:$S967,WkStart),""))</f>
        <v/>
      </c>
    </row>
    <row r="968">
      <c r="A968" s="16">
        <f>IF($B968="","",ROW()-4)</f>
        <v/>
      </c>
      <c r="B968" s="17" t="n"/>
      <c r="C968" s="18" t="n"/>
      <c r="D968" s="18" t="n"/>
      <c r="E968" s="19" t="n"/>
      <c r="F968" s="19" t="n"/>
      <c r="G968" s="18" t="n"/>
      <c r="H968" s="18" t="n"/>
      <c r="I968" s="18" t="n"/>
      <c r="J968" s="20" t="n"/>
      <c r="K968" s="21" t="n"/>
      <c r="L968" s="21" t="n"/>
      <c r="M968" s="18" t="n"/>
      <c r="N968" s="22">
        <f>IF($B968="","",CHOOSE(WEEKDAY($B968),"الأحد","الاثنين","الثلاثاء","الأربعاء","الخميس","الجمعة","السبت"))</f>
        <v/>
      </c>
      <c r="O968" s="23">
        <f>IF(OR($K968="",$L968=""),"",HYPERLINK("https://maps.google.com/?q="&amp;$K968&amp;","&amp;$L968,"عرض الموقع"))</f>
        <v/>
      </c>
      <c r="P968" s="23">
        <f>IF(OR($B968="",N($J968)=0),"",HYPERLINK(PhotoDir&amp;"/"&amp;YEAR($B968)&amp;"-"&amp;TEXT(MONTH($B968),"00")&amp;"-"&amp;TEXT(DAY($B968),"00")&amp;"_"&amp;$D968,"فتح الصور ("&amp;$J968&amp;")"))</f>
        <v/>
      </c>
      <c r="Q968" s="24">
        <f>IF($B968="","",MONTH($B968))</f>
        <v/>
      </c>
      <c r="R968" s="24">
        <f>IF($B968="","",YEAR($B968))</f>
        <v/>
      </c>
      <c r="S968" s="25">
        <f>IF($B968="","",$B968-WEEKDAY($B968,3))</f>
        <v/>
      </c>
      <c r="T968" s="24">
        <f>IF($B968="",0,IF(COUNTIFS($B$5:$B968,$B968,$D$5:$D968,$D968)=1,1,0))</f>
        <v/>
      </c>
      <c r="U968" s="24">
        <f>IF($B968="",0,IF(COUNTIFS($B$5:$B968,$B968,$C$5:$C968,$C968)=1,1,0))</f>
        <v/>
      </c>
      <c r="V968" s="24">
        <f>IF(OR($B968="",$G968="",$G968="لا توجد مشاهدات"),0,1)</f>
        <v/>
      </c>
      <c r="W968" s="24">
        <f>IF(AND($B968&lt;&gt;"",$I968="تم تحرير مخالفة"),1,0)</f>
        <v/>
      </c>
      <c r="X968" s="24">
        <f>IF($B968="","",IF($S968=WkStart,COUNTIF($S$5:$S968,WkStart),""))</f>
        <v/>
      </c>
    </row>
    <row r="969">
      <c r="A969" s="16">
        <f>IF($B969="","",ROW()-4)</f>
        <v/>
      </c>
      <c r="B969" s="17" t="n"/>
      <c r="C969" s="18" t="n"/>
      <c r="D969" s="18" t="n"/>
      <c r="E969" s="19" t="n"/>
      <c r="F969" s="19" t="n"/>
      <c r="G969" s="18" t="n"/>
      <c r="H969" s="18" t="n"/>
      <c r="I969" s="18" t="n"/>
      <c r="J969" s="20" t="n"/>
      <c r="K969" s="21" t="n"/>
      <c r="L969" s="21" t="n"/>
      <c r="M969" s="18" t="n"/>
      <c r="N969" s="22">
        <f>IF($B969="","",CHOOSE(WEEKDAY($B969),"الأحد","الاثنين","الثلاثاء","الأربعاء","الخميس","الجمعة","السبت"))</f>
        <v/>
      </c>
      <c r="O969" s="23">
        <f>IF(OR($K969="",$L969=""),"",HYPERLINK("https://maps.google.com/?q="&amp;$K969&amp;","&amp;$L969,"عرض الموقع"))</f>
        <v/>
      </c>
      <c r="P969" s="23">
        <f>IF(OR($B969="",N($J969)=0),"",HYPERLINK(PhotoDir&amp;"/"&amp;YEAR($B969)&amp;"-"&amp;TEXT(MONTH($B969),"00")&amp;"-"&amp;TEXT(DAY($B969),"00")&amp;"_"&amp;$D969,"فتح الصور ("&amp;$J969&amp;")"))</f>
        <v/>
      </c>
      <c r="Q969" s="24">
        <f>IF($B969="","",MONTH($B969))</f>
        <v/>
      </c>
      <c r="R969" s="24">
        <f>IF($B969="","",YEAR($B969))</f>
        <v/>
      </c>
      <c r="S969" s="25">
        <f>IF($B969="","",$B969-WEEKDAY($B969,3))</f>
        <v/>
      </c>
      <c r="T969" s="24">
        <f>IF($B969="",0,IF(COUNTIFS($B$5:$B969,$B969,$D$5:$D969,$D969)=1,1,0))</f>
        <v/>
      </c>
      <c r="U969" s="24">
        <f>IF($B969="",0,IF(COUNTIFS($B$5:$B969,$B969,$C$5:$C969,$C969)=1,1,0))</f>
        <v/>
      </c>
      <c r="V969" s="24">
        <f>IF(OR($B969="",$G969="",$G969="لا توجد مشاهدات"),0,1)</f>
        <v/>
      </c>
      <c r="W969" s="24">
        <f>IF(AND($B969&lt;&gt;"",$I969="تم تحرير مخالفة"),1,0)</f>
        <v/>
      </c>
      <c r="X969" s="24">
        <f>IF($B969="","",IF($S969=WkStart,COUNTIF($S$5:$S969,WkStart),""))</f>
        <v/>
      </c>
    </row>
    <row r="970">
      <c r="A970" s="16">
        <f>IF($B970="","",ROW()-4)</f>
        <v/>
      </c>
      <c r="B970" s="17" t="n"/>
      <c r="C970" s="18" t="n"/>
      <c r="D970" s="18" t="n"/>
      <c r="E970" s="19" t="n"/>
      <c r="F970" s="19" t="n"/>
      <c r="G970" s="18" t="n"/>
      <c r="H970" s="18" t="n"/>
      <c r="I970" s="18" t="n"/>
      <c r="J970" s="20" t="n"/>
      <c r="K970" s="21" t="n"/>
      <c r="L970" s="21" t="n"/>
      <c r="M970" s="18" t="n"/>
      <c r="N970" s="22">
        <f>IF($B970="","",CHOOSE(WEEKDAY($B970),"الأحد","الاثنين","الثلاثاء","الأربعاء","الخميس","الجمعة","السبت"))</f>
        <v/>
      </c>
      <c r="O970" s="23">
        <f>IF(OR($K970="",$L970=""),"",HYPERLINK("https://maps.google.com/?q="&amp;$K970&amp;","&amp;$L970,"عرض الموقع"))</f>
        <v/>
      </c>
      <c r="P970" s="23">
        <f>IF(OR($B970="",N($J970)=0),"",HYPERLINK(PhotoDir&amp;"/"&amp;YEAR($B970)&amp;"-"&amp;TEXT(MONTH($B970),"00")&amp;"-"&amp;TEXT(DAY($B970),"00")&amp;"_"&amp;$D970,"فتح الصور ("&amp;$J970&amp;")"))</f>
        <v/>
      </c>
      <c r="Q970" s="24">
        <f>IF($B970="","",MONTH($B970))</f>
        <v/>
      </c>
      <c r="R970" s="24">
        <f>IF($B970="","",YEAR($B970))</f>
        <v/>
      </c>
      <c r="S970" s="25">
        <f>IF($B970="","",$B970-WEEKDAY($B970,3))</f>
        <v/>
      </c>
      <c r="T970" s="24">
        <f>IF($B970="",0,IF(COUNTIFS($B$5:$B970,$B970,$D$5:$D970,$D970)=1,1,0))</f>
        <v/>
      </c>
      <c r="U970" s="24">
        <f>IF($B970="",0,IF(COUNTIFS($B$5:$B970,$B970,$C$5:$C970,$C970)=1,1,0))</f>
        <v/>
      </c>
      <c r="V970" s="24">
        <f>IF(OR($B970="",$G970="",$G970="لا توجد مشاهدات"),0,1)</f>
        <v/>
      </c>
      <c r="W970" s="24">
        <f>IF(AND($B970&lt;&gt;"",$I970="تم تحرير مخالفة"),1,0)</f>
        <v/>
      </c>
      <c r="X970" s="24">
        <f>IF($B970="","",IF($S970=WkStart,COUNTIF($S$5:$S970,WkStart),""))</f>
        <v/>
      </c>
    </row>
    <row r="971">
      <c r="A971" s="16">
        <f>IF($B971="","",ROW()-4)</f>
        <v/>
      </c>
      <c r="B971" s="17" t="n"/>
      <c r="C971" s="18" t="n"/>
      <c r="D971" s="18" t="n"/>
      <c r="E971" s="19" t="n"/>
      <c r="F971" s="19" t="n"/>
      <c r="G971" s="18" t="n"/>
      <c r="H971" s="18" t="n"/>
      <c r="I971" s="18" t="n"/>
      <c r="J971" s="20" t="n"/>
      <c r="K971" s="21" t="n"/>
      <c r="L971" s="21" t="n"/>
      <c r="M971" s="18" t="n"/>
      <c r="N971" s="22">
        <f>IF($B971="","",CHOOSE(WEEKDAY($B971),"الأحد","الاثنين","الثلاثاء","الأربعاء","الخميس","الجمعة","السبت"))</f>
        <v/>
      </c>
      <c r="O971" s="23">
        <f>IF(OR($K971="",$L971=""),"",HYPERLINK("https://maps.google.com/?q="&amp;$K971&amp;","&amp;$L971,"عرض الموقع"))</f>
        <v/>
      </c>
      <c r="P971" s="23">
        <f>IF(OR($B971="",N($J971)=0),"",HYPERLINK(PhotoDir&amp;"/"&amp;YEAR($B971)&amp;"-"&amp;TEXT(MONTH($B971),"00")&amp;"-"&amp;TEXT(DAY($B971),"00")&amp;"_"&amp;$D971,"فتح الصور ("&amp;$J971&amp;")"))</f>
        <v/>
      </c>
      <c r="Q971" s="24">
        <f>IF($B971="","",MONTH($B971))</f>
        <v/>
      </c>
      <c r="R971" s="24">
        <f>IF($B971="","",YEAR($B971))</f>
        <v/>
      </c>
      <c r="S971" s="25">
        <f>IF($B971="","",$B971-WEEKDAY($B971,3))</f>
        <v/>
      </c>
      <c r="T971" s="24">
        <f>IF($B971="",0,IF(COUNTIFS($B$5:$B971,$B971,$D$5:$D971,$D971)=1,1,0))</f>
        <v/>
      </c>
      <c r="U971" s="24">
        <f>IF($B971="",0,IF(COUNTIFS($B$5:$B971,$B971,$C$5:$C971,$C971)=1,1,0))</f>
        <v/>
      </c>
      <c r="V971" s="24">
        <f>IF(OR($B971="",$G971="",$G971="لا توجد مشاهدات"),0,1)</f>
        <v/>
      </c>
      <c r="W971" s="24">
        <f>IF(AND($B971&lt;&gt;"",$I971="تم تحرير مخالفة"),1,0)</f>
        <v/>
      </c>
      <c r="X971" s="24">
        <f>IF($B971="","",IF($S971=WkStart,COUNTIF($S$5:$S971,WkStart),""))</f>
        <v/>
      </c>
    </row>
    <row r="972">
      <c r="A972" s="16">
        <f>IF($B972="","",ROW()-4)</f>
        <v/>
      </c>
      <c r="B972" s="17" t="n"/>
      <c r="C972" s="18" t="n"/>
      <c r="D972" s="18" t="n"/>
      <c r="E972" s="19" t="n"/>
      <c r="F972" s="19" t="n"/>
      <c r="G972" s="18" t="n"/>
      <c r="H972" s="18" t="n"/>
      <c r="I972" s="18" t="n"/>
      <c r="J972" s="20" t="n"/>
      <c r="K972" s="21" t="n"/>
      <c r="L972" s="21" t="n"/>
      <c r="M972" s="18" t="n"/>
      <c r="N972" s="22">
        <f>IF($B972="","",CHOOSE(WEEKDAY($B972),"الأحد","الاثنين","الثلاثاء","الأربعاء","الخميس","الجمعة","السبت"))</f>
        <v/>
      </c>
      <c r="O972" s="23">
        <f>IF(OR($K972="",$L972=""),"",HYPERLINK("https://maps.google.com/?q="&amp;$K972&amp;","&amp;$L972,"عرض الموقع"))</f>
        <v/>
      </c>
      <c r="P972" s="23">
        <f>IF(OR($B972="",N($J972)=0),"",HYPERLINK(PhotoDir&amp;"/"&amp;YEAR($B972)&amp;"-"&amp;TEXT(MONTH($B972),"00")&amp;"-"&amp;TEXT(DAY($B972),"00")&amp;"_"&amp;$D972,"فتح الصور ("&amp;$J972&amp;")"))</f>
        <v/>
      </c>
      <c r="Q972" s="24">
        <f>IF($B972="","",MONTH($B972))</f>
        <v/>
      </c>
      <c r="R972" s="24">
        <f>IF($B972="","",YEAR($B972))</f>
        <v/>
      </c>
      <c r="S972" s="25">
        <f>IF($B972="","",$B972-WEEKDAY($B972,3))</f>
        <v/>
      </c>
      <c r="T972" s="24">
        <f>IF($B972="",0,IF(COUNTIFS($B$5:$B972,$B972,$D$5:$D972,$D972)=1,1,0))</f>
        <v/>
      </c>
      <c r="U972" s="24">
        <f>IF($B972="",0,IF(COUNTIFS($B$5:$B972,$B972,$C$5:$C972,$C972)=1,1,0))</f>
        <v/>
      </c>
      <c r="V972" s="24">
        <f>IF(OR($B972="",$G972="",$G972="لا توجد مشاهدات"),0,1)</f>
        <v/>
      </c>
      <c r="W972" s="24">
        <f>IF(AND($B972&lt;&gt;"",$I972="تم تحرير مخالفة"),1,0)</f>
        <v/>
      </c>
      <c r="X972" s="24">
        <f>IF($B972="","",IF($S972=WkStart,COUNTIF($S$5:$S972,WkStart),""))</f>
        <v/>
      </c>
    </row>
    <row r="973">
      <c r="A973" s="16">
        <f>IF($B973="","",ROW()-4)</f>
        <v/>
      </c>
      <c r="B973" s="17" t="n"/>
      <c r="C973" s="18" t="n"/>
      <c r="D973" s="18" t="n"/>
      <c r="E973" s="19" t="n"/>
      <c r="F973" s="19" t="n"/>
      <c r="G973" s="18" t="n"/>
      <c r="H973" s="18" t="n"/>
      <c r="I973" s="18" t="n"/>
      <c r="J973" s="20" t="n"/>
      <c r="K973" s="21" t="n"/>
      <c r="L973" s="21" t="n"/>
      <c r="M973" s="18" t="n"/>
      <c r="N973" s="22">
        <f>IF($B973="","",CHOOSE(WEEKDAY($B973),"الأحد","الاثنين","الثلاثاء","الأربعاء","الخميس","الجمعة","السبت"))</f>
        <v/>
      </c>
      <c r="O973" s="23">
        <f>IF(OR($K973="",$L973=""),"",HYPERLINK("https://maps.google.com/?q="&amp;$K973&amp;","&amp;$L973,"عرض الموقع"))</f>
        <v/>
      </c>
      <c r="P973" s="23">
        <f>IF(OR($B973="",N($J973)=0),"",HYPERLINK(PhotoDir&amp;"/"&amp;YEAR($B973)&amp;"-"&amp;TEXT(MONTH($B973),"00")&amp;"-"&amp;TEXT(DAY($B973),"00")&amp;"_"&amp;$D973,"فتح الصور ("&amp;$J973&amp;")"))</f>
        <v/>
      </c>
      <c r="Q973" s="24">
        <f>IF($B973="","",MONTH($B973))</f>
        <v/>
      </c>
      <c r="R973" s="24">
        <f>IF($B973="","",YEAR($B973))</f>
        <v/>
      </c>
      <c r="S973" s="25">
        <f>IF($B973="","",$B973-WEEKDAY($B973,3))</f>
        <v/>
      </c>
      <c r="T973" s="24">
        <f>IF($B973="",0,IF(COUNTIFS($B$5:$B973,$B973,$D$5:$D973,$D973)=1,1,0))</f>
        <v/>
      </c>
      <c r="U973" s="24">
        <f>IF($B973="",0,IF(COUNTIFS($B$5:$B973,$B973,$C$5:$C973,$C973)=1,1,0))</f>
        <v/>
      </c>
      <c r="V973" s="24">
        <f>IF(OR($B973="",$G973="",$G973="لا توجد مشاهدات"),0,1)</f>
        <v/>
      </c>
      <c r="W973" s="24">
        <f>IF(AND($B973&lt;&gt;"",$I973="تم تحرير مخالفة"),1,0)</f>
        <v/>
      </c>
      <c r="X973" s="24">
        <f>IF($B973="","",IF($S973=WkStart,COUNTIF($S$5:$S973,WkStart),""))</f>
        <v/>
      </c>
    </row>
    <row r="974">
      <c r="A974" s="16">
        <f>IF($B974="","",ROW()-4)</f>
        <v/>
      </c>
      <c r="B974" s="17" t="n"/>
      <c r="C974" s="18" t="n"/>
      <c r="D974" s="18" t="n"/>
      <c r="E974" s="19" t="n"/>
      <c r="F974" s="19" t="n"/>
      <c r="G974" s="18" t="n"/>
      <c r="H974" s="18" t="n"/>
      <c r="I974" s="18" t="n"/>
      <c r="J974" s="20" t="n"/>
      <c r="K974" s="21" t="n"/>
      <c r="L974" s="21" t="n"/>
      <c r="M974" s="18" t="n"/>
      <c r="N974" s="22">
        <f>IF($B974="","",CHOOSE(WEEKDAY($B974),"الأحد","الاثنين","الثلاثاء","الأربعاء","الخميس","الجمعة","السبت"))</f>
        <v/>
      </c>
      <c r="O974" s="23">
        <f>IF(OR($K974="",$L974=""),"",HYPERLINK("https://maps.google.com/?q="&amp;$K974&amp;","&amp;$L974,"عرض الموقع"))</f>
        <v/>
      </c>
      <c r="P974" s="23">
        <f>IF(OR($B974="",N($J974)=0),"",HYPERLINK(PhotoDir&amp;"/"&amp;YEAR($B974)&amp;"-"&amp;TEXT(MONTH($B974),"00")&amp;"-"&amp;TEXT(DAY($B974),"00")&amp;"_"&amp;$D974,"فتح الصور ("&amp;$J974&amp;")"))</f>
        <v/>
      </c>
      <c r="Q974" s="24">
        <f>IF($B974="","",MONTH($B974))</f>
        <v/>
      </c>
      <c r="R974" s="24">
        <f>IF($B974="","",YEAR($B974))</f>
        <v/>
      </c>
      <c r="S974" s="25">
        <f>IF($B974="","",$B974-WEEKDAY($B974,3))</f>
        <v/>
      </c>
      <c r="T974" s="24">
        <f>IF($B974="",0,IF(COUNTIFS($B$5:$B974,$B974,$D$5:$D974,$D974)=1,1,0))</f>
        <v/>
      </c>
      <c r="U974" s="24">
        <f>IF($B974="",0,IF(COUNTIFS($B$5:$B974,$B974,$C$5:$C974,$C974)=1,1,0))</f>
        <v/>
      </c>
      <c r="V974" s="24">
        <f>IF(OR($B974="",$G974="",$G974="لا توجد مشاهدات"),0,1)</f>
        <v/>
      </c>
      <c r="W974" s="24">
        <f>IF(AND($B974&lt;&gt;"",$I974="تم تحرير مخالفة"),1,0)</f>
        <v/>
      </c>
      <c r="X974" s="24">
        <f>IF($B974="","",IF($S974=WkStart,COUNTIF($S$5:$S974,WkStart),""))</f>
        <v/>
      </c>
    </row>
    <row r="975">
      <c r="A975" s="16">
        <f>IF($B975="","",ROW()-4)</f>
        <v/>
      </c>
      <c r="B975" s="17" t="n"/>
      <c r="C975" s="18" t="n"/>
      <c r="D975" s="18" t="n"/>
      <c r="E975" s="19" t="n"/>
      <c r="F975" s="19" t="n"/>
      <c r="G975" s="18" t="n"/>
      <c r="H975" s="18" t="n"/>
      <c r="I975" s="18" t="n"/>
      <c r="J975" s="20" t="n"/>
      <c r="K975" s="21" t="n"/>
      <c r="L975" s="21" t="n"/>
      <c r="M975" s="18" t="n"/>
      <c r="N975" s="22">
        <f>IF($B975="","",CHOOSE(WEEKDAY($B975),"الأحد","الاثنين","الثلاثاء","الأربعاء","الخميس","الجمعة","السبت"))</f>
        <v/>
      </c>
      <c r="O975" s="23">
        <f>IF(OR($K975="",$L975=""),"",HYPERLINK("https://maps.google.com/?q="&amp;$K975&amp;","&amp;$L975,"عرض الموقع"))</f>
        <v/>
      </c>
      <c r="P975" s="23">
        <f>IF(OR($B975="",N($J975)=0),"",HYPERLINK(PhotoDir&amp;"/"&amp;YEAR($B975)&amp;"-"&amp;TEXT(MONTH($B975),"00")&amp;"-"&amp;TEXT(DAY($B975),"00")&amp;"_"&amp;$D975,"فتح الصور ("&amp;$J975&amp;")"))</f>
        <v/>
      </c>
      <c r="Q975" s="24">
        <f>IF($B975="","",MONTH($B975))</f>
        <v/>
      </c>
      <c r="R975" s="24">
        <f>IF($B975="","",YEAR($B975))</f>
        <v/>
      </c>
      <c r="S975" s="25">
        <f>IF($B975="","",$B975-WEEKDAY($B975,3))</f>
        <v/>
      </c>
      <c r="T975" s="24">
        <f>IF($B975="",0,IF(COUNTIFS($B$5:$B975,$B975,$D$5:$D975,$D975)=1,1,0))</f>
        <v/>
      </c>
      <c r="U975" s="24">
        <f>IF($B975="",0,IF(COUNTIFS($B$5:$B975,$B975,$C$5:$C975,$C975)=1,1,0))</f>
        <v/>
      </c>
      <c r="V975" s="24">
        <f>IF(OR($B975="",$G975="",$G975="لا توجد مشاهدات"),0,1)</f>
        <v/>
      </c>
      <c r="W975" s="24">
        <f>IF(AND($B975&lt;&gt;"",$I975="تم تحرير مخالفة"),1,0)</f>
        <v/>
      </c>
      <c r="X975" s="24">
        <f>IF($B975="","",IF($S975=WkStart,COUNTIF($S$5:$S975,WkStart),""))</f>
        <v/>
      </c>
    </row>
    <row r="976">
      <c r="A976" s="16">
        <f>IF($B976="","",ROW()-4)</f>
        <v/>
      </c>
      <c r="B976" s="17" t="n"/>
      <c r="C976" s="18" t="n"/>
      <c r="D976" s="18" t="n"/>
      <c r="E976" s="19" t="n"/>
      <c r="F976" s="19" t="n"/>
      <c r="G976" s="18" t="n"/>
      <c r="H976" s="18" t="n"/>
      <c r="I976" s="18" t="n"/>
      <c r="J976" s="20" t="n"/>
      <c r="K976" s="21" t="n"/>
      <c r="L976" s="21" t="n"/>
      <c r="M976" s="18" t="n"/>
      <c r="N976" s="22">
        <f>IF($B976="","",CHOOSE(WEEKDAY($B976),"الأحد","الاثنين","الثلاثاء","الأربعاء","الخميس","الجمعة","السبت"))</f>
        <v/>
      </c>
      <c r="O976" s="23">
        <f>IF(OR($K976="",$L976=""),"",HYPERLINK("https://maps.google.com/?q="&amp;$K976&amp;","&amp;$L976,"عرض الموقع"))</f>
        <v/>
      </c>
      <c r="P976" s="23">
        <f>IF(OR($B976="",N($J976)=0),"",HYPERLINK(PhotoDir&amp;"/"&amp;YEAR($B976)&amp;"-"&amp;TEXT(MONTH($B976),"00")&amp;"-"&amp;TEXT(DAY($B976),"00")&amp;"_"&amp;$D976,"فتح الصور ("&amp;$J976&amp;")"))</f>
        <v/>
      </c>
      <c r="Q976" s="24">
        <f>IF($B976="","",MONTH($B976))</f>
        <v/>
      </c>
      <c r="R976" s="24">
        <f>IF($B976="","",YEAR($B976))</f>
        <v/>
      </c>
      <c r="S976" s="25">
        <f>IF($B976="","",$B976-WEEKDAY($B976,3))</f>
        <v/>
      </c>
      <c r="T976" s="24">
        <f>IF($B976="",0,IF(COUNTIFS($B$5:$B976,$B976,$D$5:$D976,$D976)=1,1,0))</f>
        <v/>
      </c>
      <c r="U976" s="24">
        <f>IF($B976="",0,IF(COUNTIFS($B$5:$B976,$B976,$C$5:$C976,$C976)=1,1,0))</f>
        <v/>
      </c>
      <c r="V976" s="24">
        <f>IF(OR($B976="",$G976="",$G976="لا توجد مشاهدات"),0,1)</f>
        <v/>
      </c>
      <c r="W976" s="24">
        <f>IF(AND($B976&lt;&gt;"",$I976="تم تحرير مخالفة"),1,0)</f>
        <v/>
      </c>
      <c r="X976" s="24">
        <f>IF($B976="","",IF($S976=WkStart,COUNTIF($S$5:$S976,WkStart),""))</f>
        <v/>
      </c>
    </row>
    <row r="977">
      <c r="A977" s="16">
        <f>IF($B977="","",ROW()-4)</f>
        <v/>
      </c>
      <c r="B977" s="17" t="n"/>
      <c r="C977" s="18" t="n"/>
      <c r="D977" s="18" t="n"/>
      <c r="E977" s="19" t="n"/>
      <c r="F977" s="19" t="n"/>
      <c r="G977" s="18" t="n"/>
      <c r="H977" s="18" t="n"/>
      <c r="I977" s="18" t="n"/>
      <c r="J977" s="20" t="n"/>
      <c r="K977" s="21" t="n"/>
      <c r="L977" s="21" t="n"/>
      <c r="M977" s="18" t="n"/>
      <c r="N977" s="22">
        <f>IF($B977="","",CHOOSE(WEEKDAY($B977),"الأحد","الاثنين","الثلاثاء","الأربعاء","الخميس","الجمعة","السبت"))</f>
        <v/>
      </c>
      <c r="O977" s="23">
        <f>IF(OR($K977="",$L977=""),"",HYPERLINK("https://maps.google.com/?q="&amp;$K977&amp;","&amp;$L977,"عرض الموقع"))</f>
        <v/>
      </c>
      <c r="P977" s="23">
        <f>IF(OR($B977="",N($J977)=0),"",HYPERLINK(PhotoDir&amp;"/"&amp;YEAR($B977)&amp;"-"&amp;TEXT(MONTH($B977),"00")&amp;"-"&amp;TEXT(DAY($B977),"00")&amp;"_"&amp;$D977,"فتح الصور ("&amp;$J977&amp;")"))</f>
        <v/>
      </c>
      <c r="Q977" s="24">
        <f>IF($B977="","",MONTH($B977))</f>
        <v/>
      </c>
      <c r="R977" s="24">
        <f>IF($B977="","",YEAR($B977))</f>
        <v/>
      </c>
      <c r="S977" s="25">
        <f>IF($B977="","",$B977-WEEKDAY($B977,3))</f>
        <v/>
      </c>
      <c r="T977" s="24">
        <f>IF($B977="",0,IF(COUNTIFS($B$5:$B977,$B977,$D$5:$D977,$D977)=1,1,0))</f>
        <v/>
      </c>
      <c r="U977" s="24">
        <f>IF($B977="",0,IF(COUNTIFS($B$5:$B977,$B977,$C$5:$C977,$C977)=1,1,0))</f>
        <v/>
      </c>
      <c r="V977" s="24">
        <f>IF(OR($B977="",$G977="",$G977="لا توجد مشاهدات"),0,1)</f>
        <v/>
      </c>
      <c r="W977" s="24">
        <f>IF(AND($B977&lt;&gt;"",$I977="تم تحرير مخالفة"),1,0)</f>
        <v/>
      </c>
      <c r="X977" s="24">
        <f>IF($B977="","",IF($S977=WkStart,COUNTIF($S$5:$S977,WkStart),""))</f>
        <v/>
      </c>
    </row>
    <row r="978">
      <c r="A978" s="16">
        <f>IF($B978="","",ROW()-4)</f>
        <v/>
      </c>
      <c r="B978" s="17" t="n"/>
      <c r="C978" s="18" t="n"/>
      <c r="D978" s="18" t="n"/>
      <c r="E978" s="19" t="n"/>
      <c r="F978" s="19" t="n"/>
      <c r="G978" s="18" t="n"/>
      <c r="H978" s="18" t="n"/>
      <c r="I978" s="18" t="n"/>
      <c r="J978" s="20" t="n"/>
      <c r="K978" s="21" t="n"/>
      <c r="L978" s="21" t="n"/>
      <c r="M978" s="18" t="n"/>
      <c r="N978" s="22">
        <f>IF($B978="","",CHOOSE(WEEKDAY($B978),"الأحد","الاثنين","الثلاثاء","الأربعاء","الخميس","الجمعة","السبت"))</f>
        <v/>
      </c>
      <c r="O978" s="23">
        <f>IF(OR($K978="",$L978=""),"",HYPERLINK("https://maps.google.com/?q="&amp;$K978&amp;","&amp;$L978,"عرض الموقع"))</f>
        <v/>
      </c>
      <c r="P978" s="23">
        <f>IF(OR($B978="",N($J978)=0),"",HYPERLINK(PhotoDir&amp;"/"&amp;YEAR($B978)&amp;"-"&amp;TEXT(MONTH($B978),"00")&amp;"-"&amp;TEXT(DAY($B978),"00")&amp;"_"&amp;$D978,"فتح الصور ("&amp;$J978&amp;")"))</f>
        <v/>
      </c>
      <c r="Q978" s="24">
        <f>IF($B978="","",MONTH($B978))</f>
        <v/>
      </c>
      <c r="R978" s="24">
        <f>IF($B978="","",YEAR($B978))</f>
        <v/>
      </c>
      <c r="S978" s="25">
        <f>IF($B978="","",$B978-WEEKDAY($B978,3))</f>
        <v/>
      </c>
      <c r="T978" s="24">
        <f>IF($B978="",0,IF(COUNTIFS($B$5:$B978,$B978,$D$5:$D978,$D978)=1,1,0))</f>
        <v/>
      </c>
      <c r="U978" s="24">
        <f>IF($B978="",0,IF(COUNTIFS($B$5:$B978,$B978,$C$5:$C978,$C978)=1,1,0))</f>
        <v/>
      </c>
      <c r="V978" s="24">
        <f>IF(OR($B978="",$G978="",$G978="لا توجد مشاهدات"),0,1)</f>
        <v/>
      </c>
      <c r="W978" s="24">
        <f>IF(AND($B978&lt;&gt;"",$I978="تم تحرير مخالفة"),1,0)</f>
        <v/>
      </c>
      <c r="X978" s="24">
        <f>IF($B978="","",IF($S978=WkStart,COUNTIF($S$5:$S978,WkStart),""))</f>
        <v/>
      </c>
    </row>
    <row r="979">
      <c r="A979" s="16">
        <f>IF($B979="","",ROW()-4)</f>
        <v/>
      </c>
      <c r="B979" s="17" t="n"/>
      <c r="C979" s="18" t="n"/>
      <c r="D979" s="18" t="n"/>
      <c r="E979" s="19" t="n"/>
      <c r="F979" s="19" t="n"/>
      <c r="G979" s="18" t="n"/>
      <c r="H979" s="18" t="n"/>
      <c r="I979" s="18" t="n"/>
      <c r="J979" s="20" t="n"/>
      <c r="K979" s="21" t="n"/>
      <c r="L979" s="21" t="n"/>
      <c r="M979" s="18" t="n"/>
      <c r="N979" s="22">
        <f>IF($B979="","",CHOOSE(WEEKDAY($B979),"الأحد","الاثنين","الثلاثاء","الأربعاء","الخميس","الجمعة","السبت"))</f>
        <v/>
      </c>
      <c r="O979" s="23">
        <f>IF(OR($K979="",$L979=""),"",HYPERLINK("https://maps.google.com/?q="&amp;$K979&amp;","&amp;$L979,"عرض الموقع"))</f>
        <v/>
      </c>
      <c r="P979" s="23">
        <f>IF(OR($B979="",N($J979)=0),"",HYPERLINK(PhotoDir&amp;"/"&amp;YEAR($B979)&amp;"-"&amp;TEXT(MONTH($B979),"00")&amp;"-"&amp;TEXT(DAY($B979),"00")&amp;"_"&amp;$D979,"فتح الصور ("&amp;$J979&amp;")"))</f>
        <v/>
      </c>
      <c r="Q979" s="24">
        <f>IF($B979="","",MONTH($B979))</f>
        <v/>
      </c>
      <c r="R979" s="24">
        <f>IF($B979="","",YEAR($B979))</f>
        <v/>
      </c>
      <c r="S979" s="25">
        <f>IF($B979="","",$B979-WEEKDAY($B979,3))</f>
        <v/>
      </c>
      <c r="T979" s="24">
        <f>IF($B979="",0,IF(COUNTIFS($B$5:$B979,$B979,$D$5:$D979,$D979)=1,1,0))</f>
        <v/>
      </c>
      <c r="U979" s="24">
        <f>IF($B979="",0,IF(COUNTIFS($B$5:$B979,$B979,$C$5:$C979,$C979)=1,1,0))</f>
        <v/>
      </c>
      <c r="V979" s="24">
        <f>IF(OR($B979="",$G979="",$G979="لا توجد مشاهدات"),0,1)</f>
        <v/>
      </c>
      <c r="W979" s="24">
        <f>IF(AND($B979&lt;&gt;"",$I979="تم تحرير مخالفة"),1,0)</f>
        <v/>
      </c>
      <c r="X979" s="24">
        <f>IF($B979="","",IF($S979=WkStart,COUNTIF($S$5:$S979,WkStart),""))</f>
        <v/>
      </c>
    </row>
    <row r="980">
      <c r="A980" s="16">
        <f>IF($B980="","",ROW()-4)</f>
        <v/>
      </c>
      <c r="B980" s="17" t="n"/>
      <c r="C980" s="18" t="n"/>
      <c r="D980" s="18" t="n"/>
      <c r="E980" s="19" t="n"/>
      <c r="F980" s="19" t="n"/>
      <c r="G980" s="18" t="n"/>
      <c r="H980" s="18" t="n"/>
      <c r="I980" s="18" t="n"/>
      <c r="J980" s="20" t="n"/>
      <c r="K980" s="21" t="n"/>
      <c r="L980" s="21" t="n"/>
      <c r="M980" s="18" t="n"/>
      <c r="N980" s="22">
        <f>IF($B980="","",CHOOSE(WEEKDAY($B980),"الأحد","الاثنين","الثلاثاء","الأربعاء","الخميس","الجمعة","السبت"))</f>
        <v/>
      </c>
      <c r="O980" s="23">
        <f>IF(OR($K980="",$L980=""),"",HYPERLINK("https://maps.google.com/?q="&amp;$K980&amp;","&amp;$L980,"عرض الموقع"))</f>
        <v/>
      </c>
      <c r="P980" s="23">
        <f>IF(OR($B980="",N($J980)=0),"",HYPERLINK(PhotoDir&amp;"/"&amp;YEAR($B980)&amp;"-"&amp;TEXT(MONTH($B980),"00")&amp;"-"&amp;TEXT(DAY($B980),"00")&amp;"_"&amp;$D980,"فتح الصور ("&amp;$J980&amp;")"))</f>
        <v/>
      </c>
      <c r="Q980" s="24">
        <f>IF($B980="","",MONTH($B980))</f>
        <v/>
      </c>
      <c r="R980" s="24">
        <f>IF($B980="","",YEAR($B980))</f>
        <v/>
      </c>
      <c r="S980" s="25">
        <f>IF($B980="","",$B980-WEEKDAY($B980,3))</f>
        <v/>
      </c>
      <c r="T980" s="24">
        <f>IF($B980="",0,IF(COUNTIFS($B$5:$B980,$B980,$D$5:$D980,$D980)=1,1,0))</f>
        <v/>
      </c>
      <c r="U980" s="24">
        <f>IF($B980="",0,IF(COUNTIFS($B$5:$B980,$B980,$C$5:$C980,$C980)=1,1,0))</f>
        <v/>
      </c>
      <c r="V980" s="24">
        <f>IF(OR($B980="",$G980="",$G980="لا توجد مشاهدات"),0,1)</f>
        <v/>
      </c>
      <c r="W980" s="24">
        <f>IF(AND($B980&lt;&gt;"",$I980="تم تحرير مخالفة"),1,0)</f>
        <v/>
      </c>
      <c r="X980" s="24">
        <f>IF($B980="","",IF($S980=WkStart,COUNTIF($S$5:$S980,WkStart),""))</f>
        <v/>
      </c>
    </row>
    <row r="981">
      <c r="A981" s="16">
        <f>IF($B981="","",ROW()-4)</f>
        <v/>
      </c>
      <c r="B981" s="17" t="n"/>
      <c r="C981" s="18" t="n"/>
      <c r="D981" s="18" t="n"/>
      <c r="E981" s="19" t="n"/>
      <c r="F981" s="19" t="n"/>
      <c r="G981" s="18" t="n"/>
      <c r="H981" s="18" t="n"/>
      <c r="I981" s="18" t="n"/>
      <c r="J981" s="20" t="n"/>
      <c r="K981" s="21" t="n"/>
      <c r="L981" s="21" t="n"/>
      <c r="M981" s="18" t="n"/>
      <c r="N981" s="22">
        <f>IF($B981="","",CHOOSE(WEEKDAY($B981),"الأحد","الاثنين","الثلاثاء","الأربعاء","الخميس","الجمعة","السبت"))</f>
        <v/>
      </c>
      <c r="O981" s="23">
        <f>IF(OR($K981="",$L981=""),"",HYPERLINK("https://maps.google.com/?q="&amp;$K981&amp;","&amp;$L981,"عرض الموقع"))</f>
        <v/>
      </c>
      <c r="P981" s="23">
        <f>IF(OR($B981="",N($J981)=0),"",HYPERLINK(PhotoDir&amp;"/"&amp;YEAR($B981)&amp;"-"&amp;TEXT(MONTH($B981),"00")&amp;"-"&amp;TEXT(DAY($B981),"00")&amp;"_"&amp;$D981,"فتح الصور ("&amp;$J981&amp;")"))</f>
        <v/>
      </c>
      <c r="Q981" s="24">
        <f>IF($B981="","",MONTH($B981))</f>
        <v/>
      </c>
      <c r="R981" s="24">
        <f>IF($B981="","",YEAR($B981))</f>
        <v/>
      </c>
      <c r="S981" s="25">
        <f>IF($B981="","",$B981-WEEKDAY($B981,3))</f>
        <v/>
      </c>
      <c r="T981" s="24">
        <f>IF($B981="",0,IF(COUNTIFS($B$5:$B981,$B981,$D$5:$D981,$D981)=1,1,0))</f>
        <v/>
      </c>
      <c r="U981" s="24">
        <f>IF($B981="",0,IF(COUNTIFS($B$5:$B981,$B981,$C$5:$C981,$C981)=1,1,0))</f>
        <v/>
      </c>
      <c r="V981" s="24">
        <f>IF(OR($B981="",$G981="",$G981="لا توجد مشاهدات"),0,1)</f>
        <v/>
      </c>
      <c r="W981" s="24">
        <f>IF(AND($B981&lt;&gt;"",$I981="تم تحرير مخالفة"),1,0)</f>
        <v/>
      </c>
      <c r="X981" s="24">
        <f>IF($B981="","",IF($S981=WkStart,COUNTIF($S$5:$S981,WkStart),""))</f>
        <v/>
      </c>
    </row>
    <row r="982">
      <c r="A982" s="16">
        <f>IF($B982="","",ROW()-4)</f>
        <v/>
      </c>
      <c r="B982" s="17" t="n"/>
      <c r="C982" s="18" t="n"/>
      <c r="D982" s="18" t="n"/>
      <c r="E982" s="19" t="n"/>
      <c r="F982" s="19" t="n"/>
      <c r="G982" s="18" t="n"/>
      <c r="H982" s="18" t="n"/>
      <c r="I982" s="18" t="n"/>
      <c r="J982" s="20" t="n"/>
      <c r="K982" s="21" t="n"/>
      <c r="L982" s="21" t="n"/>
      <c r="M982" s="18" t="n"/>
      <c r="N982" s="22">
        <f>IF($B982="","",CHOOSE(WEEKDAY($B982),"الأحد","الاثنين","الثلاثاء","الأربعاء","الخميس","الجمعة","السبت"))</f>
        <v/>
      </c>
      <c r="O982" s="23">
        <f>IF(OR($K982="",$L982=""),"",HYPERLINK("https://maps.google.com/?q="&amp;$K982&amp;","&amp;$L982,"عرض الموقع"))</f>
        <v/>
      </c>
      <c r="P982" s="23">
        <f>IF(OR($B982="",N($J982)=0),"",HYPERLINK(PhotoDir&amp;"/"&amp;YEAR($B982)&amp;"-"&amp;TEXT(MONTH($B982),"00")&amp;"-"&amp;TEXT(DAY($B982),"00")&amp;"_"&amp;$D982,"فتح الصور ("&amp;$J982&amp;")"))</f>
        <v/>
      </c>
      <c r="Q982" s="24">
        <f>IF($B982="","",MONTH($B982))</f>
        <v/>
      </c>
      <c r="R982" s="24">
        <f>IF($B982="","",YEAR($B982))</f>
        <v/>
      </c>
      <c r="S982" s="25">
        <f>IF($B982="","",$B982-WEEKDAY($B982,3))</f>
        <v/>
      </c>
      <c r="T982" s="24">
        <f>IF($B982="",0,IF(COUNTIFS($B$5:$B982,$B982,$D$5:$D982,$D982)=1,1,0))</f>
        <v/>
      </c>
      <c r="U982" s="24">
        <f>IF($B982="",0,IF(COUNTIFS($B$5:$B982,$B982,$C$5:$C982,$C982)=1,1,0))</f>
        <v/>
      </c>
      <c r="V982" s="24">
        <f>IF(OR($B982="",$G982="",$G982="لا توجد مشاهدات"),0,1)</f>
        <v/>
      </c>
      <c r="W982" s="24">
        <f>IF(AND($B982&lt;&gt;"",$I982="تم تحرير مخالفة"),1,0)</f>
        <v/>
      </c>
      <c r="X982" s="24">
        <f>IF($B982="","",IF($S982=WkStart,COUNTIF($S$5:$S982,WkStart),""))</f>
        <v/>
      </c>
    </row>
    <row r="983">
      <c r="A983" s="16">
        <f>IF($B983="","",ROW()-4)</f>
        <v/>
      </c>
      <c r="B983" s="17" t="n"/>
      <c r="C983" s="18" t="n"/>
      <c r="D983" s="18" t="n"/>
      <c r="E983" s="19" t="n"/>
      <c r="F983" s="19" t="n"/>
      <c r="G983" s="18" t="n"/>
      <c r="H983" s="18" t="n"/>
      <c r="I983" s="18" t="n"/>
      <c r="J983" s="20" t="n"/>
      <c r="K983" s="21" t="n"/>
      <c r="L983" s="21" t="n"/>
      <c r="M983" s="18" t="n"/>
      <c r="N983" s="22">
        <f>IF($B983="","",CHOOSE(WEEKDAY($B983),"الأحد","الاثنين","الثلاثاء","الأربعاء","الخميس","الجمعة","السبت"))</f>
        <v/>
      </c>
      <c r="O983" s="23">
        <f>IF(OR($K983="",$L983=""),"",HYPERLINK("https://maps.google.com/?q="&amp;$K983&amp;","&amp;$L983,"عرض الموقع"))</f>
        <v/>
      </c>
      <c r="P983" s="23">
        <f>IF(OR($B983="",N($J983)=0),"",HYPERLINK(PhotoDir&amp;"/"&amp;YEAR($B983)&amp;"-"&amp;TEXT(MONTH($B983),"00")&amp;"-"&amp;TEXT(DAY($B983),"00")&amp;"_"&amp;$D983,"فتح الصور ("&amp;$J983&amp;")"))</f>
        <v/>
      </c>
      <c r="Q983" s="24">
        <f>IF($B983="","",MONTH($B983))</f>
        <v/>
      </c>
      <c r="R983" s="24">
        <f>IF($B983="","",YEAR($B983))</f>
        <v/>
      </c>
      <c r="S983" s="25">
        <f>IF($B983="","",$B983-WEEKDAY($B983,3))</f>
        <v/>
      </c>
      <c r="T983" s="24">
        <f>IF($B983="",0,IF(COUNTIFS($B$5:$B983,$B983,$D$5:$D983,$D983)=1,1,0))</f>
        <v/>
      </c>
      <c r="U983" s="24">
        <f>IF($B983="",0,IF(COUNTIFS($B$5:$B983,$B983,$C$5:$C983,$C983)=1,1,0))</f>
        <v/>
      </c>
      <c r="V983" s="24">
        <f>IF(OR($B983="",$G983="",$G983="لا توجد مشاهدات"),0,1)</f>
        <v/>
      </c>
      <c r="W983" s="24">
        <f>IF(AND($B983&lt;&gt;"",$I983="تم تحرير مخالفة"),1,0)</f>
        <v/>
      </c>
      <c r="X983" s="24">
        <f>IF($B983="","",IF($S983=WkStart,COUNTIF($S$5:$S983,WkStart),""))</f>
        <v/>
      </c>
    </row>
    <row r="984">
      <c r="A984" s="16">
        <f>IF($B984="","",ROW()-4)</f>
        <v/>
      </c>
      <c r="B984" s="17" t="n"/>
      <c r="C984" s="18" t="n"/>
      <c r="D984" s="18" t="n"/>
      <c r="E984" s="19" t="n"/>
      <c r="F984" s="19" t="n"/>
      <c r="G984" s="18" t="n"/>
      <c r="H984" s="18" t="n"/>
      <c r="I984" s="18" t="n"/>
      <c r="J984" s="20" t="n"/>
      <c r="K984" s="21" t="n"/>
      <c r="L984" s="21" t="n"/>
      <c r="M984" s="18" t="n"/>
      <c r="N984" s="22">
        <f>IF($B984="","",CHOOSE(WEEKDAY($B984),"الأحد","الاثنين","الثلاثاء","الأربعاء","الخميس","الجمعة","السبت"))</f>
        <v/>
      </c>
      <c r="O984" s="23">
        <f>IF(OR($K984="",$L984=""),"",HYPERLINK("https://maps.google.com/?q="&amp;$K984&amp;","&amp;$L984,"عرض الموقع"))</f>
        <v/>
      </c>
      <c r="P984" s="23">
        <f>IF(OR($B984="",N($J984)=0),"",HYPERLINK(PhotoDir&amp;"/"&amp;YEAR($B984)&amp;"-"&amp;TEXT(MONTH($B984),"00")&amp;"-"&amp;TEXT(DAY($B984),"00")&amp;"_"&amp;$D984,"فتح الصور ("&amp;$J984&amp;")"))</f>
        <v/>
      </c>
      <c r="Q984" s="24">
        <f>IF($B984="","",MONTH($B984))</f>
        <v/>
      </c>
      <c r="R984" s="24">
        <f>IF($B984="","",YEAR($B984))</f>
        <v/>
      </c>
      <c r="S984" s="25">
        <f>IF($B984="","",$B984-WEEKDAY($B984,3))</f>
        <v/>
      </c>
      <c r="T984" s="24">
        <f>IF($B984="",0,IF(COUNTIFS($B$5:$B984,$B984,$D$5:$D984,$D984)=1,1,0))</f>
        <v/>
      </c>
      <c r="U984" s="24">
        <f>IF($B984="",0,IF(COUNTIFS($B$5:$B984,$B984,$C$5:$C984,$C984)=1,1,0))</f>
        <v/>
      </c>
      <c r="V984" s="24">
        <f>IF(OR($B984="",$G984="",$G984="لا توجد مشاهدات"),0,1)</f>
        <v/>
      </c>
      <c r="W984" s="24">
        <f>IF(AND($B984&lt;&gt;"",$I984="تم تحرير مخالفة"),1,0)</f>
        <v/>
      </c>
      <c r="X984" s="24">
        <f>IF($B984="","",IF($S984=WkStart,COUNTIF($S$5:$S984,WkStart),""))</f>
        <v/>
      </c>
    </row>
    <row r="985">
      <c r="A985" s="16">
        <f>IF($B985="","",ROW()-4)</f>
        <v/>
      </c>
      <c r="B985" s="17" t="n"/>
      <c r="C985" s="18" t="n"/>
      <c r="D985" s="18" t="n"/>
      <c r="E985" s="19" t="n"/>
      <c r="F985" s="19" t="n"/>
      <c r="G985" s="18" t="n"/>
      <c r="H985" s="18" t="n"/>
      <c r="I985" s="18" t="n"/>
      <c r="J985" s="20" t="n"/>
      <c r="K985" s="21" t="n"/>
      <c r="L985" s="21" t="n"/>
      <c r="M985" s="18" t="n"/>
      <c r="N985" s="22">
        <f>IF($B985="","",CHOOSE(WEEKDAY($B985),"الأحد","الاثنين","الثلاثاء","الأربعاء","الخميس","الجمعة","السبت"))</f>
        <v/>
      </c>
      <c r="O985" s="23">
        <f>IF(OR($K985="",$L985=""),"",HYPERLINK("https://maps.google.com/?q="&amp;$K985&amp;","&amp;$L985,"عرض الموقع"))</f>
        <v/>
      </c>
      <c r="P985" s="23">
        <f>IF(OR($B985="",N($J985)=0),"",HYPERLINK(PhotoDir&amp;"/"&amp;YEAR($B985)&amp;"-"&amp;TEXT(MONTH($B985),"00")&amp;"-"&amp;TEXT(DAY($B985),"00")&amp;"_"&amp;$D985,"فتح الصور ("&amp;$J985&amp;")"))</f>
        <v/>
      </c>
      <c r="Q985" s="24">
        <f>IF($B985="","",MONTH($B985))</f>
        <v/>
      </c>
      <c r="R985" s="24">
        <f>IF($B985="","",YEAR($B985))</f>
        <v/>
      </c>
      <c r="S985" s="25">
        <f>IF($B985="","",$B985-WEEKDAY($B985,3))</f>
        <v/>
      </c>
      <c r="T985" s="24">
        <f>IF($B985="",0,IF(COUNTIFS($B$5:$B985,$B985,$D$5:$D985,$D985)=1,1,0))</f>
        <v/>
      </c>
      <c r="U985" s="24">
        <f>IF($B985="",0,IF(COUNTIFS($B$5:$B985,$B985,$C$5:$C985,$C985)=1,1,0))</f>
        <v/>
      </c>
      <c r="V985" s="24">
        <f>IF(OR($B985="",$G985="",$G985="لا توجد مشاهدات"),0,1)</f>
        <v/>
      </c>
      <c r="W985" s="24">
        <f>IF(AND($B985&lt;&gt;"",$I985="تم تحرير مخالفة"),1,0)</f>
        <v/>
      </c>
      <c r="X985" s="24">
        <f>IF($B985="","",IF($S985=WkStart,COUNTIF($S$5:$S985,WkStart),""))</f>
        <v/>
      </c>
    </row>
    <row r="986">
      <c r="A986" s="16">
        <f>IF($B986="","",ROW()-4)</f>
        <v/>
      </c>
      <c r="B986" s="17" t="n"/>
      <c r="C986" s="18" t="n"/>
      <c r="D986" s="18" t="n"/>
      <c r="E986" s="19" t="n"/>
      <c r="F986" s="19" t="n"/>
      <c r="G986" s="18" t="n"/>
      <c r="H986" s="18" t="n"/>
      <c r="I986" s="18" t="n"/>
      <c r="J986" s="20" t="n"/>
      <c r="K986" s="21" t="n"/>
      <c r="L986" s="21" t="n"/>
      <c r="M986" s="18" t="n"/>
      <c r="N986" s="22">
        <f>IF($B986="","",CHOOSE(WEEKDAY($B986),"الأحد","الاثنين","الثلاثاء","الأربعاء","الخميس","الجمعة","السبت"))</f>
        <v/>
      </c>
      <c r="O986" s="23">
        <f>IF(OR($K986="",$L986=""),"",HYPERLINK("https://maps.google.com/?q="&amp;$K986&amp;","&amp;$L986,"عرض الموقع"))</f>
        <v/>
      </c>
      <c r="P986" s="23">
        <f>IF(OR($B986="",N($J986)=0),"",HYPERLINK(PhotoDir&amp;"/"&amp;YEAR($B986)&amp;"-"&amp;TEXT(MONTH($B986),"00")&amp;"-"&amp;TEXT(DAY($B986),"00")&amp;"_"&amp;$D986,"فتح الصور ("&amp;$J986&amp;")"))</f>
        <v/>
      </c>
      <c r="Q986" s="24">
        <f>IF($B986="","",MONTH($B986))</f>
        <v/>
      </c>
      <c r="R986" s="24">
        <f>IF($B986="","",YEAR($B986))</f>
        <v/>
      </c>
      <c r="S986" s="25">
        <f>IF($B986="","",$B986-WEEKDAY($B986,3))</f>
        <v/>
      </c>
      <c r="T986" s="24">
        <f>IF($B986="",0,IF(COUNTIFS($B$5:$B986,$B986,$D$5:$D986,$D986)=1,1,0))</f>
        <v/>
      </c>
      <c r="U986" s="24">
        <f>IF($B986="",0,IF(COUNTIFS($B$5:$B986,$B986,$C$5:$C986,$C986)=1,1,0))</f>
        <v/>
      </c>
      <c r="V986" s="24">
        <f>IF(OR($B986="",$G986="",$G986="لا توجد مشاهدات"),0,1)</f>
        <v/>
      </c>
      <c r="W986" s="24">
        <f>IF(AND($B986&lt;&gt;"",$I986="تم تحرير مخالفة"),1,0)</f>
        <v/>
      </c>
      <c r="X986" s="24">
        <f>IF($B986="","",IF($S986=WkStart,COUNTIF($S$5:$S986,WkStart),""))</f>
        <v/>
      </c>
    </row>
    <row r="987">
      <c r="A987" s="16">
        <f>IF($B987="","",ROW()-4)</f>
        <v/>
      </c>
      <c r="B987" s="17" t="n"/>
      <c r="C987" s="18" t="n"/>
      <c r="D987" s="18" t="n"/>
      <c r="E987" s="19" t="n"/>
      <c r="F987" s="19" t="n"/>
      <c r="G987" s="18" t="n"/>
      <c r="H987" s="18" t="n"/>
      <c r="I987" s="18" t="n"/>
      <c r="J987" s="20" t="n"/>
      <c r="K987" s="21" t="n"/>
      <c r="L987" s="21" t="n"/>
      <c r="M987" s="18" t="n"/>
      <c r="N987" s="22">
        <f>IF($B987="","",CHOOSE(WEEKDAY($B987),"الأحد","الاثنين","الثلاثاء","الأربعاء","الخميس","الجمعة","السبت"))</f>
        <v/>
      </c>
      <c r="O987" s="23">
        <f>IF(OR($K987="",$L987=""),"",HYPERLINK("https://maps.google.com/?q="&amp;$K987&amp;","&amp;$L987,"عرض الموقع"))</f>
        <v/>
      </c>
      <c r="P987" s="23">
        <f>IF(OR($B987="",N($J987)=0),"",HYPERLINK(PhotoDir&amp;"/"&amp;YEAR($B987)&amp;"-"&amp;TEXT(MONTH($B987),"00")&amp;"-"&amp;TEXT(DAY($B987),"00")&amp;"_"&amp;$D987,"فتح الصور ("&amp;$J987&amp;")"))</f>
        <v/>
      </c>
      <c r="Q987" s="24">
        <f>IF($B987="","",MONTH($B987))</f>
        <v/>
      </c>
      <c r="R987" s="24">
        <f>IF($B987="","",YEAR($B987))</f>
        <v/>
      </c>
      <c r="S987" s="25">
        <f>IF($B987="","",$B987-WEEKDAY($B987,3))</f>
        <v/>
      </c>
      <c r="T987" s="24">
        <f>IF($B987="",0,IF(COUNTIFS($B$5:$B987,$B987,$D$5:$D987,$D987)=1,1,0))</f>
        <v/>
      </c>
      <c r="U987" s="24">
        <f>IF($B987="",0,IF(COUNTIFS($B$5:$B987,$B987,$C$5:$C987,$C987)=1,1,0))</f>
        <v/>
      </c>
      <c r="V987" s="24">
        <f>IF(OR($B987="",$G987="",$G987="لا توجد مشاهدات"),0,1)</f>
        <v/>
      </c>
      <c r="W987" s="24">
        <f>IF(AND($B987&lt;&gt;"",$I987="تم تحرير مخالفة"),1,0)</f>
        <v/>
      </c>
      <c r="X987" s="24">
        <f>IF($B987="","",IF($S987=WkStart,COUNTIF($S$5:$S987,WkStart),""))</f>
        <v/>
      </c>
    </row>
    <row r="988">
      <c r="A988" s="16">
        <f>IF($B988="","",ROW()-4)</f>
        <v/>
      </c>
      <c r="B988" s="17" t="n"/>
      <c r="C988" s="18" t="n"/>
      <c r="D988" s="18" t="n"/>
      <c r="E988" s="19" t="n"/>
      <c r="F988" s="19" t="n"/>
      <c r="G988" s="18" t="n"/>
      <c r="H988" s="18" t="n"/>
      <c r="I988" s="18" t="n"/>
      <c r="J988" s="20" t="n"/>
      <c r="K988" s="21" t="n"/>
      <c r="L988" s="21" t="n"/>
      <c r="M988" s="18" t="n"/>
      <c r="N988" s="22">
        <f>IF($B988="","",CHOOSE(WEEKDAY($B988),"الأحد","الاثنين","الثلاثاء","الأربعاء","الخميس","الجمعة","السبت"))</f>
        <v/>
      </c>
      <c r="O988" s="23">
        <f>IF(OR($K988="",$L988=""),"",HYPERLINK("https://maps.google.com/?q="&amp;$K988&amp;","&amp;$L988,"عرض الموقع"))</f>
        <v/>
      </c>
      <c r="P988" s="23">
        <f>IF(OR($B988="",N($J988)=0),"",HYPERLINK(PhotoDir&amp;"/"&amp;YEAR($B988)&amp;"-"&amp;TEXT(MONTH($B988),"00")&amp;"-"&amp;TEXT(DAY($B988),"00")&amp;"_"&amp;$D988,"فتح الصور ("&amp;$J988&amp;")"))</f>
        <v/>
      </c>
      <c r="Q988" s="24">
        <f>IF($B988="","",MONTH($B988))</f>
        <v/>
      </c>
      <c r="R988" s="24">
        <f>IF($B988="","",YEAR($B988))</f>
        <v/>
      </c>
      <c r="S988" s="25">
        <f>IF($B988="","",$B988-WEEKDAY($B988,3))</f>
        <v/>
      </c>
      <c r="T988" s="24">
        <f>IF($B988="",0,IF(COUNTIFS($B$5:$B988,$B988,$D$5:$D988,$D988)=1,1,0))</f>
        <v/>
      </c>
      <c r="U988" s="24">
        <f>IF($B988="",0,IF(COUNTIFS($B$5:$B988,$B988,$C$5:$C988,$C988)=1,1,0))</f>
        <v/>
      </c>
      <c r="V988" s="24">
        <f>IF(OR($B988="",$G988="",$G988="لا توجد مشاهدات"),0,1)</f>
        <v/>
      </c>
      <c r="W988" s="24">
        <f>IF(AND($B988&lt;&gt;"",$I988="تم تحرير مخالفة"),1,0)</f>
        <v/>
      </c>
      <c r="X988" s="24">
        <f>IF($B988="","",IF($S988=WkStart,COUNTIF($S$5:$S988,WkStart),""))</f>
        <v/>
      </c>
    </row>
    <row r="989">
      <c r="A989" s="16">
        <f>IF($B989="","",ROW()-4)</f>
        <v/>
      </c>
      <c r="B989" s="17" t="n"/>
      <c r="C989" s="18" t="n"/>
      <c r="D989" s="18" t="n"/>
      <c r="E989" s="19" t="n"/>
      <c r="F989" s="19" t="n"/>
      <c r="G989" s="18" t="n"/>
      <c r="H989" s="18" t="n"/>
      <c r="I989" s="18" t="n"/>
      <c r="J989" s="20" t="n"/>
      <c r="K989" s="21" t="n"/>
      <c r="L989" s="21" t="n"/>
      <c r="M989" s="18" t="n"/>
      <c r="N989" s="22">
        <f>IF($B989="","",CHOOSE(WEEKDAY($B989),"الأحد","الاثنين","الثلاثاء","الأربعاء","الخميس","الجمعة","السبت"))</f>
        <v/>
      </c>
      <c r="O989" s="23">
        <f>IF(OR($K989="",$L989=""),"",HYPERLINK("https://maps.google.com/?q="&amp;$K989&amp;","&amp;$L989,"عرض الموقع"))</f>
        <v/>
      </c>
      <c r="P989" s="23">
        <f>IF(OR($B989="",N($J989)=0),"",HYPERLINK(PhotoDir&amp;"/"&amp;YEAR($B989)&amp;"-"&amp;TEXT(MONTH($B989),"00")&amp;"-"&amp;TEXT(DAY($B989),"00")&amp;"_"&amp;$D989,"فتح الصور ("&amp;$J989&amp;")"))</f>
        <v/>
      </c>
      <c r="Q989" s="24">
        <f>IF($B989="","",MONTH($B989))</f>
        <v/>
      </c>
      <c r="R989" s="24">
        <f>IF($B989="","",YEAR($B989))</f>
        <v/>
      </c>
      <c r="S989" s="25">
        <f>IF($B989="","",$B989-WEEKDAY($B989,3))</f>
        <v/>
      </c>
      <c r="T989" s="24">
        <f>IF($B989="",0,IF(COUNTIFS($B$5:$B989,$B989,$D$5:$D989,$D989)=1,1,0))</f>
        <v/>
      </c>
      <c r="U989" s="24">
        <f>IF($B989="",0,IF(COUNTIFS($B$5:$B989,$B989,$C$5:$C989,$C989)=1,1,0))</f>
        <v/>
      </c>
      <c r="V989" s="24">
        <f>IF(OR($B989="",$G989="",$G989="لا توجد مشاهدات"),0,1)</f>
        <v/>
      </c>
      <c r="W989" s="24">
        <f>IF(AND($B989&lt;&gt;"",$I989="تم تحرير مخالفة"),1,0)</f>
        <v/>
      </c>
      <c r="X989" s="24">
        <f>IF($B989="","",IF($S989=WkStart,COUNTIF($S$5:$S989,WkStart),""))</f>
        <v/>
      </c>
    </row>
    <row r="990">
      <c r="A990" s="16">
        <f>IF($B990="","",ROW()-4)</f>
        <v/>
      </c>
      <c r="B990" s="17" t="n"/>
      <c r="C990" s="18" t="n"/>
      <c r="D990" s="18" t="n"/>
      <c r="E990" s="19" t="n"/>
      <c r="F990" s="19" t="n"/>
      <c r="G990" s="18" t="n"/>
      <c r="H990" s="18" t="n"/>
      <c r="I990" s="18" t="n"/>
      <c r="J990" s="20" t="n"/>
      <c r="K990" s="21" t="n"/>
      <c r="L990" s="21" t="n"/>
      <c r="M990" s="18" t="n"/>
      <c r="N990" s="22">
        <f>IF($B990="","",CHOOSE(WEEKDAY($B990),"الأحد","الاثنين","الثلاثاء","الأربعاء","الخميس","الجمعة","السبت"))</f>
        <v/>
      </c>
      <c r="O990" s="23">
        <f>IF(OR($K990="",$L990=""),"",HYPERLINK("https://maps.google.com/?q="&amp;$K990&amp;","&amp;$L990,"عرض الموقع"))</f>
        <v/>
      </c>
      <c r="P990" s="23">
        <f>IF(OR($B990="",N($J990)=0),"",HYPERLINK(PhotoDir&amp;"/"&amp;YEAR($B990)&amp;"-"&amp;TEXT(MONTH($B990),"00")&amp;"-"&amp;TEXT(DAY($B990),"00")&amp;"_"&amp;$D990,"فتح الصور ("&amp;$J990&amp;")"))</f>
        <v/>
      </c>
      <c r="Q990" s="24">
        <f>IF($B990="","",MONTH($B990))</f>
        <v/>
      </c>
      <c r="R990" s="24">
        <f>IF($B990="","",YEAR($B990))</f>
        <v/>
      </c>
      <c r="S990" s="25">
        <f>IF($B990="","",$B990-WEEKDAY($B990,3))</f>
        <v/>
      </c>
      <c r="T990" s="24">
        <f>IF($B990="",0,IF(COUNTIFS($B$5:$B990,$B990,$D$5:$D990,$D990)=1,1,0))</f>
        <v/>
      </c>
      <c r="U990" s="24">
        <f>IF($B990="",0,IF(COUNTIFS($B$5:$B990,$B990,$C$5:$C990,$C990)=1,1,0))</f>
        <v/>
      </c>
      <c r="V990" s="24">
        <f>IF(OR($B990="",$G990="",$G990="لا توجد مشاهدات"),0,1)</f>
        <v/>
      </c>
      <c r="W990" s="24">
        <f>IF(AND($B990&lt;&gt;"",$I990="تم تحرير مخالفة"),1,0)</f>
        <v/>
      </c>
      <c r="X990" s="24">
        <f>IF($B990="","",IF($S990=WkStart,COUNTIF($S$5:$S990,WkStart),""))</f>
        <v/>
      </c>
    </row>
    <row r="991">
      <c r="A991" s="16">
        <f>IF($B991="","",ROW()-4)</f>
        <v/>
      </c>
      <c r="B991" s="17" t="n"/>
      <c r="C991" s="18" t="n"/>
      <c r="D991" s="18" t="n"/>
      <c r="E991" s="19" t="n"/>
      <c r="F991" s="19" t="n"/>
      <c r="G991" s="18" t="n"/>
      <c r="H991" s="18" t="n"/>
      <c r="I991" s="18" t="n"/>
      <c r="J991" s="20" t="n"/>
      <c r="K991" s="21" t="n"/>
      <c r="L991" s="21" t="n"/>
      <c r="M991" s="18" t="n"/>
      <c r="N991" s="22">
        <f>IF($B991="","",CHOOSE(WEEKDAY($B991),"الأحد","الاثنين","الثلاثاء","الأربعاء","الخميس","الجمعة","السبت"))</f>
        <v/>
      </c>
      <c r="O991" s="23">
        <f>IF(OR($K991="",$L991=""),"",HYPERLINK("https://maps.google.com/?q="&amp;$K991&amp;","&amp;$L991,"عرض الموقع"))</f>
        <v/>
      </c>
      <c r="P991" s="23">
        <f>IF(OR($B991="",N($J991)=0),"",HYPERLINK(PhotoDir&amp;"/"&amp;YEAR($B991)&amp;"-"&amp;TEXT(MONTH($B991),"00")&amp;"-"&amp;TEXT(DAY($B991),"00")&amp;"_"&amp;$D991,"فتح الصور ("&amp;$J991&amp;")"))</f>
        <v/>
      </c>
      <c r="Q991" s="24">
        <f>IF($B991="","",MONTH($B991))</f>
        <v/>
      </c>
      <c r="R991" s="24">
        <f>IF($B991="","",YEAR($B991))</f>
        <v/>
      </c>
      <c r="S991" s="25">
        <f>IF($B991="","",$B991-WEEKDAY($B991,3))</f>
        <v/>
      </c>
      <c r="T991" s="24">
        <f>IF($B991="",0,IF(COUNTIFS($B$5:$B991,$B991,$D$5:$D991,$D991)=1,1,0))</f>
        <v/>
      </c>
      <c r="U991" s="24">
        <f>IF($B991="",0,IF(COUNTIFS($B$5:$B991,$B991,$C$5:$C991,$C991)=1,1,0))</f>
        <v/>
      </c>
      <c r="V991" s="24">
        <f>IF(OR($B991="",$G991="",$G991="لا توجد مشاهدات"),0,1)</f>
        <v/>
      </c>
      <c r="W991" s="24">
        <f>IF(AND($B991&lt;&gt;"",$I991="تم تحرير مخالفة"),1,0)</f>
        <v/>
      </c>
      <c r="X991" s="24">
        <f>IF($B991="","",IF($S991=WkStart,COUNTIF($S$5:$S991,WkStart),""))</f>
        <v/>
      </c>
    </row>
    <row r="992">
      <c r="A992" s="16">
        <f>IF($B992="","",ROW()-4)</f>
        <v/>
      </c>
      <c r="B992" s="17" t="n"/>
      <c r="C992" s="18" t="n"/>
      <c r="D992" s="18" t="n"/>
      <c r="E992" s="19" t="n"/>
      <c r="F992" s="19" t="n"/>
      <c r="G992" s="18" t="n"/>
      <c r="H992" s="18" t="n"/>
      <c r="I992" s="18" t="n"/>
      <c r="J992" s="20" t="n"/>
      <c r="K992" s="21" t="n"/>
      <c r="L992" s="21" t="n"/>
      <c r="M992" s="18" t="n"/>
      <c r="N992" s="22">
        <f>IF($B992="","",CHOOSE(WEEKDAY($B992),"الأحد","الاثنين","الثلاثاء","الأربعاء","الخميس","الجمعة","السبت"))</f>
        <v/>
      </c>
      <c r="O992" s="23">
        <f>IF(OR($K992="",$L992=""),"",HYPERLINK("https://maps.google.com/?q="&amp;$K992&amp;","&amp;$L992,"عرض الموقع"))</f>
        <v/>
      </c>
      <c r="P992" s="23">
        <f>IF(OR($B992="",N($J992)=0),"",HYPERLINK(PhotoDir&amp;"/"&amp;YEAR($B992)&amp;"-"&amp;TEXT(MONTH($B992),"00")&amp;"-"&amp;TEXT(DAY($B992),"00")&amp;"_"&amp;$D992,"فتح الصور ("&amp;$J992&amp;")"))</f>
        <v/>
      </c>
      <c r="Q992" s="24">
        <f>IF($B992="","",MONTH($B992))</f>
        <v/>
      </c>
      <c r="R992" s="24">
        <f>IF($B992="","",YEAR($B992))</f>
        <v/>
      </c>
      <c r="S992" s="25">
        <f>IF($B992="","",$B992-WEEKDAY($B992,3))</f>
        <v/>
      </c>
      <c r="T992" s="24">
        <f>IF($B992="",0,IF(COUNTIFS($B$5:$B992,$B992,$D$5:$D992,$D992)=1,1,0))</f>
        <v/>
      </c>
      <c r="U992" s="24">
        <f>IF($B992="",0,IF(COUNTIFS($B$5:$B992,$B992,$C$5:$C992,$C992)=1,1,0))</f>
        <v/>
      </c>
      <c r="V992" s="24">
        <f>IF(OR($B992="",$G992="",$G992="لا توجد مشاهدات"),0,1)</f>
        <v/>
      </c>
      <c r="W992" s="24">
        <f>IF(AND($B992&lt;&gt;"",$I992="تم تحرير مخالفة"),1,0)</f>
        <v/>
      </c>
      <c r="X992" s="24">
        <f>IF($B992="","",IF($S992=WkStart,COUNTIF($S$5:$S992,WkStart),""))</f>
        <v/>
      </c>
    </row>
    <row r="993">
      <c r="A993" s="16">
        <f>IF($B993="","",ROW()-4)</f>
        <v/>
      </c>
      <c r="B993" s="17" t="n"/>
      <c r="C993" s="18" t="n"/>
      <c r="D993" s="18" t="n"/>
      <c r="E993" s="19" t="n"/>
      <c r="F993" s="19" t="n"/>
      <c r="G993" s="18" t="n"/>
      <c r="H993" s="18" t="n"/>
      <c r="I993" s="18" t="n"/>
      <c r="J993" s="20" t="n"/>
      <c r="K993" s="21" t="n"/>
      <c r="L993" s="21" t="n"/>
      <c r="M993" s="18" t="n"/>
      <c r="N993" s="22">
        <f>IF($B993="","",CHOOSE(WEEKDAY($B993),"الأحد","الاثنين","الثلاثاء","الأربعاء","الخميس","الجمعة","السبت"))</f>
        <v/>
      </c>
      <c r="O993" s="23">
        <f>IF(OR($K993="",$L993=""),"",HYPERLINK("https://maps.google.com/?q="&amp;$K993&amp;","&amp;$L993,"عرض الموقع"))</f>
        <v/>
      </c>
      <c r="P993" s="23">
        <f>IF(OR($B993="",N($J993)=0),"",HYPERLINK(PhotoDir&amp;"/"&amp;YEAR($B993)&amp;"-"&amp;TEXT(MONTH($B993),"00")&amp;"-"&amp;TEXT(DAY($B993),"00")&amp;"_"&amp;$D993,"فتح الصور ("&amp;$J993&amp;")"))</f>
        <v/>
      </c>
      <c r="Q993" s="24">
        <f>IF($B993="","",MONTH($B993))</f>
        <v/>
      </c>
      <c r="R993" s="24">
        <f>IF($B993="","",YEAR($B993))</f>
        <v/>
      </c>
      <c r="S993" s="25">
        <f>IF($B993="","",$B993-WEEKDAY($B993,3))</f>
        <v/>
      </c>
      <c r="T993" s="24">
        <f>IF($B993="",0,IF(COUNTIFS($B$5:$B993,$B993,$D$5:$D993,$D993)=1,1,0))</f>
        <v/>
      </c>
      <c r="U993" s="24">
        <f>IF($B993="",0,IF(COUNTIFS($B$5:$B993,$B993,$C$5:$C993,$C993)=1,1,0))</f>
        <v/>
      </c>
      <c r="V993" s="24">
        <f>IF(OR($B993="",$G993="",$G993="لا توجد مشاهدات"),0,1)</f>
        <v/>
      </c>
      <c r="W993" s="24">
        <f>IF(AND($B993&lt;&gt;"",$I993="تم تحرير مخالفة"),1,0)</f>
        <v/>
      </c>
      <c r="X993" s="24">
        <f>IF($B993="","",IF($S993=WkStart,COUNTIF($S$5:$S993,WkStart),""))</f>
        <v/>
      </c>
    </row>
    <row r="994">
      <c r="A994" s="16">
        <f>IF($B994="","",ROW()-4)</f>
        <v/>
      </c>
      <c r="B994" s="17" t="n"/>
      <c r="C994" s="18" t="n"/>
      <c r="D994" s="18" t="n"/>
      <c r="E994" s="19" t="n"/>
      <c r="F994" s="19" t="n"/>
      <c r="G994" s="18" t="n"/>
      <c r="H994" s="18" t="n"/>
      <c r="I994" s="18" t="n"/>
      <c r="J994" s="20" t="n"/>
      <c r="K994" s="21" t="n"/>
      <c r="L994" s="21" t="n"/>
      <c r="M994" s="18" t="n"/>
      <c r="N994" s="22">
        <f>IF($B994="","",CHOOSE(WEEKDAY($B994),"الأحد","الاثنين","الثلاثاء","الأربعاء","الخميس","الجمعة","السبت"))</f>
        <v/>
      </c>
      <c r="O994" s="23">
        <f>IF(OR($K994="",$L994=""),"",HYPERLINK("https://maps.google.com/?q="&amp;$K994&amp;","&amp;$L994,"عرض الموقع"))</f>
        <v/>
      </c>
      <c r="P994" s="23">
        <f>IF(OR($B994="",N($J994)=0),"",HYPERLINK(PhotoDir&amp;"/"&amp;YEAR($B994)&amp;"-"&amp;TEXT(MONTH($B994),"00")&amp;"-"&amp;TEXT(DAY($B994),"00")&amp;"_"&amp;$D994,"فتح الصور ("&amp;$J994&amp;")"))</f>
        <v/>
      </c>
      <c r="Q994" s="24">
        <f>IF($B994="","",MONTH($B994))</f>
        <v/>
      </c>
      <c r="R994" s="24">
        <f>IF($B994="","",YEAR($B994))</f>
        <v/>
      </c>
      <c r="S994" s="25">
        <f>IF($B994="","",$B994-WEEKDAY($B994,3))</f>
        <v/>
      </c>
      <c r="T994" s="24">
        <f>IF($B994="",0,IF(COUNTIFS($B$5:$B994,$B994,$D$5:$D994,$D994)=1,1,0))</f>
        <v/>
      </c>
      <c r="U994" s="24">
        <f>IF($B994="",0,IF(COUNTIFS($B$5:$B994,$B994,$C$5:$C994,$C994)=1,1,0))</f>
        <v/>
      </c>
      <c r="V994" s="24">
        <f>IF(OR($B994="",$G994="",$G994="لا توجد مشاهدات"),0,1)</f>
        <v/>
      </c>
      <c r="W994" s="24">
        <f>IF(AND($B994&lt;&gt;"",$I994="تم تحرير مخالفة"),1,0)</f>
        <v/>
      </c>
      <c r="X994" s="24">
        <f>IF($B994="","",IF($S994=WkStart,COUNTIF($S$5:$S994,WkStart),""))</f>
        <v/>
      </c>
    </row>
    <row r="995">
      <c r="A995" s="16">
        <f>IF($B995="","",ROW()-4)</f>
        <v/>
      </c>
      <c r="B995" s="17" t="n"/>
      <c r="C995" s="18" t="n"/>
      <c r="D995" s="18" t="n"/>
      <c r="E995" s="19" t="n"/>
      <c r="F995" s="19" t="n"/>
      <c r="G995" s="18" t="n"/>
      <c r="H995" s="18" t="n"/>
      <c r="I995" s="18" t="n"/>
      <c r="J995" s="20" t="n"/>
      <c r="K995" s="21" t="n"/>
      <c r="L995" s="21" t="n"/>
      <c r="M995" s="18" t="n"/>
      <c r="N995" s="22">
        <f>IF($B995="","",CHOOSE(WEEKDAY($B995),"الأحد","الاثنين","الثلاثاء","الأربعاء","الخميس","الجمعة","السبت"))</f>
        <v/>
      </c>
      <c r="O995" s="23">
        <f>IF(OR($K995="",$L995=""),"",HYPERLINK("https://maps.google.com/?q="&amp;$K995&amp;","&amp;$L995,"عرض الموقع"))</f>
        <v/>
      </c>
      <c r="P995" s="23">
        <f>IF(OR($B995="",N($J995)=0),"",HYPERLINK(PhotoDir&amp;"/"&amp;YEAR($B995)&amp;"-"&amp;TEXT(MONTH($B995),"00")&amp;"-"&amp;TEXT(DAY($B995),"00")&amp;"_"&amp;$D995,"فتح الصور ("&amp;$J995&amp;")"))</f>
        <v/>
      </c>
      <c r="Q995" s="24">
        <f>IF($B995="","",MONTH($B995))</f>
        <v/>
      </c>
      <c r="R995" s="24">
        <f>IF($B995="","",YEAR($B995))</f>
        <v/>
      </c>
      <c r="S995" s="25">
        <f>IF($B995="","",$B995-WEEKDAY($B995,3))</f>
        <v/>
      </c>
      <c r="T995" s="24">
        <f>IF($B995="",0,IF(COUNTIFS($B$5:$B995,$B995,$D$5:$D995,$D995)=1,1,0))</f>
        <v/>
      </c>
      <c r="U995" s="24">
        <f>IF($B995="",0,IF(COUNTIFS($B$5:$B995,$B995,$C$5:$C995,$C995)=1,1,0))</f>
        <v/>
      </c>
      <c r="V995" s="24">
        <f>IF(OR($B995="",$G995="",$G995="لا توجد مشاهدات"),0,1)</f>
        <v/>
      </c>
      <c r="W995" s="24">
        <f>IF(AND($B995&lt;&gt;"",$I995="تم تحرير مخالفة"),1,0)</f>
        <v/>
      </c>
      <c r="X995" s="24">
        <f>IF($B995="","",IF($S995=WkStart,COUNTIF($S$5:$S995,WkStart),""))</f>
        <v/>
      </c>
    </row>
    <row r="996">
      <c r="A996" s="16">
        <f>IF($B996="","",ROW()-4)</f>
        <v/>
      </c>
      <c r="B996" s="17" t="n"/>
      <c r="C996" s="18" t="n"/>
      <c r="D996" s="18" t="n"/>
      <c r="E996" s="19" t="n"/>
      <c r="F996" s="19" t="n"/>
      <c r="G996" s="18" t="n"/>
      <c r="H996" s="18" t="n"/>
      <c r="I996" s="18" t="n"/>
      <c r="J996" s="20" t="n"/>
      <c r="K996" s="21" t="n"/>
      <c r="L996" s="21" t="n"/>
      <c r="M996" s="18" t="n"/>
      <c r="N996" s="22">
        <f>IF($B996="","",CHOOSE(WEEKDAY($B996),"الأحد","الاثنين","الثلاثاء","الأربعاء","الخميس","الجمعة","السبت"))</f>
        <v/>
      </c>
      <c r="O996" s="23">
        <f>IF(OR($K996="",$L996=""),"",HYPERLINK("https://maps.google.com/?q="&amp;$K996&amp;","&amp;$L996,"عرض الموقع"))</f>
        <v/>
      </c>
      <c r="P996" s="23">
        <f>IF(OR($B996="",N($J996)=0),"",HYPERLINK(PhotoDir&amp;"/"&amp;YEAR($B996)&amp;"-"&amp;TEXT(MONTH($B996),"00")&amp;"-"&amp;TEXT(DAY($B996),"00")&amp;"_"&amp;$D996,"فتح الصور ("&amp;$J996&amp;")"))</f>
        <v/>
      </c>
      <c r="Q996" s="24">
        <f>IF($B996="","",MONTH($B996))</f>
        <v/>
      </c>
      <c r="R996" s="24">
        <f>IF($B996="","",YEAR($B996))</f>
        <v/>
      </c>
      <c r="S996" s="25">
        <f>IF($B996="","",$B996-WEEKDAY($B996,3))</f>
        <v/>
      </c>
      <c r="T996" s="24">
        <f>IF($B996="",0,IF(COUNTIFS($B$5:$B996,$B996,$D$5:$D996,$D996)=1,1,0))</f>
        <v/>
      </c>
      <c r="U996" s="24">
        <f>IF($B996="",0,IF(COUNTIFS($B$5:$B996,$B996,$C$5:$C996,$C996)=1,1,0))</f>
        <v/>
      </c>
      <c r="V996" s="24">
        <f>IF(OR($B996="",$G996="",$G996="لا توجد مشاهدات"),0,1)</f>
        <v/>
      </c>
      <c r="W996" s="24">
        <f>IF(AND($B996&lt;&gt;"",$I996="تم تحرير مخالفة"),1,0)</f>
        <v/>
      </c>
      <c r="X996" s="24">
        <f>IF($B996="","",IF($S996=WkStart,COUNTIF($S$5:$S996,WkStart),""))</f>
        <v/>
      </c>
    </row>
    <row r="997">
      <c r="A997" s="16">
        <f>IF($B997="","",ROW()-4)</f>
        <v/>
      </c>
      <c r="B997" s="17" t="n"/>
      <c r="C997" s="18" t="n"/>
      <c r="D997" s="18" t="n"/>
      <c r="E997" s="19" t="n"/>
      <c r="F997" s="19" t="n"/>
      <c r="G997" s="18" t="n"/>
      <c r="H997" s="18" t="n"/>
      <c r="I997" s="18" t="n"/>
      <c r="J997" s="20" t="n"/>
      <c r="K997" s="21" t="n"/>
      <c r="L997" s="21" t="n"/>
      <c r="M997" s="18" t="n"/>
      <c r="N997" s="22">
        <f>IF($B997="","",CHOOSE(WEEKDAY($B997),"الأحد","الاثنين","الثلاثاء","الأربعاء","الخميس","الجمعة","السبت"))</f>
        <v/>
      </c>
      <c r="O997" s="23">
        <f>IF(OR($K997="",$L997=""),"",HYPERLINK("https://maps.google.com/?q="&amp;$K997&amp;","&amp;$L997,"عرض الموقع"))</f>
        <v/>
      </c>
      <c r="P997" s="23">
        <f>IF(OR($B997="",N($J997)=0),"",HYPERLINK(PhotoDir&amp;"/"&amp;YEAR($B997)&amp;"-"&amp;TEXT(MONTH($B997),"00")&amp;"-"&amp;TEXT(DAY($B997),"00")&amp;"_"&amp;$D997,"فتح الصور ("&amp;$J997&amp;")"))</f>
        <v/>
      </c>
      <c r="Q997" s="24">
        <f>IF($B997="","",MONTH($B997))</f>
        <v/>
      </c>
      <c r="R997" s="24">
        <f>IF($B997="","",YEAR($B997))</f>
        <v/>
      </c>
      <c r="S997" s="25">
        <f>IF($B997="","",$B997-WEEKDAY($B997,3))</f>
        <v/>
      </c>
      <c r="T997" s="24">
        <f>IF($B997="",0,IF(COUNTIFS($B$5:$B997,$B997,$D$5:$D997,$D997)=1,1,0))</f>
        <v/>
      </c>
      <c r="U997" s="24">
        <f>IF($B997="",0,IF(COUNTIFS($B$5:$B997,$B997,$C$5:$C997,$C997)=1,1,0))</f>
        <v/>
      </c>
      <c r="V997" s="24">
        <f>IF(OR($B997="",$G997="",$G997="لا توجد مشاهدات"),0,1)</f>
        <v/>
      </c>
      <c r="W997" s="24">
        <f>IF(AND($B997&lt;&gt;"",$I997="تم تحرير مخالفة"),1,0)</f>
        <v/>
      </c>
      <c r="X997" s="24">
        <f>IF($B997="","",IF($S997=WkStart,COUNTIF($S$5:$S997,WkStart),""))</f>
        <v/>
      </c>
    </row>
    <row r="998">
      <c r="A998" s="16">
        <f>IF($B998="","",ROW()-4)</f>
        <v/>
      </c>
      <c r="B998" s="17" t="n"/>
      <c r="C998" s="18" t="n"/>
      <c r="D998" s="18" t="n"/>
      <c r="E998" s="19" t="n"/>
      <c r="F998" s="19" t="n"/>
      <c r="G998" s="18" t="n"/>
      <c r="H998" s="18" t="n"/>
      <c r="I998" s="18" t="n"/>
      <c r="J998" s="20" t="n"/>
      <c r="K998" s="21" t="n"/>
      <c r="L998" s="21" t="n"/>
      <c r="M998" s="18" t="n"/>
      <c r="N998" s="22">
        <f>IF($B998="","",CHOOSE(WEEKDAY($B998),"الأحد","الاثنين","الثلاثاء","الأربعاء","الخميس","الجمعة","السبت"))</f>
        <v/>
      </c>
      <c r="O998" s="23">
        <f>IF(OR($K998="",$L998=""),"",HYPERLINK("https://maps.google.com/?q="&amp;$K998&amp;","&amp;$L998,"عرض الموقع"))</f>
        <v/>
      </c>
      <c r="P998" s="23">
        <f>IF(OR($B998="",N($J998)=0),"",HYPERLINK(PhotoDir&amp;"/"&amp;YEAR($B998)&amp;"-"&amp;TEXT(MONTH($B998),"00")&amp;"-"&amp;TEXT(DAY($B998),"00")&amp;"_"&amp;$D998,"فتح الصور ("&amp;$J998&amp;")"))</f>
        <v/>
      </c>
      <c r="Q998" s="24">
        <f>IF($B998="","",MONTH($B998))</f>
        <v/>
      </c>
      <c r="R998" s="24">
        <f>IF($B998="","",YEAR($B998))</f>
        <v/>
      </c>
      <c r="S998" s="25">
        <f>IF($B998="","",$B998-WEEKDAY($B998,3))</f>
        <v/>
      </c>
      <c r="T998" s="24">
        <f>IF($B998="",0,IF(COUNTIFS($B$5:$B998,$B998,$D$5:$D998,$D998)=1,1,0))</f>
        <v/>
      </c>
      <c r="U998" s="24">
        <f>IF($B998="",0,IF(COUNTIFS($B$5:$B998,$B998,$C$5:$C998,$C998)=1,1,0))</f>
        <v/>
      </c>
      <c r="V998" s="24">
        <f>IF(OR($B998="",$G998="",$G998="لا توجد مشاهدات"),0,1)</f>
        <v/>
      </c>
      <c r="W998" s="24">
        <f>IF(AND($B998&lt;&gt;"",$I998="تم تحرير مخالفة"),1,0)</f>
        <v/>
      </c>
      <c r="X998" s="24">
        <f>IF($B998="","",IF($S998=WkStart,COUNTIF($S$5:$S998,WkStart),""))</f>
        <v/>
      </c>
    </row>
    <row r="999">
      <c r="A999" s="16">
        <f>IF($B999="","",ROW()-4)</f>
        <v/>
      </c>
      <c r="B999" s="17" t="n"/>
      <c r="C999" s="18" t="n"/>
      <c r="D999" s="18" t="n"/>
      <c r="E999" s="19" t="n"/>
      <c r="F999" s="19" t="n"/>
      <c r="G999" s="18" t="n"/>
      <c r="H999" s="18" t="n"/>
      <c r="I999" s="18" t="n"/>
      <c r="J999" s="20" t="n"/>
      <c r="K999" s="21" t="n"/>
      <c r="L999" s="21" t="n"/>
      <c r="M999" s="18" t="n"/>
      <c r="N999" s="22">
        <f>IF($B999="","",CHOOSE(WEEKDAY($B999),"الأحد","الاثنين","الثلاثاء","الأربعاء","الخميس","الجمعة","السبت"))</f>
        <v/>
      </c>
      <c r="O999" s="23">
        <f>IF(OR($K999="",$L999=""),"",HYPERLINK("https://maps.google.com/?q="&amp;$K999&amp;","&amp;$L999,"عرض الموقع"))</f>
        <v/>
      </c>
      <c r="P999" s="23">
        <f>IF(OR($B999="",N($J999)=0),"",HYPERLINK(PhotoDir&amp;"/"&amp;YEAR($B999)&amp;"-"&amp;TEXT(MONTH($B999),"00")&amp;"-"&amp;TEXT(DAY($B999),"00")&amp;"_"&amp;$D999,"فتح الصور ("&amp;$J999&amp;")"))</f>
        <v/>
      </c>
      <c r="Q999" s="24">
        <f>IF($B999="","",MONTH($B999))</f>
        <v/>
      </c>
      <c r="R999" s="24">
        <f>IF($B999="","",YEAR($B999))</f>
        <v/>
      </c>
      <c r="S999" s="25">
        <f>IF($B999="","",$B999-WEEKDAY($B999,3))</f>
        <v/>
      </c>
      <c r="T999" s="24">
        <f>IF($B999="",0,IF(COUNTIFS($B$5:$B999,$B999,$D$5:$D999,$D999)=1,1,0))</f>
        <v/>
      </c>
      <c r="U999" s="24">
        <f>IF($B999="",0,IF(COUNTIFS($B$5:$B999,$B999,$C$5:$C999,$C999)=1,1,0))</f>
        <v/>
      </c>
      <c r="V999" s="24">
        <f>IF(OR($B999="",$G999="",$G999="لا توجد مشاهدات"),0,1)</f>
        <v/>
      </c>
      <c r="W999" s="24">
        <f>IF(AND($B999&lt;&gt;"",$I999="تم تحرير مخالفة"),1,0)</f>
        <v/>
      </c>
      <c r="X999" s="24">
        <f>IF($B999="","",IF($S999=WkStart,COUNTIF($S$5:$S999,WkStart),""))</f>
        <v/>
      </c>
    </row>
    <row r="1000">
      <c r="A1000" s="16">
        <f>IF($B1000="","",ROW()-4)</f>
        <v/>
      </c>
      <c r="B1000" s="17" t="n"/>
      <c r="C1000" s="18" t="n"/>
      <c r="D1000" s="18" t="n"/>
      <c r="E1000" s="19" t="n"/>
      <c r="F1000" s="19" t="n"/>
      <c r="G1000" s="18" t="n"/>
      <c r="H1000" s="18" t="n"/>
      <c r="I1000" s="18" t="n"/>
      <c r="J1000" s="20" t="n"/>
      <c r="K1000" s="21" t="n"/>
      <c r="L1000" s="21" t="n"/>
      <c r="M1000" s="18" t="n"/>
      <c r="N1000" s="22">
        <f>IF($B1000="","",CHOOSE(WEEKDAY($B1000),"الأحد","الاثنين","الثلاثاء","الأربعاء","الخميس","الجمعة","السبت"))</f>
        <v/>
      </c>
      <c r="O1000" s="23">
        <f>IF(OR($K1000="",$L1000=""),"",HYPERLINK("https://maps.google.com/?q="&amp;$K1000&amp;","&amp;$L1000,"عرض الموقع"))</f>
        <v/>
      </c>
      <c r="P1000" s="23">
        <f>IF(OR($B1000="",N($J1000)=0),"",HYPERLINK(PhotoDir&amp;"/"&amp;YEAR($B1000)&amp;"-"&amp;TEXT(MONTH($B1000),"00")&amp;"-"&amp;TEXT(DAY($B1000),"00")&amp;"_"&amp;$D1000,"فتح الصور ("&amp;$J1000&amp;")"))</f>
        <v/>
      </c>
      <c r="Q1000" s="24">
        <f>IF($B1000="","",MONTH($B1000))</f>
        <v/>
      </c>
      <c r="R1000" s="24">
        <f>IF($B1000="","",YEAR($B1000))</f>
        <v/>
      </c>
      <c r="S1000" s="25">
        <f>IF($B1000="","",$B1000-WEEKDAY($B1000,3))</f>
        <v/>
      </c>
      <c r="T1000" s="24">
        <f>IF($B1000="",0,IF(COUNTIFS($B$5:$B1000,$B1000,$D$5:$D1000,$D1000)=1,1,0))</f>
        <v/>
      </c>
      <c r="U1000" s="24">
        <f>IF($B1000="",0,IF(COUNTIFS($B$5:$B1000,$B1000,$C$5:$C1000,$C1000)=1,1,0))</f>
        <v/>
      </c>
      <c r="V1000" s="24">
        <f>IF(OR($B1000="",$G1000="",$G1000="لا توجد مشاهدات"),0,1)</f>
        <v/>
      </c>
      <c r="W1000" s="24">
        <f>IF(AND($B1000&lt;&gt;"",$I1000="تم تحرير مخالفة"),1,0)</f>
        <v/>
      </c>
      <c r="X1000" s="24">
        <f>IF($B1000="","",IF($S1000=WkStart,COUNTIF($S$5:$S1000,WkStart),""))</f>
        <v/>
      </c>
    </row>
    <row r="1001">
      <c r="A1001" s="16">
        <f>IF($B1001="","",ROW()-4)</f>
        <v/>
      </c>
      <c r="B1001" s="17" t="n"/>
      <c r="C1001" s="18" t="n"/>
      <c r="D1001" s="18" t="n"/>
      <c r="E1001" s="19" t="n"/>
      <c r="F1001" s="19" t="n"/>
      <c r="G1001" s="18" t="n"/>
      <c r="H1001" s="18" t="n"/>
      <c r="I1001" s="18" t="n"/>
      <c r="J1001" s="20" t="n"/>
      <c r="K1001" s="21" t="n"/>
      <c r="L1001" s="21" t="n"/>
      <c r="M1001" s="18" t="n"/>
      <c r="N1001" s="22">
        <f>IF($B1001="","",CHOOSE(WEEKDAY($B1001),"الأحد","الاثنين","الثلاثاء","الأربعاء","الخميس","الجمعة","السبت"))</f>
        <v/>
      </c>
      <c r="O1001" s="23">
        <f>IF(OR($K1001="",$L1001=""),"",HYPERLINK("https://maps.google.com/?q="&amp;$K1001&amp;","&amp;$L1001,"عرض الموقع"))</f>
        <v/>
      </c>
      <c r="P1001" s="23">
        <f>IF(OR($B1001="",N($J1001)=0),"",HYPERLINK(PhotoDir&amp;"/"&amp;YEAR($B1001)&amp;"-"&amp;TEXT(MONTH($B1001),"00")&amp;"-"&amp;TEXT(DAY($B1001),"00")&amp;"_"&amp;$D1001,"فتح الصور ("&amp;$J1001&amp;")"))</f>
        <v/>
      </c>
      <c r="Q1001" s="24">
        <f>IF($B1001="","",MONTH($B1001))</f>
        <v/>
      </c>
      <c r="R1001" s="24">
        <f>IF($B1001="","",YEAR($B1001))</f>
        <v/>
      </c>
      <c r="S1001" s="25">
        <f>IF($B1001="","",$B1001-WEEKDAY($B1001,3))</f>
        <v/>
      </c>
      <c r="T1001" s="24">
        <f>IF($B1001="",0,IF(COUNTIFS($B$5:$B1001,$B1001,$D$5:$D1001,$D1001)=1,1,0))</f>
        <v/>
      </c>
      <c r="U1001" s="24">
        <f>IF($B1001="",0,IF(COUNTIFS($B$5:$B1001,$B1001,$C$5:$C1001,$C1001)=1,1,0))</f>
        <v/>
      </c>
      <c r="V1001" s="24">
        <f>IF(OR($B1001="",$G1001="",$G1001="لا توجد مشاهدات"),0,1)</f>
        <v/>
      </c>
      <c r="W1001" s="24">
        <f>IF(AND($B1001&lt;&gt;"",$I1001="تم تحرير مخالفة"),1,0)</f>
        <v/>
      </c>
      <c r="X1001" s="24">
        <f>IF($B1001="","",IF($S1001=WkStart,COUNTIF($S$5:$S1001,WkStart),""))</f>
        <v/>
      </c>
    </row>
    <row r="1002">
      <c r="A1002" s="16">
        <f>IF($B1002="","",ROW()-4)</f>
        <v/>
      </c>
      <c r="B1002" s="17" t="n"/>
      <c r="C1002" s="18" t="n"/>
      <c r="D1002" s="18" t="n"/>
      <c r="E1002" s="19" t="n"/>
      <c r="F1002" s="19" t="n"/>
      <c r="G1002" s="18" t="n"/>
      <c r="H1002" s="18" t="n"/>
      <c r="I1002" s="18" t="n"/>
      <c r="J1002" s="20" t="n"/>
      <c r="K1002" s="21" t="n"/>
      <c r="L1002" s="21" t="n"/>
      <c r="M1002" s="18" t="n"/>
      <c r="N1002" s="22">
        <f>IF($B1002="","",CHOOSE(WEEKDAY($B1002),"الأحد","الاثنين","الثلاثاء","الأربعاء","الخميس","الجمعة","السبت"))</f>
        <v/>
      </c>
      <c r="O1002" s="23">
        <f>IF(OR($K1002="",$L1002=""),"",HYPERLINK("https://maps.google.com/?q="&amp;$K1002&amp;","&amp;$L1002,"عرض الموقع"))</f>
        <v/>
      </c>
      <c r="P1002" s="23">
        <f>IF(OR($B1002="",N($J1002)=0),"",HYPERLINK(PhotoDir&amp;"/"&amp;YEAR($B1002)&amp;"-"&amp;TEXT(MONTH($B1002),"00")&amp;"-"&amp;TEXT(DAY($B1002),"00")&amp;"_"&amp;$D1002,"فتح الصور ("&amp;$J1002&amp;")"))</f>
        <v/>
      </c>
      <c r="Q1002" s="24">
        <f>IF($B1002="","",MONTH($B1002))</f>
        <v/>
      </c>
      <c r="R1002" s="24">
        <f>IF($B1002="","",YEAR($B1002))</f>
        <v/>
      </c>
      <c r="S1002" s="25">
        <f>IF($B1002="","",$B1002-WEEKDAY($B1002,3))</f>
        <v/>
      </c>
      <c r="T1002" s="24">
        <f>IF($B1002="",0,IF(COUNTIFS($B$5:$B1002,$B1002,$D$5:$D1002,$D1002)=1,1,0))</f>
        <v/>
      </c>
      <c r="U1002" s="24">
        <f>IF($B1002="",0,IF(COUNTIFS($B$5:$B1002,$B1002,$C$5:$C1002,$C1002)=1,1,0))</f>
        <v/>
      </c>
      <c r="V1002" s="24">
        <f>IF(OR($B1002="",$G1002="",$G1002="لا توجد مشاهدات"),0,1)</f>
        <v/>
      </c>
      <c r="W1002" s="24">
        <f>IF(AND($B1002&lt;&gt;"",$I1002="تم تحرير مخالفة"),1,0)</f>
        <v/>
      </c>
      <c r="X1002" s="24">
        <f>IF($B1002="","",IF($S1002=WkStart,COUNTIF($S$5:$S1002,WkStart),""))</f>
        <v/>
      </c>
    </row>
    <row r="1003">
      <c r="A1003" s="16">
        <f>IF($B1003="","",ROW()-4)</f>
        <v/>
      </c>
      <c r="B1003" s="17" t="n"/>
      <c r="C1003" s="18" t="n"/>
      <c r="D1003" s="18" t="n"/>
      <c r="E1003" s="19" t="n"/>
      <c r="F1003" s="19" t="n"/>
      <c r="G1003" s="18" t="n"/>
      <c r="H1003" s="18" t="n"/>
      <c r="I1003" s="18" t="n"/>
      <c r="J1003" s="20" t="n"/>
      <c r="K1003" s="21" t="n"/>
      <c r="L1003" s="21" t="n"/>
      <c r="M1003" s="18" t="n"/>
      <c r="N1003" s="22">
        <f>IF($B1003="","",CHOOSE(WEEKDAY($B1003),"الأحد","الاثنين","الثلاثاء","الأربعاء","الخميس","الجمعة","السبت"))</f>
        <v/>
      </c>
      <c r="O1003" s="23">
        <f>IF(OR($K1003="",$L1003=""),"",HYPERLINK("https://maps.google.com/?q="&amp;$K1003&amp;","&amp;$L1003,"عرض الموقع"))</f>
        <v/>
      </c>
      <c r="P1003" s="23">
        <f>IF(OR($B1003="",N($J1003)=0),"",HYPERLINK(PhotoDir&amp;"/"&amp;YEAR($B1003)&amp;"-"&amp;TEXT(MONTH($B1003),"00")&amp;"-"&amp;TEXT(DAY($B1003),"00")&amp;"_"&amp;$D1003,"فتح الصور ("&amp;$J1003&amp;")"))</f>
        <v/>
      </c>
      <c r="Q1003" s="24">
        <f>IF($B1003="","",MONTH($B1003))</f>
        <v/>
      </c>
      <c r="R1003" s="24">
        <f>IF($B1003="","",YEAR($B1003))</f>
        <v/>
      </c>
      <c r="S1003" s="25">
        <f>IF($B1003="","",$B1003-WEEKDAY($B1003,3))</f>
        <v/>
      </c>
      <c r="T1003" s="24">
        <f>IF($B1003="",0,IF(COUNTIFS($B$5:$B1003,$B1003,$D$5:$D1003,$D1003)=1,1,0))</f>
        <v/>
      </c>
      <c r="U1003" s="24">
        <f>IF($B1003="",0,IF(COUNTIFS($B$5:$B1003,$B1003,$C$5:$C1003,$C1003)=1,1,0))</f>
        <v/>
      </c>
      <c r="V1003" s="24">
        <f>IF(OR($B1003="",$G1003="",$G1003="لا توجد مشاهدات"),0,1)</f>
        <v/>
      </c>
      <c r="W1003" s="24">
        <f>IF(AND($B1003&lt;&gt;"",$I1003="تم تحرير مخالفة"),1,0)</f>
        <v/>
      </c>
      <c r="X1003" s="24">
        <f>IF($B1003="","",IF($S1003=WkStart,COUNTIF($S$5:$S1003,WkStart),""))</f>
        <v/>
      </c>
    </row>
    <row r="1004">
      <c r="A1004" s="16">
        <f>IF($B1004="","",ROW()-4)</f>
        <v/>
      </c>
      <c r="B1004" s="17" t="n"/>
      <c r="C1004" s="18" t="n"/>
      <c r="D1004" s="18" t="n"/>
      <c r="E1004" s="19" t="n"/>
      <c r="F1004" s="19" t="n"/>
      <c r="G1004" s="18" t="n"/>
      <c r="H1004" s="18" t="n"/>
      <c r="I1004" s="18" t="n"/>
      <c r="J1004" s="20" t="n"/>
      <c r="K1004" s="21" t="n"/>
      <c r="L1004" s="21" t="n"/>
      <c r="M1004" s="18" t="n"/>
      <c r="N1004" s="22">
        <f>IF($B1004="","",CHOOSE(WEEKDAY($B1004),"الأحد","الاثنين","الثلاثاء","الأربعاء","الخميس","الجمعة","السبت"))</f>
        <v/>
      </c>
      <c r="O1004" s="23">
        <f>IF(OR($K1004="",$L1004=""),"",HYPERLINK("https://maps.google.com/?q="&amp;$K1004&amp;","&amp;$L1004,"عرض الموقع"))</f>
        <v/>
      </c>
      <c r="P1004" s="23">
        <f>IF(OR($B1004="",N($J1004)=0),"",HYPERLINK(PhotoDir&amp;"/"&amp;YEAR($B1004)&amp;"-"&amp;TEXT(MONTH($B1004),"00")&amp;"-"&amp;TEXT(DAY($B1004),"00")&amp;"_"&amp;$D1004,"فتح الصور ("&amp;$J1004&amp;")"))</f>
        <v/>
      </c>
      <c r="Q1004" s="24">
        <f>IF($B1004="","",MONTH($B1004))</f>
        <v/>
      </c>
      <c r="R1004" s="24">
        <f>IF($B1004="","",YEAR($B1004))</f>
        <v/>
      </c>
      <c r="S1004" s="25">
        <f>IF($B1004="","",$B1004-WEEKDAY($B1004,3))</f>
        <v/>
      </c>
      <c r="T1004" s="24">
        <f>IF($B1004="",0,IF(COUNTIFS($B$5:$B1004,$B1004,$D$5:$D1004,$D1004)=1,1,0))</f>
        <v/>
      </c>
      <c r="U1004" s="24">
        <f>IF($B1004="",0,IF(COUNTIFS($B$5:$B1004,$B1004,$C$5:$C1004,$C1004)=1,1,0))</f>
        <v/>
      </c>
      <c r="V1004" s="24">
        <f>IF(OR($B1004="",$G1004="",$G1004="لا توجد مشاهدات"),0,1)</f>
        <v/>
      </c>
      <c r="W1004" s="24">
        <f>IF(AND($B1004&lt;&gt;"",$I1004="تم تحرير مخالفة"),1,0)</f>
        <v/>
      </c>
      <c r="X1004" s="24">
        <f>IF($B1004="","",IF($S1004=WkStart,COUNTIF($S$5:$S1004,WkStart),""))</f>
        <v/>
      </c>
    </row>
    <row r="1005">
      <c r="A1005" s="16">
        <f>IF($B1005="","",ROW()-4)</f>
        <v/>
      </c>
      <c r="B1005" s="17" t="n"/>
      <c r="C1005" s="18" t="n"/>
      <c r="D1005" s="18" t="n"/>
      <c r="E1005" s="19" t="n"/>
      <c r="F1005" s="19" t="n"/>
      <c r="G1005" s="18" t="n"/>
      <c r="H1005" s="18" t="n"/>
      <c r="I1005" s="18" t="n"/>
      <c r="J1005" s="20" t="n"/>
      <c r="K1005" s="21" t="n"/>
      <c r="L1005" s="21" t="n"/>
      <c r="M1005" s="18" t="n"/>
      <c r="N1005" s="22">
        <f>IF($B1005="","",CHOOSE(WEEKDAY($B1005),"الأحد","الاثنين","الثلاثاء","الأربعاء","الخميس","الجمعة","السبت"))</f>
        <v/>
      </c>
      <c r="O1005" s="23">
        <f>IF(OR($K1005="",$L1005=""),"",HYPERLINK("https://maps.google.com/?q="&amp;$K1005&amp;","&amp;$L1005,"عرض الموقع"))</f>
        <v/>
      </c>
      <c r="P1005" s="23">
        <f>IF(OR($B1005="",N($J1005)=0),"",HYPERLINK(PhotoDir&amp;"/"&amp;YEAR($B1005)&amp;"-"&amp;TEXT(MONTH($B1005),"00")&amp;"-"&amp;TEXT(DAY($B1005),"00")&amp;"_"&amp;$D1005,"فتح الصور ("&amp;$J1005&amp;")"))</f>
        <v/>
      </c>
      <c r="Q1005" s="24">
        <f>IF($B1005="","",MONTH($B1005))</f>
        <v/>
      </c>
      <c r="R1005" s="24">
        <f>IF($B1005="","",YEAR($B1005))</f>
        <v/>
      </c>
      <c r="S1005" s="25">
        <f>IF($B1005="","",$B1005-WEEKDAY($B1005,3))</f>
        <v/>
      </c>
      <c r="T1005" s="24">
        <f>IF($B1005="",0,IF(COUNTIFS($B$5:$B1005,$B1005,$D$5:$D1005,$D1005)=1,1,0))</f>
        <v/>
      </c>
      <c r="U1005" s="24">
        <f>IF($B1005="",0,IF(COUNTIFS($B$5:$B1005,$B1005,$C$5:$C1005,$C1005)=1,1,0))</f>
        <v/>
      </c>
      <c r="V1005" s="24">
        <f>IF(OR($B1005="",$G1005="",$G1005="لا توجد مشاهدات"),0,1)</f>
        <v/>
      </c>
      <c r="W1005" s="24">
        <f>IF(AND($B1005&lt;&gt;"",$I1005="تم تحرير مخالفة"),1,0)</f>
        <v/>
      </c>
      <c r="X1005" s="24">
        <f>IF($B1005="","",IF($S1005=WkStart,COUNTIF($S$5:$S1005,WkStart),""))</f>
        <v/>
      </c>
    </row>
    <row r="1006">
      <c r="A1006" s="16">
        <f>IF($B1006="","",ROW()-4)</f>
        <v/>
      </c>
      <c r="B1006" s="17" t="n"/>
      <c r="C1006" s="18" t="n"/>
      <c r="D1006" s="18" t="n"/>
      <c r="E1006" s="19" t="n"/>
      <c r="F1006" s="19" t="n"/>
      <c r="G1006" s="18" t="n"/>
      <c r="H1006" s="18" t="n"/>
      <c r="I1006" s="18" t="n"/>
      <c r="J1006" s="20" t="n"/>
      <c r="K1006" s="21" t="n"/>
      <c r="L1006" s="21" t="n"/>
      <c r="M1006" s="18" t="n"/>
      <c r="N1006" s="22">
        <f>IF($B1006="","",CHOOSE(WEEKDAY($B1006),"الأحد","الاثنين","الثلاثاء","الأربعاء","الخميس","الجمعة","السبت"))</f>
        <v/>
      </c>
      <c r="O1006" s="23">
        <f>IF(OR($K1006="",$L1006=""),"",HYPERLINK("https://maps.google.com/?q="&amp;$K1006&amp;","&amp;$L1006,"عرض الموقع"))</f>
        <v/>
      </c>
      <c r="P1006" s="23">
        <f>IF(OR($B1006="",N($J1006)=0),"",HYPERLINK(PhotoDir&amp;"/"&amp;YEAR($B1006)&amp;"-"&amp;TEXT(MONTH($B1006),"00")&amp;"-"&amp;TEXT(DAY($B1006),"00")&amp;"_"&amp;$D1006,"فتح الصور ("&amp;$J1006&amp;")"))</f>
        <v/>
      </c>
      <c r="Q1006" s="24">
        <f>IF($B1006="","",MONTH($B1006))</f>
        <v/>
      </c>
      <c r="R1006" s="24">
        <f>IF($B1006="","",YEAR($B1006))</f>
        <v/>
      </c>
      <c r="S1006" s="25">
        <f>IF($B1006="","",$B1006-WEEKDAY($B1006,3))</f>
        <v/>
      </c>
      <c r="T1006" s="24">
        <f>IF($B1006="",0,IF(COUNTIFS($B$5:$B1006,$B1006,$D$5:$D1006,$D1006)=1,1,0))</f>
        <v/>
      </c>
      <c r="U1006" s="24">
        <f>IF($B1006="",0,IF(COUNTIFS($B$5:$B1006,$B1006,$C$5:$C1006,$C1006)=1,1,0))</f>
        <v/>
      </c>
      <c r="V1006" s="24">
        <f>IF(OR($B1006="",$G1006="",$G1006="لا توجد مشاهدات"),0,1)</f>
        <v/>
      </c>
      <c r="W1006" s="24">
        <f>IF(AND($B1006&lt;&gt;"",$I1006="تم تحرير مخالفة"),1,0)</f>
        <v/>
      </c>
      <c r="X1006" s="24">
        <f>IF($B1006="","",IF($S1006=WkStart,COUNTIF($S$5:$S1006,WkStart),""))</f>
        <v/>
      </c>
    </row>
    <row r="1007">
      <c r="A1007" s="16">
        <f>IF($B1007="","",ROW()-4)</f>
        <v/>
      </c>
      <c r="B1007" s="17" t="n"/>
      <c r="C1007" s="18" t="n"/>
      <c r="D1007" s="18" t="n"/>
      <c r="E1007" s="19" t="n"/>
      <c r="F1007" s="19" t="n"/>
      <c r="G1007" s="18" t="n"/>
      <c r="H1007" s="18" t="n"/>
      <c r="I1007" s="18" t="n"/>
      <c r="J1007" s="20" t="n"/>
      <c r="K1007" s="21" t="n"/>
      <c r="L1007" s="21" t="n"/>
      <c r="M1007" s="18" t="n"/>
      <c r="N1007" s="22">
        <f>IF($B1007="","",CHOOSE(WEEKDAY($B1007),"الأحد","الاثنين","الثلاثاء","الأربعاء","الخميس","الجمعة","السبت"))</f>
        <v/>
      </c>
      <c r="O1007" s="23">
        <f>IF(OR($K1007="",$L1007=""),"",HYPERLINK("https://maps.google.com/?q="&amp;$K1007&amp;","&amp;$L1007,"عرض الموقع"))</f>
        <v/>
      </c>
      <c r="P1007" s="23">
        <f>IF(OR($B1007="",N($J1007)=0),"",HYPERLINK(PhotoDir&amp;"/"&amp;YEAR($B1007)&amp;"-"&amp;TEXT(MONTH($B1007),"00")&amp;"-"&amp;TEXT(DAY($B1007),"00")&amp;"_"&amp;$D1007,"فتح الصور ("&amp;$J1007&amp;")"))</f>
        <v/>
      </c>
      <c r="Q1007" s="24">
        <f>IF($B1007="","",MONTH($B1007))</f>
        <v/>
      </c>
      <c r="R1007" s="24">
        <f>IF($B1007="","",YEAR($B1007))</f>
        <v/>
      </c>
      <c r="S1007" s="25">
        <f>IF($B1007="","",$B1007-WEEKDAY($B1007,3))</f>
        <v/>
      </c>
      <c r="T1007" s="24">
        <f>IF($B1007="",0,IF(COUNTIFS($B$5:$B1007,$B1007,$D$5:$D1007,$D1007)=1,1,0))</f>
        <v/>
      </c>
      <c r="U1007" s="24">
        <f>IF($B1007="",0,IF(COUNTIFS($B$5:$B1007,$B1007,$C$5:$C1007,$C1007)=1,1,0))</f>
        <v/>
      </c>
      <c r="V1007" s="24">
        <f>IF(OR($B1007="",$G1007="",$G1007="لا توجد مشاهدات"),0,1)</f>
        <v/>
      </c>
      <c r="W1007" s="24">
        <f>IF(AND($B1007&lt;&gt;"",$I1007="تم تحرير مخالفة"),1,0)</f>
        <v/>
      </c>
      <c r="X1007" s="24">
        <f>IF($B1007="","",IF($S1007=WkStart,COUNTIF($S$5:$S1007,WkStart),""))</f>
        <v/>
      </c>
    </row>
    <row r="1008">
      <c r="A1008" s="16">
        <f>IF($B1008="","",ROW()-4)</f>
        <v/>
      </c>
      <c r="B1008" s="17" t="n"/>
      <c r="C1008" s="18" t="n"/>
      <c r="D1008" s="18" t="n"/>
      <c r="E1008" s="19" t="n"/>
      <c r="F1008" s="19" t="n"/>
      <c r="G1008" s="18" t="n"/>
      <c r="H1008" s="18" t="n"/>
      <c r="I1008" s="18" t="n"/>
      <c r="J1008" s="20" t="n"/>
      <c r="K1008" s="21" t="n"/>
      <c r="L1008" s="21" t="n"/>
      <c r="M1008" s="18" t="n"/>
      <c r="N1008" s="22">
        <f>IF($B1008="","",CHOOSE(WEEKDAY($B1008),"الأحد","الاثنين","الثلاثاء","الأربعاء","الخميس","الجمعة","السبت"))</f>
        <v/>
      </c>
      <c r="O1008" s="23">
        <f>IF(OR($K1008="",$L1008=""),"",HYPERLINK("https://maps.google.com/?q="&amp;$K1008&amp;","&amp;$L1008,"عرض الموقع"))</f>
        <v/>
      </c>
      <c r="P1008" s="23">
        <f>IF(OR($B1008="",N($J1008)=0),"",HYPERLINK(PhotoDir&amp;"/"&amp;YEAR($B1008)&amp;"-"&amp;TEXT(MONTH($B1008),"00")&amp;"-"&amp;TEXT(DAY($B1008),"00")&amp;"_"&amp;$D1008,"فتح الصور ("&amp;$J1008&amp;")"))</f>
        <v/>
      </c>
      <c r="Q1008" s="24">
        <f>IF($B1008="","",MONTH($B1008))</f>
        <v/>
      </c>
      <c r="R1008" s="24">
        <f>IF($B1008="","",YEAR($B1008))</f>
        <v/>
      </c>
      <c r="S1008" s="25">
        <f>IF($B1008="","",$B1008-WEEKDAY($B1008,3))</f>
        <v/>
      </c>
      <c r="T1008" s="24">
        <f>IF($B1008="",0,IF(COUNTIFS($B$5:$B1008,$B1008,$D$5:$D1008,$D1008)=1,1,0))</f>
        <v/>
      </c>
      <c r="U1008" s="24">
        <f>IF($B1008="",0,IF(COUNTIFS($B$5:$B1008,$B1008,$C$5:$C1008,$C1008)=1,1,0))</f>
        <v/>
      </c>
      <c r="V1008" s="24">
        <f>IF(OR($B1008="",$G1008="",$G1008="لا توجد مشاهدات"),0,1)</f>
        <v/>
      </c>
      <c r="W1008" s="24">
        <f>IF(AND($B1008&lt;&gt;"",$I1008="تم تحرير مخالفة"),1,0)</f>
        <v/>
      </c>
      <c r="X1008" s="24">
        <f>IF($B1008="","",IF($S1008=WkStart,COUNTIF($S$5:$S1008,WkStart),""))</f>
        <v/>
      </c>
    </row>
    <row r="1009">
      <c r="A1009" s="16">
        <f>IF($B1009="","",ROW()-4)</f>
        <v/>
      </c>
      <c r="B1009" s="17" t="n"/>
      <c r="C1009" s="18" t="n"/>
      <c r="D1009" s="18" t="n"/>
      <c r="E1009" s="19" t="n"/>
      <c r="F1009" s="19" t="n"/>
      <c r="G1009" s="18" t="n"/>
      <c r="H1009" s="18" t="n"/>
      <c r="I1009" s="18" t="n"/>
      <c r="J1009" s="20" t="n"/>
      <c r="K1009" s="21" t="n"/>
      <c r="L1009" s="21" t="n"/>
      <c r="M1009" s="18" t="n"/>
      <c r="N1009" s="22">
        <f>IF($B1009="","",CHOOSE(WEEKDAY($B1009),"الأحد","الاثنين","الثلاثاء","الأربعاء","الخميس","الجمعة","السبت"))</f>
        <v/>
      </c>
      <c r="O1009" s="23">
        <f>IF(OR($K1009="",$L1009=""),"",HYPERLINK("https://maps.google.com/?q="&amp;$K1009&amp;","&amp;$L1009,"عرض الموقع"))</f>
        <v/>
      </c>
      <c r="P1009" s="23">
        <f>IF(OR($B1009="",N($J1009)=0),"",HYPERLINK(PhotoDir&amp;"/"&amp;YEAR($B1009)&amp;"-"&amp;TEXT(MONTH($B1009),"00")&amp;"-"&amp;TEXT(DAY($B1009),"00")&amp;"_"&amp;$D1009,"فتح الصور ("&amp;$J1009&amp;")"))</f>
        <v/>
      </c>
      <c r="Q1009" s="24">
        <f>IF($B1009="","",MONTH($B1009))</f>
        <v/>
      </c>
      <c r="R1009" s="24">
        <f>IF($B1009="","",YEAR($B1009))</f>
        <v/>
      </c>
      <c r="S1009" s="25">
        <f>IF($B1009="","",$B1009-WEEKDAY($B1009,3))</f>
        <v/>
      </c>
      <c r="T1009" s="24">
        <f>IF($B1009="",0,IF(COUNTIFS($B$5:$B1009,$B1009,$D$5:$D1009,$D1009)=1,1,0))</f>
        <v/>
      </c>
      <c r="U1009" s="24">
        <f>IF($B1009="",0,IF(COUNTIFS($B$5:$B1009,$B1009,$C$5:$C1009,$C1009)=1,1,0))</f>
        <v/>
      </c>
      <c r="V1009" s="24">
        <f>IF(OR($B1009="",$G1009="",$G1009="لا توجد مشاهدات"),0,1)</f>
        <v/>
      </c>
      <c r="W1009" s="24">
        <f>IF(AND($B1009&lt;&gt;"",$I1009="تم تحرير مخالفة"),1,0)</f>
        <v/>
      </c>
      <c r="X1009" s="24">
        <f>IF($B1009="","",IF($S1009=WkStart,COUNTIF($S$5:$S1009,WkStart),""))</f>
        <v/>
      </c>
    </row>
    <row r="1010">
      <c r="A1010" s="16">
        <f>IF($B1010="","",ROW()-4)</f>
        <v/>
      </c>
      <c r="B1010" s="17" t="n"/>
      <c r="C1010" s="18" t="n"/>
      <c r="D1010" s="18" t="n"/>
      <c r="E1010" s="19" t="n"/>
      <c r="F1010" s="19" t="n"/>
      <c r="G1010" s="18" t="n"/>
      <c r="H1010" s="18" t="n"/>
      <c r="I1010" s="18" t="n"/>
      <c r="J1010" s="20" t="n"/>
      <c r="K1010" s="21" t="n"/>
      <c r="L1010" s="21" t="n"/>
      <c r="M1010" s="18" t="n"/>
      <c r="N1010" s="22">
        <f>IF($B1010="","",CHOOSE(WEEKDAY($B1010),"الأحد","الاثنين","الثلاثاء","الأربعاء","الخميس","الجمعة","السبت"))</f>
        <v/>
      </c>
      <c r="O1010" s="23">
        <f>IF(OR($K1010="",$L1010=""),"",HYPERLINK("https://maps.google.com/?q="&amp;$K1010&amp;","&amp;$L1010,"عرض الموقع"))</f>
        <v/>
      </c>
      <c r="P1010" s="23">
        <f>IF(OR($B1010="",N($J1010)=0),"",HYPERLINK(PhotoDir&amp;"/"&amp;YEAR($B1010)&amp;"-"&amp;TEXT(MONTH($B1010),"00")&amp;"-"&amp;TEXT(DAY($B1010),"00")&amp;"_"&amp;$D1010,"فتح الصور ("&amp;$J1010&amp;")"))</f>
        <v/>
      </c>
      <c r="Q1010" s="24">
        <f>IF($B1010="","",MONTH($B1010))</f>
        <v/>
      </c>
      <c r="R1010" s="24">
        <f>IF($B1010="","",YEAR($B1010))</f>
        <v/>
      </c>
      <c r="S1010" s="25">
        <f>IF($B1010="","",$B1010-WEEKDAY($B1010,3))</f>
        <v/>
      </c>
      <c r="T1010" s="24">
        <f>IF($B1010="",0,IF(COUNTIFS($B$5:$B1010,$B1010,$D$5:$D1010,$D1010)=1,1,0))</f>
        <v/>
      </c>
      <c r="U1010" s="24">
        <f>IF($B1010="",0,IF(COUNTIFS($B$5:$B1010,$B1010,$C$5:$C1010,$C1010)=1,1,0))</f>
        <v/>
      </c>
      <c r="V1010" s="24">
        <f>IF(OR($B1010="",$G1010="",$G1010="لا توجد مشاهدات"),0,1)</f>
        <v/>
      </c>
      <c r="W1010" s="24">
        <f>IF(AND($B1010&lt;&gt;"",$I1010="تم تحرير مخالفة"),1,0)</f>
        <v/>
      </c>
      <c r="X1010" s="24">
        <f>IF($B1010="","",IF($S1010=WkStart,COUNTIF($S$5:$S1010,WkStart),""))</f>
        <v/>
      </c>
    </row>
    <row r="1011">
      <c r="A1011" s="16">
        <f>IF($B1011="","",ROW()-4)</f>
        <v/>
      </c>
      <c r="B1011" s="17" t="n"/>
      <c r="C1011" s="18" t="n"/>
      <c r="D1011" s="18" t="n"/>
      <c r="E1011" s="19" t="n"/>
      <c r="F1011" s="19" t="n"/>
      <c r="G1011" s="18" t="n"/>
      <c r="H1011" s="18" t="n"/>
      <c r="I1011" s="18" t="n"/>
      <c r="J1011" s="20" t="n"/>
      <c r="K1011" s="21" t="n"/>
      <c r="L1011" s="21" t="n"/>
      <c r="M1011" s="18" t="n"/>
      <c r="N1011" s="22">
        <f>IF($B1011="","",CHOOSE(WEEKDAY($B1011),"الأحد","الاثنين","الثلاثاء","الأربعاء","الخميس","الجمعة","السبت"))</f>
        <v/>
      </c>
      <c r="O1011" s="23">
        <f>IF(OR($K1011="",$L1011=""),"",HYPERLINK("https://maps.google.com/?q="&amp;$K1011&amp;","&amp;$L1011,"عرض الموقع"))</f>
        <v/>
      </c>
      <c r="P1011" s="23">
        <f>IF(OR($B1011="",N($J1011)=0),"",HYPERLINK(PhotoDir&amp;"/"&amp;YEAR($B1011)&amp;"-"&amp;TEXT(MONTH($B1011),"00")&amp;"-"&amp;TEXT(DAY($B1011),"00")&amp;"_"&amp;$D1011,"فتح الصور ("&amp;$J1011&amp;")"))</f>
        <v/>
      </c>
      <c r="Q1011" s="24">
        <f>IF($B1011="","",MONTH($B1011))</f>
        <v/>
      </c>
      <c r="R1011" s="24">
        <f>IF($B1011="","",YEAR($B1011))</f>
        <v/>
      </c>
      <c r="S1011" s="25">
        <f>IF($B1011="","",$B1011-WEEKDAY($B1011,3))</f>
        <v/>
      </c>
      <c r="T1011" s="24">
        <f>IF($B1011="",0,IF(COUNTIFS($B$5:$B1011,$B1011,$D$5:$D1011,$D1011)=1,1,0))</f>
        <v/>
      </c>
      <c r="U1011" s="24">
        <f>IF($B1011="",0,IF(COUNTIFS($B$5:$B1011,$B1011,$C$5:$C1011,$C1011)=1,1,0))</f>
        <v/>
      </c>
      <c r="V1011" s="24">
        <f>IF(OR($B1011="",$G1011="",$G1011="لا توجد مشاهدات"),0,1)</f>
        <v/>
      </c>
      <c r="W1011" s="24">
        <f>IF(AND($B1011&lt;&gt;"",$I1011="تم تحرير مخالفة"),1,0)</f>
        <v/>
      </c>
      <c r="X1011" s="24">
        <f>IF($B1011="","",IF($S1011=WkStart,COUNTIF($S$5:$S1011,WkStart),""))</f>
        <v/>
      </c>
    </row>
    <row r="1012">
      <c r="A1012" s="16">
        <f>IF($B1012="","",ROW()-4)</f>
        <v/>
      </c>
      <c r="B1012" s="17" t="n"/>
      <c r="C1012" s="18" t="n"/>
      <c r="D1012" s="18" t="n"/>
      <c r="E1012" s="19" t="n"/>
      <c r="F1012" s="19" t="n"/>
      <c r="G1012" s="18" t="n"/>
      <c r="H1012" s="18" t="n"/>
      <c r="I1012" s="18" t="n"/>
      <c r="J1012" s="20" t="n"/>
      <c r="K1012" s="21" t="n"/>
      <c r="L1012" s="21" t="n"/>
      <c r="M1012" s="18" t="n"/>
      <c r="N1012" s="22">
        <f>IF($B1012="","",CHOOSE(WEEKDAY($B1012),"الأحد","الاثنين","الثلاثاء","الأربعاء","الخميس","الجمعة","السبت"))</f>
        <v/>
      </c>
      <c r="O1012" s="23">
        <f>IF(OR($K1012="",$L1012=""),"",HYPERLINK("https://maps.google.com/?q="&amp;$K1012&amp;","&amp;$L1012,"عرض الموقع"))</f>
        <v/>
      </c>
      <c r="P1012" s="23">
        <f>IF(OR($B1012="",N($J1012)=0),"",HYPERLINK(PhotoDir&amp;"/"&amp;YEAR($B1012)&amp;"-"&amp;TEXT(MONTH($B1012),"00")&amp;"-"&amp;TEXT(DAY($B1012),"00")&amp;"_"&amp;$D1012,"فتح الصور ("&amp;$J1012&amp;")"))</f>
        <v/>
      </c>
      <c r="Q1012" s="24">
        <f>IF($B1012="","",MONTH($B1012))</f>
        <v/>
      </c>
      <c r="R1012" s="24">
        <f>IF($B1012="","",YEAR($B1012))</f>
        <v/>
      </c>
      <c r="S1012" s="25">
        <f>IF($B1012="","",$B1012-WEEKDAY($B1012,3))</f>
        <v/>
      </c>
      <c r="T1012" s="24">
        <f>IF($B1012="",0,IF(COUNTIFS($B$5:$B1012,$B1012,$D$5:$D1012,$D1012)=1,1,0))</f>
        <v/>
      </c>
      <c r="U1012" s="24">
        <f>IF($B1012="",0,IF(COUNTIFS($B$5:$B1012,$B1012,$C$5:$C1012,$C1012)=1,1,0))</f>
        <v/>
      </c>
      <c r="V1012" s="24">
        <f>IF(OR($B1012="",$G1012="",$G1012="لا توجد مشاهدات"),0,1)</f>
        <v/>
      </c>
      <c r="W1012" s="24">
        <f>IF(AND($B1012&lt;&gt;"",$I1012="تم تحرير مخالفة"),1,0)</f>
        <v/>
      </c>
      <c r="X1012" s="24">
        <f>IF($B1012="","",IF($S1012=WkStart,COUNTIF($S$5:$S1012,WkStart),""))</f>
        <v/>
      </c>
    </row>
    <row r="1013">
      <c r="A1013" s="16">
        <f>IF($B1013="","",ROW()-4)</f>
        <v/>
      </c>
      <c r="B1013" s="17" t="n"/>
      <c r="C1013" s="18" t="n"/>
      <c r="D1013" s="18" t="n"/>
      <c r="E1013" s="19" t="n"/>
      <c r="F1013" s="19" t="n"/>
      <c r="G1013" s="18" t="n"/>
      <c r="H1013" s="18" t="n"/>
      <c r="I1013" s="18" t="n"/>
      <c r="J1013" s="20" t="n"/>
      <c r="K1013" s="21" t="n"/>
      <c r="L1013" s="21" t="n"/>
      <c r="M1013" s="18" t="n"/>
      <c r="N1013" s="22">
        <f>IF($B1013="","",CHOOSE(WEEKDAY($B1013),"الأحد","الاثنين","الثلاثاء","الأربعاء","الخميس","الجمعة","السبت"))</f>
        <v/>
      </c>
      <c r="O1013" s="23">
        <f>IF(OR($K1013="",$L1013=""),"",HYPERLINK("https://maps.google.com/?q="&amp;$K1013&amp;","&amp;$L1013,"عرض الموقع"))</f>
        <v/>
      </c>
      <c r="P1013" s="23">
        <f>IF(OR($B1013="",N($J1013)=0),"",HYPERLINK(PhotoDir&amp;"/"&amp;YEAR($B1013)&amp;"-"&amp;TEXT(MONTH($B1013),"00")&amp;"-"&amp;TEXT(DAY($B1013),"00")&amp;"_"&amp;$D1013,"فتح الصور ("&amp;$J1013&amp;")"))</f>
        <v/>
      </c>
      <c r="Q1013" s="24">
        <f>IF($B1013="","",MONTH($B1013))</f>
        <v/>
      </c>
      <c r="R1013" s="24">
        <f>IF($B1013="","",YEAR($B1013))</f>
        <v/>
      </c>
      <c r="S1013" s="25">
        <f>IF($B1013="","",$B1013-WEEKDAY($B1013,3))</f>
        <v/>
      </c>
      <c r="T1013" s="24">
        <f>IF($B1013="",0,IF(COUNTIFS($B$5:$B1013,$B1013,$D$5:$D1013,$D1013)=1,1,0))</f>
        <v/>
      </c>
      <c r="U1013" s="24">
        <f>IF($B1013="",0,IF(COUNTIFS($B$5:$B1013,$B1013,$C$5:$C1013,$C1013)=1,1,0))</f>
        <v/>
      </c>
      <c r="V1013" s="24">
        <f>IF(OR($B1013="",$G1013="",$G1013="لا توجد مشاهدات"),0,1)</f>
        <v/>
      </c>
      <c r="W1013" s="24">
        <f>IF(AND($B1013&lt;&gt;"",$I1013="تم تحرير مخالفة"),1,0)</f>
        <v/>
      </c>
      <c r="X1013" s="24">
        <f>IF($B1013="","",IF($S1013=WkStart,COUNTIF($S$5:$S1013,WkStart),""))</f>
        <v/>
      </c>
    </row>
    <row r="1014">
      <c r="A1014" s="16">
        <f>IF($B1014="","",ROW()-4)</f>
        <v/>
      </c>
      <c r="B1014" s="17" t="n"/>
      <c r="C1014" s="18" t="n"/>
      <c r="D1014" s="18" t="n"/>
      <c r="E1014" s="19" t="n"/>
      <c r="F1014" s="19" t="n"/>
      <c r="G1014" s="18" t="n"/>
      <c r="H1014" s="18" t="n"/>
      <c r="I1014" s="18" t="n"/>
      <c r="J1014" s="20" t="n"/>
      <c r="K1014" s="21" t="n"/>
      <c r="L1014" s="21" t="n"/>
      <c r="M1014" s="18" t="n"/>
      <c r="N1014" s="22">
        <f>IF($B1014="","",CHOOSE(WEEKDAY($B1014),"الأحد","الاثنين","الثلاثاء","الأربعاء","الخميس","الجمعة","السبت"))</f>
        <v/>
      </c>
      <c r="O1014" s="23">
        <f>IF(OR($K1014="",$L1014=""),"",HYPERLINK("https://maps.google.com/?q="&amp;$K1014&amp;","&amp;$L1014,"عرض الموقع"))</f>
        <v/>
      </c>
      <c r="P1014" s="23">
        <f>IF(OR($B1014="",N($J1014)=0),"",HYPERLINK(PhotoDir&amp;"/"&amp;YEAR($B1014)&amp;"-"&amp;TEXT(MONTH($B1014),"00")&amp;"-"&amp;TEXT(DAY($B1014),"00")&amp;"_"&amp;$D1014,"فتح الصور ("&amp;$J1014&amp;")"))</f>
        <v/>
      </c>
      <c r="Q1014" s="24">
        <f>IF($B1014="","",MONTH($B1014))</f>
        <v/>
      </c>
      <c r="R1014" s="24">
        <f>IF($B1014="","",YEAR($B1014))</f>
        <v/>
      </c>
      <c r="S1014" s="25">
        <f>IF($B1014="","",$B1014-WEEKDAY($B1014,3))</f>
        <v/>
      </c>
      <c r="T1014" s="24">
        <f>IF($B1014="",0,IF(COUNTIFS($B$5:$B1014,$B1014,$D$5:$D1014,$D1014)=1,1,0))</f>
        <v/>
      </c>
      <c r="U1014" s="24">
        <f>IF($B1014="",0,IF(COUNTIFS($B$5:$B1014,$B1014,$C$5:$C1014,$C1014)=1,1,0))</f>
        <v/>
      </c>
      <c r="V1014" s="24">
        <f>IF(OR($B1014="",$G1014="",$G1014="لا توجد مشاهدات"),0,1)</f>
        <v/>
      </c>
      <c r="W1014" s="24">
        <f>IF(AND($B1014&lt;&gt;"",$I1014="تم تحرير مخالفة"),1,0)</f>
        <v/>
      </c>
      <c r="X1014" s="24">
        <f>IF($B1014="","",IF($S1014=WkStart,COUNTIF($S$5:$S1014,WkStart),""))</f>
        <v/>
      </c>
    </row>
    <row r="1015">
      <c r="A1015" s="16">
        <f>IF($B1015="","",ROW()-4)</f>
        <v/>
      </c>
      <c r="B1015" s="17" t="n"/>
      <c r="C1015" s="18" t="n"/>
      <c r="D1015" s="18" t="n"/>
      <c r="E1015" s="19" t="n"/>
      <c r="F1015" s="19" t="n"/>
      <c r="G1015" s="18" t="n"/>
      <c r="H1015" s="18" t="n"/>
      <c r="I1015" s="18" t="n"/>
      <c r="J1015" s="20" t="n"/>
      <c r="K1015" s="21" t="n"/>
      <c r="L1015" s="21" t="n"/>
      <c r="M1015" s="18" t="n"/>
      <c r="N1015" s="22">
        <f>IF($B1015="","",CHOOSE(WEEKDAY($B1015),"الأحد","الاثنين","الثلاثاء","الأربعاء","الخميس","الجمعة","السبت"))</f>
        <v/>
      </c>
      <c r="O1015" s="23">
        <f>IF(OR($K1015="",$L1015=""),"",HYPERLINK("https://maps.google.com/?q="&amp;$K1015&amp;","&amp;$L1015,"عرض الموقع"))</f>
        <v/>
      </c>
      <c r="P1015" s="23">
        <f>IF(OR($B1015="",N($J1015)=0),"",HYPERLINK(PhotoDir&amp;"/"&amp;YEAR($B1015)&amp;"-"&amp;TEXT(MONTH($B1015),"00")&amp;"-"&amp;TEXT(DAY($B1015),"00")&amp;"_"&amp;$D1015,"فتح الصور ("&amp;$J1015&amp;")"))</f>
        <v/>
      </c>
      <c r="Q1015" s="24">
        <f>IF($B1015="","",MONTH($B1015))</f>
        <v/>
      </c>
      <c r="R1015" s="24">
        <f>IF($B1015="","",YEAR($B1015))</f>
        <v/>
      </c>
      <c r="S1015" s="25">
        <f>IF($B1015="","",$B1015-WEEKDAY($B1015,3))</f>
        <v/>
      </c>
      <c r="T1015" s="24">
        <f>IF($B1015="",0,IF(COUNTIFS($B$5:$B1015,$B1015,$D$5:$D1015,$D1015)=1,1,0))</f>
        <v/>
      </c>
      <c r="U1015" s="24">
        <f>IF($B1015="",0,IF(COUNTIFS($B$5:$B1015,$B1015,$C$5:$C1015,$C1015)=1,1,0))</f>
        <v/>
      </c>
      <c r="V1015" s="24">
        <f>IF(OR($B1015="",$G1015="",$G1015="لا توجد مشاهدات"),0,1)</f>
        <v/>
      </c>
      <c r="W1015" s="24">
        <f>IF(AND($B1015&lt;&gt;"",$I1015="تم تحرير مخالفة"),1,0)</f>
        <v/>
      </c>
      <c r="X1015" s="24">
        <f>IF($B1015="","",IF($S1015=WkStart,COUNTIF($S$5:$S1015,WkStart),""))</f>
        <v/>
      </c>
    </row>
    <row r="1016">
      <c r="A1016" s="16">
        <f>IF($B1016="","",ROW()-4)</f>
        <v/>
      </c>
      <c r="B1016" s="17" t="n"/>
      <c r="C1016" s="18" t="n"/>
      <c r="D1016" s="18" t="n"/>
      <c r="E1016" s="19" t="n"/>
      <c r="F1016" s="19" t="n"/>
      <c r="G1016" s="18" t="n"/>
      <c r="H1016" s="18" t="n"/>
      <c r="I1016" s="18" t="n"/>
      <c r="J1016" s="20" t="n"/>
      <c r="K1016" s="21" t="n"/>
      <c r="L1016" s="21" t="n"/>
      <c r="M1016" s="18" t="n"/>
      <c r="N1016" s="22">
        <f>IF($B1016="","",CHOOSE(WEEKDAY($B1016),"الأحد","الاثنين","الثلاثاء","الأربعاء","الخميس","الجمعة","السبت"))</f>
        <v/>
      </c>
      <c r="O1016" s="23">
        <f>IF(OR($K1016="",$L1016=""),"",HYPERLINK("https://maps.google.com/?q="&amp;$K1016&amp;","&amp;$L1016,"عرض الموقع"))</f>
        <v/>
      </c>
      <c r="P1016" s="23">
        <f>IF(OR($B1016="",N($J1016)=0),"",HYPERLINK(PhotoDir&amp;"/"&amp;YEAR($B1016)&amp;"-"&amp;TEXT(MONTH($B1016),"00")&amp;"-"&amp;TEXT(DAY($B1016),"00")&amp;"_"&amp;$D1016,"فتح الصور ("&amp;$J1016&amp;")"))</f>
        <v/>
      </c>
      <c r="Q1016" s="24">
        <f>IF($B1016="","",MONTH($B1016))</f>
        <v/>
      </c>
      <c r="R1016" s="24">
        <f>IF($B1016="","",YEAR($B1016))</f>
        <v/>
      </c>
      <c r="S1016" s="25">
        <f>IF($B1016="","",$B1016-WEEKDAY($B1016,3))</f>
        <v/>
      </c>
      <c r="T1016" s="24">
        <f>IF($B1016="",0,IF(COUNTIFS($B$5:$B1016,$B1016,$D$5:$D1016,$D1016)=1,1,0))</f>
        <v/>
      </c>
      <c r="U1016" s="24">
        <f>IF($B1016="",0,IF(COUNTIFS($B$5:$B1016,$B1016,$C$5:$C1016,$C1016)=1,1,0))</f>
        <v/>
      </c>
      <c r="V1016" s="24">
        <f>IF(OR($B1016="",$G1016="",$G1016="لا توجد مشاهدات"),0,1)</f>
        <v/>
      </c>
      <c r="W1016" s="24">
        <f>IF(AND($B1016&lt;&gt;"",$I1016="تم تحرير مخالفة"),1,0)</f>
        <v/>
      </c>
      <c r="X1016" s="24">
        <f>IF($B1016="","",IF($S1016=WkStart,COUNTIF($S$5:$S1016,WkStart),""))</f>
        <v/>
      </c>
    </row>
    <row r="1017">
      <c r="A1017" s="16">
        <f>IF($B1017="","",ROW()-4)</f>
        <v/>
      </c>
      <c r="B1017" s="17" t="n"/>
      <c r="C1017" s="18" t="n"/>
      <c r="D1017" s="18" t="n"/>
      <c r="E1017" s="19" t="n"/>
      <c r="F1017" s="19" t="n"/>
      <c r="G1017" s="18" t="n"/>
      <c r="H1017" s="18" t="n"/>
      <c r="I1017" s="18" t="n"/>
      <c r="J1017" s="20" t="n"/>
      <c r="K1017" s="21" t="n"/>
      <c r="L1017" s="21" t="n"/>
      <c r="M1017" s="18" t="n"/>
      <c r="N1017" s="22">
        <f>IF($B1017="","",CHOOSE(WEEKDAY($B1017),"الأحد","الاثنين","الثلاثاء","الأربعاء","الخميس","الجمعة","السبت"))</f>
        <v/>
      </c>
      <c r="O1017" s="23">
        <f>IF(OR($K1017="",$L1017=""),"",HYPERLINK("https://maps.google.com/?q="&amp;$K1017&amp;","&amp;$L1017,"عرض الموقع"))</f>
        <v/>
      </c>
      <c r="P1017" s="23">
        <f>IF(OR($B1017="",N($J1017)=0),"",HYPERLINK(PhotoDir&amp;"/"&amp;YEAR($B1017)&amp;"-"&amp;TEXT(MONTH($B1017),"00")&amp;"-"&amp;TEXT(DAY($B1017),"00")&amp;"_"&amp;$D1017,"فتح الصور ("&amp;$J1017&amp;")"))</f>
        <v/>
      </c>
      <c r="Q1017" s="24">
        <f>IF($B1017="","",MONTH($B1017))</f>
        <v/>
      </c>
      <c r="R1017" s="24">
        <f>IF($B1017="","",YEAR($B1017))</f>
        <v/>
      </c>
      <c r="S1017" s="25">
        <f>IF($B1017="","",$B1017-WEEKDAY($B1017,3))</f>
        <v/>
      </c>
      <c r="T1017" s="24">
        <f>IF($B1017="",0,IF(COUNTIFS($B$5:$B1017,$B1017,$D$5:$D1017,$D1017)=1,1,0))</f>
        <v/>
      </c>
      <c r="U1017" s="24">
        <f>IF($B1017="",0,IF(COUNTIFS($B$5:$B1017,$B1017,$C$5:$C1017,$C1017)=1,1,0))</f>
        <v/>
      </c>
      <c r="V1017" s="24">
        <f>IF(OR($B1017="",$G1017="",$G1017="لا توجد مشاهدات"),0,1)</f>
        <v/>
      </c>
      <c r="W1017" s="24">
        <f>IF(AND($B1017&lt;&gt;"",$I1017="تم تحرير مخالفة"),1,0)</f>
        <v/>
      </c>
      <c r="X1017" s="24">
        <f>IF($B1017="","",IF($S1017=WkStart,COUNTIF($S$5:$S1017,WkStart),""))</f>
        <v/>
      </c>
    </row>
    <row r="1018">
      <c r="A1018" s="16">
        <f>IF($B1018="","",ROW()-4)</f>
        <v/>
      </c>
      <c r="B1018" s="17" t="n"/>
      <c r="C1018" s="18" t="n"/>
      <c r="D1018" s="18" t="n"/>
      <c r="E1018" s="19" t="n"/>
      <c r="F1018" s="19" t="n"/>
      <c r="G1018" s="18" t="n"/>
      <c r="H1018" s="18" t="n"/>
      <c r="I1018" s="18" t="n"/>
      <c r="J1018" s="20" t="n"/>
      <c r="K1018" s="21" t="n"/>
      <c r="L1018" s="21" t="n"/>
      <c r="M1018" s="18" t="n"/>
      <c r="N1018" s="22">
        <f>IF($B1018="","",CHOOSE(WEEKDAY($B1018),"الأحد","الاثنين","الثلاثاء","الأربعاء","الخميس","الجمعة","السبت"))</f>
        <v/>
      </c>
      <c r="O1018" s="23">
        <f>IF(OR($K1018="",$L1018=""),"",HYPERLINK("https://maps.google.com/?q="&amp;$K1018&amp;","&amp;$L1018,"عرض الموقع"))</f>
        <v/>
      </c>
      <c r="P1018" s="23">
        <f>IF(OR($B1018="",N($J1018)=0),"",HYPERLINK(PhotoDir&amp;"/"&amp;YEAR($B1018)&amp;"-"&amp;TEXT(MONTH($B1018),"00")&amp;"-"&amp;TEXT(DAY($B1018),"00")&amp;"_"&amp;$D1018,"فتح الصور ("&amp;$J1018&amp;")"))</f>
        <v/>
      </c>
      <c r="Q1018" s="24">
        <f>IF($B1018="","",MONTH($B1018))</f>
        <v/>
      </c>
      <c r="R1018" s="24">
        <f>IF($B1018="","",YEAR($B1018))</f>
        <v/>
      </c>
      <c r="S1018" s="25">
        <f>IF($B1018="","",$B1018-WEEKDAY($B1018,3))</f>
        <v/>
      </c>
      <c r="T1018" s="24">
        <f>IF($B1018="",0,IF(COUNTIFS($B$5:$B1018,$B1018,$D$5:$D1018,$D1018)=1,1,0))</f>
        <v/>
      </c>
      <c r="U1018" s="24">
        <f>IF($B1018="",0,IF(COUNTIFS($B$5:$B1018,$B1018,$C$5:$C1018,$C1018)=1,1,0))</f>
        <v/>
      </c>
      <c r="V1018" s="24">
        <f>IF(OR($B1018="",$G1018="",$G1018="لا توجد مشاهدات"),0,1)</f>
        <v/>
      </c>
      <c r="W1018" s="24">
        <f>IF(AND($B1018&lt;&gt;"",$I1018="تم تحرير مخالفة"),1,0)</f>
        <v/>
      </c>
      <c r="X1018" s="24">
        <f>IF($B1018="","",IF($S1018=WkStart,COUNTIF($S$5:$S1018,WkStart),""))</f>
        <v/>
      </c>
    </row>
    <row r="1019">
      <c r="A1019" s="16">
        <f>IF($B1019="","",ROW()-4)</f>
        <v/>
      </c>
      <c r="B1019" s="17" t="n"/>
      <c r="C1019" s="18" t="n"/>
      <c r="D1019" s="18" t="n"/>
      <c r="E1019" s="19" t="n"/>
      <c r="F1019" s="19" t="n"/>
      <c r="G1019" s="18" t="n"/>
      <c r="H1019" s="18" t="n"/>
      <c r="I1019" s="18" t="n"/>
      <c r="J1019" s="20" t="n"/>
      <c r="K1019" s="21" t="n"/>
      <c r="L1019" s="21" t="n"/>
      <c r="M1019" s="18" t="n"/>
      <c r="N1019" s="22">
        <f>IF($B1019="","",CHOOSE(WEEKDAY($B1019),"الأحد","الاثنين","الثلاثاء","الأربعاء","الخميس","الجمعة","السبت"))</f>
        <v/>
      </c>
      <c r="O1019" s="23">
        <f>IF(OR($K1019="",$L1019=""),"",HYPERLINK("https://maps.google.com/?q="&amp;$K1019&amp;","&amp;$L1019,"عرض الموقع"))</f>
        <v/>
      </c>
      <c r="P1019" s="23">
        <f>IF(OR($B1019="",N($J1019)=0),"",HYPERLINK(PhotoDir&amp;"/"&amp;YEAR($B1019)&amp;"-"&amp;TEXT(MONTH($B1019),"00")&amp;"-"&amp;TEXT(DAY($B1019),"00")&amp;"_"&amp;$D1019,"فتح الصور ("&amp;$J1019&amp;")"))</f>
        <v/>
      </c>
      <c r="Q1019" s="24">
        <f>IF($B1019="","",MONTH($B1019))</f>
        <v/>
      </c>
      <c r="R1019" s="24">
        <f>IF($B1019="","",YEAR($B1019))</f>
        <v/>
      </c>
      <c r="S1019" s="25">
        <f>IF($B1019="","",$B1019-WEEKDAY($B1019,3))</f>
        <v/>
      </c>
      <c r="T1019" s="24">
        <f>IF($B1019="",0,IF(COUNTIFS($B$5:$B1019,$B1019,$D$5:$D1019,$D1019)=1,1,0))</f>
        <v/>
      </c>
      <c r="U1019" s="24">
        <f>IF($B1019="",0,IF(COUNTIFS($B$5:$B1019,$B1019,$C$5:$C1019,$C1019)=1,1,0))</f>
        <v/>
      </c>
      <c r="V1019" s="24">
        <f>IF(OR($B1019="",$G1019="",$G1019="لا توجد مشاهدات"),0,1)</f>
        <v/>
      </c>
      <c r="W1019" s="24">
        <f>IF(AND($B1019&lt;&gt;"",$I1019="تم تحرير مخالفة"),1,0)</f>
        <v/>
      </c>
      <c r="X1019" s="24">
        <f>IF($B1019="","",IF($S1019=WkStart,COUNTIF($S$5:$S1019,WkStart),""))</f>
        <v/>
      </c>
    </row>
    <row r="1020">
      <c r="A1020" s="16">
        <f>IF($B1020="","",ROW()-4)</f>
        <v/>
      </c>
      <c r="B1020" s="17" t="n"/>
      <c r="C1020" s="18" t="n"/>
      <c r="D1020" s="18" t="n"/>
      <c r="E1020" s="19" t="n"/>
      <c r="F1020" s="19" t="n"/>
      <c r="G1020" s="18" t="n"/>
      <c r="H1020" s="18" t="n"/>
      <c r="I1020" s="18" t="n"/>
      <c r="J1020" s="20" t="n"/>
      <c r="K1020" s="21" t="n"/>
      <c r="L1020" s="21" t="n"/>
      <c r="M1020" s="18" t="n"/>
      <c r="N1020" s="22">
        <f>IF($B1020="","",CHOOSE(WEEKDAY($B1020),"الأحد","الاثنين","الثلاثاء","الأربعاء","الخميس","الجمعة","السبت"))</f>
        <v/>
      </c>
      <c r="O1020" s="23">
        <f>IF(OR($K1020="",$L1020=""),"",HYPERLINK("https://maps.google.com/?q="&amp;$K1020&amp;","&amp;$L1020,"عرض الموقع"))</f>
        <v/>
      </c>
      <c r="P1020" s="23">
        <f>IF(OR($B1020="",N($J1020)=0),"",HYPERLINK(PhotoDir&amp;"/"&amp;YEAR($B1020)&amp;"-"&amp;TEXT(MONTH($B1020),"00")&amp;"-"&amp;TEXT(DAY($B1020),"00")&amp;"_"&amp;$D1020,"فتح الصور ("&amp;$J1020&amp;")"))</f>
        <v/>
      </c>
      <c r="Q1020" s="24">
        <f>IF($B1020="","",MONTH($B1020))</f>
        <v/>
      </c>
      <c r="R1020" s="24">
        <f>IF($B1020="","",YEAR($B1020))</f>
        <v/>
      </c>
      <c r="S1020" s="25">
        <f>IF($B1020="","",$B1020-WEEKDAY($B1020,3))</f>
        <v/>
      </c>
      <c r="T1020" s="24">
        <f>IF($B1020="",0,IF(COUNTIFS($B$5:$B1020,$B1020,$D$5:$D1020,$D1020)=1,1,0))</f>
        <v/>
      </c>
      <c r="U1020" s="24">
        <f>IF($B1020="",0,IF(COUNTIFS($B$5:$B1020,$B1020,$C$5:$C1020,$C1020)=1,1,0))</f>
        <v/>
      </c>
      <c r="V1020" s="24">
        <f>IF(OR($B1020="",$G1020="",$G1020="لا توجد مشاهدات"),0,1)</f>
        <v/>
      </c>
      <c r="W1020" s="24">
        <f>IF(AND($B1020&lt;&gt;"",$I1020="تم تحرير مخالفة"),1,0)</f>
        <v/>
      </c>
      <c r="X1020" s="24">
        <f>IF($B1020="","",IF($S1020=WkStart,COUNTIF($S$5:$S1020,WkStart),""))</f>
        <v/>
      </c>
    </row>
    <row r="1021">
      <c r="A1021" s="16">
        <f>IF($B1021="","",ROW()-4)</f>
        <v/>
      </c>
      <c r="B1021" s="17" t="n"/>
      <c r="C1021" s="18" t="n"/>
      <c r="D1021" s="18" t="n"/>
      <c r="E1021" s="19" t="n"/>
      <c r="F1021" s="19" t="n"/>
      <c r="G1021" s="18" t="n"/>
      <c r="H1021" s="18" t="n"/>
      <c r="I1021" s="18" t="n"/>
      <c r="J1021" s="20" t="n"/>
      <c r="K1021" s="21" t="n"/>
      <c r="L1021" s="21" t="n"/>
      <c r="M1021" s="18" t="n"/>
      <c r="N1021" s="22">
        <f>IF($B1021="","",CHOOSE(WEEKDAY($B1021),"الأحد","الاثنين","الثلاثاء","الأربعاء","الخميس","الجمعة","السبت"))</f>
        <v/>
      </c>
      <c r="O1021" s="23">
        <f>IF(OR($K1021="",$L1021=""),"",HYPERLINK("https://maps.google.com/?q="&amp;$K1021&amp;","&amp;$L1021,"عرض الموقع"))</f>
        <v/>
      </c>
      <c r="P1021" s="23">
        <f>IF(OR($B1021="",N($J1021)=0),"",HYPERLINK(PhotoDir&amp;"/"&amp;YEAR($B1021)&amp;"-"&amp;TEXT(MONTH($B1021),"00")&amp;"-"&amp;TEXT(DAY($B1021),"00")&amp;"_"&amp;$D1021,"فتح الصور ("&amp;$J1021&amp;")"))</f>
        <v/>
      </c>
      <c r="Q1021" s="24">
        <f>IF($B1021="","",MONTH($B1021))</f>
        <v/>
      </c>
      <c r="R1021" s="24">
        <f>IF($B1021="","",YEAR($B1021))</f>
        <v/>
      </c>
      <c r="S1021" s="25">
        <f>IF($B1021="","",$B1021-WEEKDAY($B1021,3))</f>
        <v/>
      </c>
      <c r="T1021" s="24">
        <f>IF($B1021="",0,IF(COUNTIFS($B$5:$B1021,$B1021,$D$5:$D1021,$D1021)=1,1,0))</f>
        <v/>
      </c>
      <c r="U1021" s="24">
        <f>IF($B1021="",0,IF(COUNTIFS($B$5:$B1021,$B1021,$C$5:$C1021,$C1021)=1,1,0))</f>
        <v/>
      </c>
      <c r="V1021" s="24">
        <f>IF(OR($B1021="",$G1021="",$G1021="لا توجد مشاهدات"),0,1)</f>
        <v/>
      </c>
      <c r="W1021" s="24">
        <f>IF(AND($B1021&lt;&gt;"",$I1021="تم تحرير مخالفة"),1,0)</f>
        <v/>
      </c>
      <c r="X1021" s="24">
        <f>IF($B1021="","",IF($S1021=WkStart,COUNTIF($S$5:$S1021,WkStart),""))</f>
        <v/>
      </c>
    </row>
    <row r="1022">
      <c r="A1022" s="16">
        <f>IF($B1022="","",ROW()-4)</f>
        <v/>
      </c>
      <c r="B1022" s="17" t="n"/>
      <c r="C1022" s="18" t="n"/>
      <c r="D1022" s="18" t="n"/>
      <c r="E1022" s="19" t="n"/>
      <c r="F1022" s="19" t="n"/>
      <c r="G1022" s="18" t="n"/>
      <c r="H1022" s="18" t="n"/>
      <c r="I1022" s="18" t="n"/>
      <c r="J1022" s="20" t="n"/>
      <c r="K1022" s="21" t="n"/>
      <c r="L1022" s="21" t="n"/>
      <c r="M1022" s="18" t="n"/>
      <c r="N1022" s="22">
        <f>IF($B1022="","",CHOOSE(WEEKDAY($B1022),"الأحد","الاثنين","الثلاثاء","الأربعاء","الخميس","الجمعة","السبت"))</f>
        <v/>
      </c>
      <c r="O1022" s="23">
        <f>IF(OR($K1022="",$L1022=""),"",HYPERLINK("https://maps.google.com/?q="&amp;$K1022&amp;","&amp;$L1022,"عرض الموقع"))</f>
        <v/>
      </c>
      <c r="P1022" s="23">
        <f>IF(OR($B1022="",N($J1022)=0),"",HYPERLINK(PhotoDir&amp;"/"&amp;YEAR($B1022)&amp;"-"&amp;TEXT(MONTH($B1022),"00")&amp;"-"&amp;TEXT(DAY($B1022),"00")&amp;"_"&amp;$D1022,"فتح الصور ("&amp;$J1022&amp;")"))</f>
        <v/>
      </c>
      <c r="Q1022" s="24">
        <f>IF($B1022="","",MONTH($B1022))</f>
        <v/>
      </c>
      <c r="R1022" s="24">
        <f>IF($B1022="","",YEAR($B1022))</f>
        <v/>
      </c>
      <c r="S1022" s="25">
        <f>IF($B1022="","",$B1022-WEEKDAY($B1022,3))</f>
        <v/>
      </c>
      <c r="T1022" s="24">
        <f>IF($B1022="",0,IF(COUNTIFS($B$5:$B1022,$B1022,$D$5:$D1022,$D1022)=1,1,0))</f>
        <v/>
      </c>
      <c r="U1022" s="24">
        <f>IF($B1022="",0,IF(COUNTIFS($B$5:$B1022,$B1022,$C$5:$C1022,$C1022)=1,1,0))</f>
        <v/>
      </c>
      <c r="V1022" s="24">
        <f>IF(OR($B1022="",$G1022="",$G1022="لا توجد مشاهدات"),0,1)</f>
        <v/>
      </c>
      <c r="W1022" s="24">
        <f>IF(AND($B1022&lt;&gt;"",$I1022="تم تحرير مخالفة"),1,0)</f>
        <v/>
      </c>
      <c r="X1022" s="24">
        <f>IF($B1022="","",IF($S1022=WkStart,COUNTIF($S$5:$S1022,WkStart),""))</f>
        <v/>
      </c>
    </row>
    <row r="1023">
      <c r="A1023" s="16">
        <f>IF($B1023="","",ROW()-4)</f>
        <v/>
      </c>
      <c r="B1023" s="17" t="n"/>
      <c r="C1023" s="18" t="n"/>
      <c r="D1023" s="18" t="n"/>
      <c r="E1023" s="19" t="n"/>
      <c r="F1023" s="19" t="n"/>
      <c r="G1023" s="18" t="n"/>
      <c r="H1023" s="18" t="n"/>
      <c r="I1023" s="18" t="n"/>
      <c r="J1023" s="20" t="n"/>
      <c r="K1023" s="21" t="n"/>
      <c r="L1023" s="21" t="n"/>
      <c r="M1023" s="18" t="n"/>
      <c r="N1023" s="22">
        <f>IF($B1023="","",CHOOSE(WEEKDAY($B1023),"الأحد","الاثنين","الثلاثاء","الأربعاء","الخميس","الجمعة","السبت"))</f>
        <v/>
      </c>
      <c r="O1023" s="23">
        <f>IF(OR($K1023="",$L1023=""),"",HYPERLINK("https://maps.google.com/?q="&amp;$K1023&amp;","&amp;$L1023,"عرض الموقع"))</f>
        <v/>
      </c>
      <c r="P1023" s="23">
        <f>IF(OR($B1023="",N($J1023)=0),"",HYPERLINK(PhotoDir&amp;"/"&amp;YEAR($B1023)&amp;"-"&amp;TEXT(MONTH($B1023),"00")&amp;"-"&amp;TEXT(DAY($B1023),"00")&amp;"_"&amp;$D1023,"فتح الصور ("&amp;$J1023&amp;")"))</f>
        <v/>
      </c>
      <c r="Q1023" s="24">
        <f>IF($B1023="","",MONTH($B1023))</f>
        <v/>
      </c>
      <c r="R1023" s="24">
        <f>IF($B1023="","",YEAR($B1023))</f>
        <v/>
      </c>
      <c r="S1023" s="25">
        <f>IF($B1023="","",$B1023-WEEKDAY($B1023,3))</f>
        <v/>
      </c>
      <c r="T1023" s="24">
        <f>IF($B1023="",0,IF(COUNTIFS($B$5:$B1023,$B1023,$D$5:$D1023,$D1023)=1,1,0))</f>
        <v/>
      </c>
      <c r="U1023" s="24">
        <f>IF($B1023="",0,IF(COUNTIFS($B$5:$B1023,$B1023,$C$5:$C1023,$C1023)=1,1,0))</f>
        <v/>
      </c>
      <c r="V1023" s="24">
        <f>IF(OR($B1023="",$G1023="",$G1023="لا توجد مشاهدات"),0,1)</f>
        <v/>
      </c>
      <c r="W1023" s="24">
        <f>IF(AND($B1023&lt;&gt;"",$I1023="تم تحرير مخالفة"),1,0)</f>
        <v/>
      </c>
      <c r="X1023" s="24">
        <f>IF($B1023="","",IF($S1023=WkStart,COUNTIF($S$5:$S1023,WkStart),""))</f>
        <v/>
      </c>
    </row>
    <row r="1024">
      <c r="A1024" s="16">
        <f>IF($B1024="","",ROW()-4)</f>
        <v/>
      </c>
      <c r="B1024" s="17" t="n"/>
      <c r="C1024" s="18" t="n"/>
      <c r="D1024" s="18" t="n"/>
      <c r="E1024" s="19" t="n"/>
      <c r="F1024" s="19" t="n"/>
      <c r="G1024" s="18" t="n"/>
      <c r="H1024" s="18" t="n"/>
      <c r="I1024" s="18" t="n"/>
      <c r="J1024" s="20" t="n"/>
      <c r="K1024" s="21" t="n"/>
      <c r="L1024" s="21" t="n"/>
      <c r="M1024" s="18" t="n"/>
      <c r="N1024" s="22">
        <f>IF($B1024="","",CHOOSE(WEEKDAY($B1024),"الأحد","الاثنين","الثلاثاء","الأربعاء","الخميس","الجمعة","السبت"))</f>
        <v/>
      </c>
      <c r="O1024" s="23">
        <f>IF(OR($K1024="",$L1024=""),"",HYPERLINK("https://maps.google.com/?q="&amp;$K1024&amp;","&amp;$L1024,"عرض الموقع"))</f>
        <v/>
      </c>
      <c r="P1024" s="23">
        <f>IF(OR($B1024="",N($J1024)=0),"",HYPERLINK(PhotoDir&amp;"/"&amp;YEAR($B1024)&amp;"-"&amp;TEXT(MONTH($B1024),"00")&amp;"-"&amp;TEXT(DAY($B1024),"00")&amp;"_"&amp;$D1024,"فتح الصور ("&amp;$J1024&amp;")"))</f>
        <v/>
      </c>
      <c r="Q1024" s="24">
        <f>IF($B1024="","",MONTH($B1024))</f>
        <v/>
      </c>
      <c r="R1024" s="24">
        <f>IF($B1024="","",YEAR($B1024))</f>
        <v/>
      </c>
      <c r="S1024" s="25">
        <f>IF($B1024="","",$B1024-WEEKDAY($B1024,3))</f>
        <v/>
      </c>
      <c r="T1024" s="24">
        <f>IF($B1024="",0,IF(COUNTIFS($B$5:$B1024,$B1024,$D$5:$D1024,$D1024)=1,1,0))</f>
        <v/>
      </c>
      <c r="U1024" s="24">
        <f>IF($B1024="",0,IF(COUNTIFS($B$5:$B1024,$B1024,$C$5:$C1024,$C1024)=1,1,0))</f>
        <v/>
      </c>
      <c r="V1024" s="24">
        <f>IF(OR($B1024="",$G1024="",$G1024="لا توجد مشاهدات"),0,1)</f>
        <v/>
      </c>
      <c r="W1024" s="24">
        <f>IF(AND($B1024&lt;&gt;"",$I1024="تم تحرير مخالفة"),1,0)</f>
        <v/>
      </c>
      <c r="X1024" s="24">
        <f>IF($B1024="","",IF($S1024=WkStart,COUNTIF($S$5:$S1024,WkStart),""))</f>
        <v/>
      </c>
    </row>
    <row r="1025">
      <c r="A1025" s="16">
        <f>IF($B1025="","",ROW()-4)</f>
        <v/>
      </c>
      <c r="B1025" s="17" t="n"/>
      <c r="C1025" s="18" t="n"/>
      <c r="D1025" s="18" t="n"/>
      <c r="E1025" s="19" t="n"/>
      <c r="F1025" s="19" t="n"/>
      <c r="G1025" s="18" t="n"/>
      <c r="H1025" s="18" t="n"/>
      <c r="I1025" s="18" t="n"/>
      <c r="J1025" s="20" t="n"/>
      <c r="K1025" s="21" t="n"/>
      <c r="L1025" s="21" t="n"/>
      <c r="M1025" s="18" t="n"/>
      <c r="N1025" s="22">
        <f>IF($B1025="","",CHOOSE(WEEKDAY($B1025),"الأحد","الاثنين","الثلاثاء","الأربعاء","الخميس","الجمعة","السبت"))</f>
        <v/>
      </c>
      <c r="O1025" s="23">
        <f>IF(OR($K1025="",$L1025=""),"",HYPERLINK("https://maps.google.com/?q="&amp;$K1025&amp;","&amp;$L1025,"عرض الموقع"))</f>
        <v/>
      </c>
      <c r="P1025" s="23">
        <f>IF(OR($B1025="",N($J1025)=0),"",HYPERLINK(PhotoDir&amp;"/"&amp;YEAR($B1025)&amp;"-"&amp;TEXT(MONTH($B1025),"00")&amp;"-"&amp;TEXT(DAY($B1025),"00")&amp;"_"&amp;$D1025,"فتح الصور ("&amp;$J1025&amp;")"))</f>
        <v/>
      </c>
      <c r="Q1025" s="24">
        <f>IF($B1025="","",MONTH($B1025))</f>
        <v/>
      </c>
      <c r="R1025" s="24">
        <f>IF($B1025="","",YEAR($B1025))</f>
        <v/>
      </c>
      <c r="S1025" s="25">
        <f>IF($B1025="","",$B1025-WEEKDAY($B1025,3))</f>
        <v/>
      </c>
      <c r="T1025" s="24">
        <f>IF($B1025="",0,IF(COUNTIFS($B$5:$B1025,$B1025,$D$5:$D1025,$D1025)=1,1,0))</f>
        <v/>
      </c>
      <c r="U1025" s="24">
        <f>IF($B1025="",0,IF(COUNTIFS($B$5:$B1025,$B1025,$C$5:$C1025,$C1025)=1,1,0))</f>
        <v/>
      </c>
      <c r="V1025" s="24">
        <f>IF(OR($B1025="",$G1025="",$G1025="لا توجد مشاهدات"),0,1)</f>
        <v/>
      </c>
      <c r="W1025" s="24">
        <f>IF(AND($B1025&lt;&gt;"",$I1025="تم تحرير مخالفة"),1,0)</f>
        <v/>
      </c>
      <c r="X1025" s="24">
        <f>IF($B1025="","",IF($S1025=WkStart,COUNTIF($S$5:$S1025,WkStart),""))</f>
        <v/>
      </c>
    </row>
    <row r="1026">
      <c r="A1026" s="16">
        <f>IF($B1026="","",ROW()-4)</f>
        <v/>
      </c>
      <c r="B1026" s="17" t="n"/>
      <c r="C1026" s="18" t="n"/>
      <c r="D1026" s="18" t="n"/>
      <c r="E1026" s="19" t="n"/>
      <c r="F1026" s="19" t="n"/>
      <c r="G1026" s="18" t="n"/>
      <c r="H1026" s="18" t="n"/>
      <c r="I1026" s="18" t="n"/>
      <c r="J1026" s="20" t="n"/>
      <c r="K1026" s="21" t="n"/>
      <c r="L1026" s="21" t="n"/>
      <c r="M1026" s="18" t="n"/>
      <c r="N1026" s="22">
        <f>IF($B1026="","",CHOOSE(WEEKDAY($B1026),"الأحد","الاثنين","الثلاثاء","الأربعاء","الخميس","الجمعة","السبت"))</f>
        <v/>
      </c>
      <c r="O1026" s="23">
        <f>IF(OR($K1026="",$L1026=""),"",HYPERLINK("https://maps.google.com/?q="&amp;$K1026&amp;","&amp;$L1026,"عرض الموقع"))</f>
        <v/>
      </c>
      <c r="P1026" s="23">
        <f>IF(OR($B1026="",N($J1026)=0),"",HYPERLINK(PhotoDir&amp;"/"&amp;YEAR($B1026)&amp;"-"&amp;TEXT(MONTH($B1026),"00")&amp;"-"&amp;TEXT(DAY($B1026),"00")&amp;"_"&amp;$D1026,"فتح الصور ("&amp;$J1026&amp;")"))</f>
        <v/>
      </c>
      <c r="Q1026" s="24">
        <f>IF($B1026="","",MONTH($B1026))</f>
        <v/>
      </c>
      <c r="R1026" s="24">
        <f>IF($B1026="","",YEAR($B1026))</f>
        <v/>
      </c>
      <c r="S1026" s="25">
        <f>IF($B1026="","",$B1026-WEEKDAY($B1026,3))</f>
        <v/>
      </c>
      <c r="T1026" s="24">
        <f>IF($B1026="",0,IF(COUNTIFS($B$5:$B1026,$B1026,$D$5:$D1026,$D1026)=1,1,0))</f>
        <v/>
      </c>
      <c r="U1026" s="24">
        <f>IF($B1026="",0,IF(COUNTIFS($B$5:$B1026,$B1026,$C$5:$C1026,$C1026)=1,1,0))</f>
        <v/>
      </c>
      <c r="V1026" s="24">
        <f>IF(OR($B1026="",$G1026="",$G1026="لا توجد مشاهدات"),0,1)</f>
        <v/>
      </c>
      <c r="W1026" s="24">
        <f>IF(AND($B1026&lt;&gt;"",$I1026="تم تحرير مخالفة"),1,0)</f>
        <v/>
      </c>
      <c r="X1026" s="24">
        <f>IF($B1026="","",IF($S1026=WkStart,COUNTIF($S$5:$S1026,WkStart),""))</f>
        <v/>
      </c>
    </row>
    <row r="1027">
      <c r="A1027" s="16">
        <f>IF($B1027="","",ROW()-4)</f>
        <v/>
      </c>
      <c r="B1027" s="17" t="n"/>
      <c r="C1027" s="18" t="n"/>
      <c r="D1027" s="18" t="n"/>
      <c r="E1027" s="19" t="n"/>
      <c r="F1027" s="19" t="n"/>
      <c r="G1027" s="18" t="n"/>
      <c r="H1027" s="18" t="n"/>
      <c r="I1027" s="18" t="n"/>
      <c r="J1027" s="20" t="n"/>
      <c r="K1027" s="21" t="n"/>
      <c r="L1027" s="21" t="n"/>
      <c r="M1027" s="18" t="n"/>
      <c r="N1027" s="22">
        <f>IF($B1027="","",CHOOSE(WEEKDAY($B1027),"الأحد","الاثنين","الثلاثاء","الأربعاء","الخميس","الجمعة","السبت"))</f>
        <v/>
      </c>
      <c r="O1027" s="23">
        <f>IF(OR($K1027="",$L1027=""),"",HYPERLINK("https://maps.google.com/?q="&amp;$K1027&amp;","&amp;$L1027,"عرض الموقع"))</f>
        <v/>
      </c>
      <c r="P1027" s="23">
        <f>IF(OR($B1027="",N($J1027)=0),"",HYPERLINK(PhotoDir&amp;"/"&amp;YEAR($B1027)&amp;"-"&amp;TEXT(MONTH($B1027),"00")&amp;"-"&amp;TEXT(DAY($B1027),"00")&amp;"_"&amp;$D1027,"فتح الصور ("&amp;$J1027&amp;")"))</f>
        <v/>
      </c>
      <c r="Q1027" s="24">
        <f>IF($B1027="","",MONTH($B1027))</f>
        <v/>
      </c>
      <c r="R1027" s="24">
        <f>IF($B1027="","",YEAR($B1027))</f>
        <v/>
      </c>
      <c r="S1027" s="25">
        <f>IF($B1027="","",$B1027-WEEKDAY($B1027,3))</f>
        <v/>
      </c>
      <c r="T1027" s="24">
        <f>IF($B1027="",0,IF(COUNTIFS($B$5:$B1027,$B1027,$D$5:$D1027,$D1027)=1,1,0))</f>
        <v/>
      </c>
      <c r="U1027" s="24">
        <f>IF($B1027="",0,IF(COUNTIFS($B$5:$B1027,$B1027,$C$5:$C1027,$C1027)=1,1,0))</f>
        <v/>
      </c>
      <c r="V1027" s="24">
        <f>IF(OR($B1027="",$G1027="",$G1027="لا توجد مشاهدات"),0,1)</f>
        <v/>
      </c>
      <c r="W1027" s="24">
        <f>IF(AND($B1027&lt;&gt;"",$I1027="تم تحرير مخالفة"),1,0)</f>
        <v/>
      </c>
      <c r="X1027" s="24">
        <f>IF($B1027="","",IF($S1027=WkStart,COUNTIF($S$5:$S1027,WkStart),""))</f>
        <v/>
      </c>
    </row>
    <row r="1028">
      <c r="A1028" s="16">
        <f>IF($B1028="","",ROW()-4)</f>
        <v/>
      </c>
      <c r="B1028" s="17" t="n"/>
      <c r="C1028" s="18" t="n"/>
      <c r="D1028" s="18" t="n"/>
      <c r="E1028" s="19" t="n"/>
      <c r="F1028" s="19" t="n"/>
      <c r="G1028" s="18" t="n"/>
      <c r="H1028" s="18" t="n"/>
      <c r="I1028" s="18" t="n"/>
      <c r="J1028" s="20" t="n"/>
      <c r="K1028" s="21" t="n"/>
      <c r="L1028" s="21" t="n"/>
      <c r="M1028" s="18" t="n"/>
      <c r="N1028" s="22">
        <f>IF($B1028="","",CHOOSE(WEEKDAY($B1028),"الأحد","الاثنين","الثلاثاء","الأربعاء","الخميس","الجمعة","السبت"))</f>
        <v/>
      </c>
      <c r="O1028" s="23">
        <f>IF(OR($K1028="",$L1028=""),"",HYPERLINK("https://maps.google.com/?q="&amp;$K1028&amp;","&amp;$L1028,"عرض الموقع"))</f>
        <v/>
      </c>
      <c r="P1028" s="23">
        <f>IF(OR($B1028="",N($J1028)=0),"",HYPERLINK(PhotoDir&amp;"/"&amp;YEAR($B1028)&amp;"-"&amp;TEXT(MONTH($B1028),"00")&amp;"-"&amp;TEXT(DAY($B1028),"00")&amp;"_"&amp;$D1028,"فتح الصور ("&amp;$J1028&amp;")"))</f>
        <v/>
      </c>
      <c r="Q1028" s="24">
        <f>IF($B1028="","",MONTH($B1028))</f>
        <v/>
      </c>
      <c r="R1028" s="24">
        <f>IF($B1028="","",YEAR($B1028))</f>
        <v/>
      </c>
      <c r="S1028" s="25">
        <f>IF($B1028="","",$B1028-WEEKDAY($B1028,3))</f>
        <v/>
      </c>
      <c r="T1028" s="24">
        <f>IF($B1028="",0,IF(COUNTIFS($B$5:$B1028,$B1028,$D$5:$D1028,$D1028)=1,1,0))</f>
        <v/>
      </c>
      <c r="U1028" s="24">
        <f>IF($B1028="",0,IF(COUNTIFS($B$5:$B1028,$B1028,$C$5:$C1028,$C1028)=1,1,0))</f>
        <v/>
      </c>
      <c r="V1028" s="24">
        <f>IF(OR($B1028="",$G1028="",$G1028="لا توجد مشاهدات"),0,1)</f>
        <v/>
      </c>
      <c r="W1028" s="24">
        <f>IF(AND($B1028&lt;&gt;"",$I1028="تم تحرير مخالفة"),1,0)</f>
        <v/>
      </c>
      <c r="X1028" s="24">
        <f>IF($B1028="","",IF($S1028=WkStart,COUNTIF($S$5:$S1028,WkStart),""))</f>
        <v/>
      </c>
    </row>
    <row r="1029">
      <c r="A1029" s="16">
        <f>IF($B1029="","",ROW()-4)</f>
        <v/>
      </c>
      <c r="B1029" s="17" t="n"/>
      <c r="C1029" s="18" t="n"/>
      <c r="D1029" s="18" t="n"/>
      <c r="E1029" s="19" t="n"/>
      <c r="F1029" s="19" t="n"/>
      <c r="G1029" s="18" t="n"/>
      <c r="H1029" s="18" t="n"/>
      <c r="I1029" s="18" t="n"/>
      <c r="J1029" s="20" t="n"/>
      <c r="K1029" s="21" t="n"/>
      <c r="L1029" s="21" t="n"/>
      <c r="M1029" s="18" t="n"/>
      <c r="N1029" s="22">
        <f>IF($B1029="","",CHOOSE(WEEKDAY($B1029),"الأحد","الاثنين","الثلاثاء","الأربعاء","الخميس","الجمعة","السبت"))</f>
        <v/>
      </c>
      <c r="O1029" s="23">
        <f>IF(OR($K1029="",$L1029=""),"",HYPERLINK("https://maps.google.com/?q="&amp;$K1029&amp;","&amp;$L1029,"عرض الموقع"))</f>
        <v/>
      </c>
      <c r="P1029" s="23">
        <f>IF(OR($B1029="",N($J1029)=0),"",HYPERLINK(PhotoDir&amp;"/"&amp;YEAR($B1029)&amp;"-"&amp;TEXT(MONTH($B1029),"00")&amp;"-"&amp;TEXT(DAY($B1029),"00")&amp;"_"&amp;$D1029,"فتح الصور ("&amp;$J1029&amp;")"))</f>
        <v/>
      </c>
      <c r="Q1029" s="24">
        <f>IF($B1029="","",MONTH($B1029))</f>
        <v/>
      </c>
      <c r="R1029" s="24">
        <f>IF($B1029="","",YEAR($B1029))</f>
        <v/>
      </c>
      <c r="S1029" s="25">
        <f>IF($B1029="","",$B1029-WEEKDAY($B1029,3))</f>
        <v/>
      </c>
      <c r="T1029" s="24">
        <f>IF($B1029="",0,IF(COUNTIFS($B$5:$B1029,$B1029,$D$5:$D1029,$D1029)=1,1,0))</f>
        <v/>
      </c>
      <c r="U1029" s="24">
        <f>IF($B1029="",0,IF(COUNTIFS($B$5:$B1029,$B1029,$C$5:$C1029,$C1029)=1,1,0))</f>
        <v/>
      </c>
      <c r="V1029" s="24">
        <f>IF(OR($B1029="",$G1029="",$G1029="لا توجد مشاهدات"),0,1)</f>
        <v/>
      </c>
      <c r="W1029" s="24">
        <f>IF(AND($B1029&lt;&gt;"",$I1029="تم تحرير مخالفة"),1,0)</f>
        <v/>
      </c>
      <c r="X1029" s="24">
        <f>IF($B1029="","",IF($S1029=WkStart,COUNTIF($S$5:$S1029,WkStart),""))</f>
        <v/>
      </c>
    </row>
    <row r="1030">
      <c r="A1030" s="16">
        <f>IF($B1030="","",ROW()-4)</f>
        <v/>
      </c>
      <c r="B1030" s="17" t="n"/>
      <c r="C1030" s="18" t="n"/>
      <c r="D1030" s="18" t="n"/>
      <c r="E1030" s="19" t="n"/>
      <c r="F1030" s="19" t="n"/>
      <c r="G1030" s="18" t="n"/>
      <c r="H1030" s="18" t="n"/>
      <c r="I1030" s="18" t="n"/>
      <c r="J1030" s="20" t="n"/>
      <c r="K1030" s="21" t="n"/>
      <c r="L1030" s="21" t="n"/>
      <c r="M1030" s="18" t="n"/>
      <c r="N1030" s="22">
        <f>IF($B1030="","",CHOOSE(WEEKDAY($B1030),"الأحد","الاثنين","الثلاثاء","الأربعاء","الخميس","الجمعة","السبت"))</f>
        <v/>
      </c>
      <c r="O1030" s="23">
        <f>IF(OR($K1030="",$L1030=""),"",HYPERLINK("https://maps.google.com/?q="&amp;$K1030&amp;","&amp;$L1030,"عرض الموقع"))</f>
        <v/>
      </c>
      <c r="P1030" s="23">
        <f>IF(OR($B1030="",N($J1030)=0),"",HYPERLINK(PhotoDir&amp;"/"&amp;YEAR($B1030)&amp;"-"&amp;TEXT(MONTH($B1030),"00")&amp;"-"&amp;TEXT(DAY($B1030),"00")&amp;"_"&amp;$D1030,"فتح الصور ("&amp;$J1030&amp;")"))</f>
        <v/>
      </c>
      <c r="Q1030" s="24">
        <f>IF($B1030="","",MONTH($B1030))</f>
        <v/>
      </c>
      <c r="R1030" s="24">
        <f>IF($B1030="","",YEAR($B1030))</f>
        <v/>
      </c>
      <c r="S1030" s="25">
        <f>IF($B1030="","",$B1030-WEEKDAY($B1030,3))</f>
        <v/>
      </c>
      <c r="T1030" s="24">
        <f>IF($B1030="",0,IF(COUNTIFS($B$5:$B1030,$B1030,$D$5:$D1030,$D1030)=1,1,0))</f>
        <v/>
      </c>
      <c r="U1030" s="24">
        <f>IF($B1030="",0,IF(COUNTIFS($B$5:$B1030,$B1030,$C$5:$C1030,$C1030)=1,1,0))</f>
        <v/>
      </c>
      <c r="V1030" s="24">
        <f>IF(OR($B1030="",$G1030="",$G1030="لا توجد مشاهدات"),0,1)</f>
        <v/>
      </c>
      <c r="W1030" s="24">
        <f>IF(AND($B1030&lt;&gt;"",$I1030="تم تحرير مخالفة"),1,0)</f>
        <v/>
      </c>
      <c r="X1030" s="24">
        <f>IF($B1030="","",IF($S1030=WkStart,COUNTIF($S$5:$S1030,WkStart),""))</f>
        <v/>
      </c>
    </row>
    <row r="1031">
      <c r="A1031" s="16">
        <f>IF($B1031="","",ROW()-4)</f>
        <v/>
      </c>
      <c r="B1031" s="17" t="n"/>
      <c r="C1031" s="18" t="n"/>
      <c r="D1031" s="18" t="n"/>
      <c r="E1031" s="19" t="n"/>
      <c r="F1031" s="19" t="n"/>
      <c r="G1031" s="18" t="n"/>
      <c r="H1031" s="18" t="n"/>
      <c r="I1031" s="18" t="n"/>
      <c r="J1031" s="20" t="n"/>
      <c r="K1031" s="21" t="n"/>
      <c r="L1031" s="21" t="n"/>
      <c r="M1031" s="18" t="n"/>
      <c r="N1031" s="22">
        <f>IF($B1031="","",CHOOSE(WEEKDAY($B1031),"الأحد","الاثنين","الثلاثاء","الأربعاء","الخميس","الجمعة","السبت"))</f>
        <v/>
      </c>
      <c r="O1031" s="23">
        <f>IF(OR($K1031="",$L1031=""),"",HYPERLINK("https://maps.google.com/?q="&amp;$K1031&amp;","&amp;$L1031,"عرض الموقع"))</f>
        <v/>
      </c>
      <c r="P1031" s="23">
        <f>IF(OR($B1031="",N($J1031)=0),"",HYPERLINK(PhotoDir&amp;"/"&amp;YEAR($B1031)&amp;"-"&amp;TEXT(MONTH($B1031),"00")&amp;"-"&amp;TEXT(DAY($B1031),"00")&amp;"_"&amp;$D1031,"فتح الصور ("&amp;$J1031&amp;")"))</f>
        <v/>
      </c>
      <c r="Q1031" s="24">
        <f>IF($B1031="","",MONTH($B1031))</f>
        <v/>
      </c>
      <c r="R1031" s="24">
        <f>IF($B1031="","",YEAR($B1031))</f>
        <v/>
      </c>
      <c r="S1031" s="25">
        <f>IF($B1031="","",$B1031-WEEKDAY($B1031,3))</f>
        <v/>
      </c>
      <c r="T1031" s="24">
        <f>IF($B1031="",0,IF(COUNTIFS($B$5:$B1031,$B1031,$D$5:$D1031,$D1031)=1,1,0))</f>
        <v/>
      </c>
      <c r="U1031" s="24">
        <f>IF($B1031="",0,IF(COUNTIFS($B$5:$B1031,$B1031,$C$5:$C1031,$C1031)=1,1,0))</f>
        <v/>
      </c>
      <c r="V1031" s="24">
        <f>IF(OR($B1031="",$G1031="",$G1031="لا توجد مشاهدات"),0,1)</f>
        <v/>
      </c>
      <c r="W1031" s="24">
        <f>IF(AND($B1031&lt;&gt;"",$I1031="تم تحرير مخالفة"),1,0)</f>
        <v/>
      </c>
      <c r="X1031" s="24">
        <f>IF($B1031="","",IF($S1031=WkStart,COUNTIF($S$5:$S1031,WkStart),""))</f>
        <v/>
      </c>
    </row>
    <row r="1032">
      <c r="A1032" s="16">
        <f>IF($B1032="","",ROW()-4)</f>
        <v/>
      </c>
      <c r="B1032" s="17" t="n"/>
      <c r="C1032" s="18" t="n"/>
      <c r="D1032" s="18" t="n"/>
      <c r="E1032" s="19" t="n"/>
      <c r="F1032" s="19" t="n"/>
      <c r="G1032" s="18" t="n"/>
      <c r="H1032" s="18" t="n"/>
      <c r="I1032" s="18" t="n"/>
      <c r="J1032" s="20" t="n"/>
      <c r="K1032" s="21" t="n"/>
      <c r="L1032" s="21" t="n"/>
      <c r="M1032" s="18" t="n"/>
      <c r="N1032" s="22">
        <f>IF($B1032="","",CHOOSE(WEEKDAY($B1032),"الأحد","الاثنين","الثلاثاء","الأربعاء","الخميس","الجمعة","السبت"))</f>
        <v/>
      </c>
      <c r="O1032" s="23">
        <f>IF(OR($K1032="",$L1032=""),"",HYPERLINK("https://maps.google.com/?q="&amp;$K1032&amp;","&amp;$L1032,"عرض الموقع"))</f>
        <v/>
      </c>
      <c r="P1032" s="23">
        <f>IF(OR($B1032="",N($J1032)=0),"",HYPERLINK(PhotoDir&amp;"/"&amp;YEAR($B1032)&amp;"-"&amp;TEXT(MONTH($B1032),"00")&amp;"-"&amp;TEXT(DAY($B1032),"00")&amp;"_"&amp;$D1032,"فتح الصور ("&amp;$J1032&amp;")"))</f>
        <v/>
      </c>
      <c r="Q1032" s="24">
        <f>IF($B1032="","",MONTH($B1032))</f>
        <v/>
      </c>
      <c r="R1032" s="24">
        <f>IF($B1032="","",YEAR($B1032))</f>
        <v/>
      </c>
      <c r="S1032" s="25">
        <f>IF($B1032="","",$B1032-WEEKDAY($B1032,3))</f>
        <v/>
      </c>
      <c r="T1032" s="24">
        <f>IF($B1032="",0,IF(COUNTIFS($B$5:$B1032,$B1032,$D$5:$D1032,$D1032)=1,1,0))</f>
        <v/>
      </c>
      <c r="U1032" s="24">
        <f>IF($B1032="",0,IF(COUNTIFS($B$5:$B1032,$B1032,$C$5:$C1032,$C1032)=1,1,0))</f>
        <v/>
      </c>
      <c r="V1032" s="24">
        <f>IF(OR($B1032="",$G1032="",$G1032="لا توجد مشاهدات"),0,1)</f>
        <v/>
      </c>
      <c r="W1032" s="24">
        <f>IF(AND($B1032&lt;&gt;"",$I1032="تم تحرير مخالفة"),1,0)</f>
        <v/>
      </c>
      <c r="X1032" s="24">
        <f>IF($B1032="","",IF($S1032=WkStart,COUNTIF($S$5:$S1032,WkStart),""))</f>
        <v/>
      </c>
    </row>
    <row r="1033">
      <c r="A1033" s="16">
        <f>IF($B1033="","",ROW()-4)</f>
        <v/>
      </c>
      <c r="B1033" s="17" t="n"/>
      <c r="C1033" s="18" t="n"/>
      <c r="D1033" s="18" t="n"/>
      <c r="E1033" s="19" t="n"/>
      <c r="F1033" s="19" t="n"/>
      <c r="G1033" s="18" t="n"/>
      <c r="H1033" s="18" t="n"/>
      <c r="I1033" s="18" t="n"/>
      <c r="J1033" s="20" t="n"/>
      <c r="K1033" s="21" t="n"/>
      <c r="L1033" s="21" t="n"/>
      <c r="M1033" s="18" t="n"/>
      <c r="N1033" s="22">
        <f>IF($B1033="","",CHOOSE(WEEKDAY($B1033),"الأحد","الاثنين","الثلاثاء","الأربعاء","الخميس","الجمعة","السبت"))</f>
        <v/>
      </c>
      <c r="O1033" s="23">
        <f>IF(OR($K1033="",$L1033=""),"",HYPERLINK("https://maps.google.com/?q="&amp;$K1033&amp;","&amp;$L1033,"عرض الموقع"))</f>
        <v/>
      </c>
      <c r="P1033" s="23">
        <f>IF(OR($B1033="",N($J1033)=0),"",HYPERLINK(PhotoDir&amp;"/"&amp;YEAR($B1033)&amp;"-"&amp;TEXT(MONTH($B1033),"00")&amp;"-"&amp;TEXT(DAY($B1033),"00")&amp;"_"&amp;$D1033,"فتح الصور ("&amp;$J1033&amp;")"))</f>
        <v/>
      </c>
      <c r="Q1033" s="24">
        <f>IF($B1033="","",MONTH($B1033))</f>
        <v/>
      </c>
      <c r="R1033" s="24">
        <f>IF($B1033="","",YEAR($B1033))</f>
        <v/>
      </c>
      <c r="S1033" s="25">
        <f>IF($B1033="","",$B1033-WEEKDAY($B1033,3))</f>
        <v/>
      </c>
      <c r="T1033" s="24">
        <f>IF($B1033="",0,IF(COUNTIFS($B$5:$B1033,$B1033,$D$5:$D1033,$D1033)=1,1,0))</f>
        <v/>
      </c>
      <c r="U1033" s="24">
        <f>IF($B1033="",0,IF(COUNTIFS($B$5:$B1033,$B1033,$C$5:$C1033,$C1033)=1,1,0))</f>
        <v/>
      </c>
      <c r="V1033" s="24">
        <f>IF(OR($B1033="",$G1033="",$G1033="لا توجد مشاهدات"),0,1)</f>
        <v/>
      </c>
      <c r="W1033" s="24">
        <f>IF(AND($B1033&lt;&gt;"",$I1033="تم تحرير مخالفة"),1,0)</f>
        <v/>
      </c>
      <c r="X1033" s="24">
        <f>IF($B1033="","",IF($S1033=WkStart,COUNTIF($S$5:$S1033,WkStart),""))</f>
        <v/>
      </c>
    </row>
    <row r="1034">
      <c r="A1034" s="16">
        <f>IF($B1034="","",ROW()-4)</f>
        <v/>
      </c>
      <c r="B1034" s="17" t="n"/>
      <c r="C1034" s="18" t="n"/>
      <c r="D1034" s="18" t="n"/>
      <c r="E1034" s="19" t="n"/>
      <c r="F1034" s="19" t="n"/>
      <c r="G1034" s="18" t="n"/>
      <c r="H1034" s="18" t="n"/>
      <c r="I1034" s="18" t="n"/>
      <c r="J1034" s="20" t="n"/>
      <c r="K1034" s="21" t="n"/>
      <c r="L1034" s="21" t="n"/>
      <c r="M1034" s="18" t="n"/>
      <c r="N1034" s="22">
        <f>IF($B1034="","",CHOOSE(WEEKDAY($B1034),"الأحد","الاثنين","الثلاثاء","الأربعاء","الخميس","الجمعة","السبت"))</f>
        <v/>
      </c>
      <c r="O1034" s="23">
        <f>IF(OR($K1034="",$L1034=""),"",HYPERLINK("https://maps.google.com/?q="&amp;$K1034&amp;","&amp;$L1034,"عرض الموقع"))</f>
        <v/>
      </c>
      <c r="P1034" s="23">
        <f>IF(OR($B1034="",N($J1034)=0),"",HYPERLINK(PhotoDir&amp;"/"&amp;YEAR($B1034)&amp;"-"&amp;TEXT(MONTH($B1034),"00")&amp;"-"&amp;TEXT(DAY($B1034),"00")&amp;"_"&amp;$D1034,"فتح الصور ("&amp;$J1034&amp;")"))</f>
        <v/>
      </c>
      <c r="Q1034" s="24">
        <f>IF($B1034="","",MONTH($B1034))</f>
        <v/>
      </c>
      <c r="R1034" s="24">
        <f>IF($B1034="","",YEAR($B1034))</f>
        <v/>
      </c>
      <c r="S1034" s="25">
        <f>IF($B1034="","",$B1034-WEEKDAY($B1034,3))</f>
        <v/>
      </c>
      <c r="T1034" s="24">
        <f>IF($B1034="",0,IF(COUNTIFS($B$5:$B1034,$B1034,$D$5:$D1034,$D1034)=1,1,0))</f>
        <v/>
      </c>
      <c r="U1034" s="24">
        <f>IF($B1034="",0,IF(COUNTIFS($B$5:$B1034,$B1034,$C$5:$C1034,$C1034)=1,1,0))</f>
        <v/>
      </c>
      <c r="V1034" s="24">
        <f>IF(OR($B1034="",$G1034="",$G1034="لا توجد مشاهدات"),0,1)</f>
        <v/>
      </c>
      <c r="W1034" s="24">
        <f>IF(AND($B1034&lt;&gt;"",$I1034="تم تحرير مخالفة"),1,0)</f>
        <v/>
      </c>
      <c r="X1034" s="24">
        <f>IF($B1034="","",IF($S1034=WkStart,COUNTIF($S$5:$S1034,WkStart),""))</f>
        <v/>
      </c>
    </row>
    <row r="1035">
      <c r="A1035" s="16">
        <f>IF($B1035="","",ROW()-4)</f>
        <v/>
      </c>
      <c r="B1035" s="17" t="n"/>
      <c r="C1035" s="18" t="n"/>
      <c r="D1035" s="18" t="n"/>
      <c r="E1035" s="19" t="n"/>
      <c r="F1035" s="19" t="n"/>
      <c r="G1035" s="18" t="n"/>
      <c r="H1035" s="18" t="n"/>
      <c r="I1035" s="18" t="n"/>
      <c r="J1035" s="20" t="n"/>
      <c r="K1035" s="21" t="n"/>
      <c r="L1035" s="21" t="n"/>
      <c r="M1035" s="18" t="n"/>
      <c r="N1035" s="22">
        <f>IF($B1035="","",CHOOSE(WEEKDAY($B1035),"الأحد","الاثنين","الثلاثاء","الأربعاء","الخميس","الجمعة","السبت"))</f>
        <v/>
      </c>
      <c r="O1035" s="23">
        <f>IF(OR($K1035="",$L1035=""),"",HYPERLINK("https://maps.google.com/?q="&amp;$K1035&amp;","&amp;$L1035,"عرض الموقع"))</f>
        <v/>
      </c>
      <c r="P1035" s="23">
        <f>IF(OR($B1035="",N($J1035)=0),"",HYPERLINK(PhotoDir&amp;"/"&amp;YEAR($B1035)&amp;"-"&amp;TEXT(MONTH($B1035),"00")&amp;"-"&amp;TEXT(DAY($B1035),"00")&amp;"_"&amp;$D1035,"فتح الصور ("&amp;$J1035&amp;")"))</f>
        <v/>
      </c>
      <c r="Q1035" s="24">
        <f>IF($B1035="","",MONTH($B1035))</f>
        <v/>
      </c>
      <c r="R1035" s="24">
        <f>IF($B1035="","",YEAR($B1035))</f>
        <v/>
      </c>
      <c r="S1035" s="25">
        <f>IF($B1035="","",$B1035-WEEKDAY($B1035,3))</f>
        <v/>
      </c>
      <c r="T1035" s="24">
        <f>IF($B1035="",0,IF(COUNTIFS($B$5:$B1035,$B1035,$D$5:$D1035,$D1035)=1,1,0))</f>
        <v/>
      </c>
      <c r="U1035" s="24">
        <f>IF($B1035="",0,IF(COUNTIFS($B$5:$B1035,$B1035,$C$5:$C1035,$C1035)=1,1,0))</f>
        <v/>
      </c>
      <c r="V1035" s="24">
        <f>IF(OR($B1035="",$G1035="",$G1035="لا توجد مشاهدات"),0,1)</f>
        <v/>
      </c>
      <c r="W1035" s="24">
        <f>IF(AND($B1035&lt;&gt;"",$I1035="تم تحرير مخالفة"),1,0)</f>
        <v/>
      </c>
      <c r="X1035" s="24">
        <f>IF($B1035="","",IF($S1035=WkStart,COUNTIF($S$5:$S1035,WkStart),""))</f>
        <v/>
      </c>
    </row>
    <row r="1036">
      <c r="A1036" s="16">
        <f>IF($B1036="","",ROW()-4)</f>
        <v/>
      </c>
      <c r="B1036" s="17" t="n"/>
      <c r="C1036" s="18" t="n"/>
      <c r="D1036" s="18" t="n"/>
      <c r="E1036" s="19" t="n"/>
      <c r="F1036" s="19" t="n"/>
      <c r="G1036" s="18" t="n"/>
      <c r="H1036" s="18" t="n"/>
      <c r="I1036" s="18" t="n"/>
      <c r="J1036" s="20" t="n"/>
      <c r="K1036" s="21" t="n"/>
      <c r="L1036" s="21" t="n"/>
      <c r="M1036" s="18" t="n"/>
      <c r="N1036" s="22">
        <f>IF($B1036="","",CHOOSE(WEEKDAY($B1036),"الأحد","الاثنين","الثلاثاء","الأربعاء","الخميس","الجمعة","السبت"))</f>
        <v/>
      </c>
      <c r="O1036" s="23">
        <f>IF(OR($K1036="",$L1036=""),"",HYPERLINK("https://maps.google.com/?q="&amp;$K1036&amp;","&amp;$L1036,"عرض الموقع"))</f>
        <v/>
      </c>
      <c r="P1036" s="23">
        <f>IF(OR($B1036="",N($J1036)=0),"",HYPERLINK(PhotoDir&amp;"/"&amp;YEAR($B1036)&amp;"-"&amp;TEXT(MONTH($B1036),"00")&amp;"-"&amp;TEXT(DAY($B1036),"00")&amp;"_"&amp;$D1036,"فتح الصور ("&amp;$J1036&amp;")"))</f>
        <v/>
      </c>
      <c r="Q1036" s="24">
        <f>IF($B1036="","",MONTH($B1036))</f>
        <v/>
      </c>
      <c r="R1036" s="24">
        <f>IF($B1036="","",YEAR($B1036))</f>
        <v/>
      </c>
      <c r="S1036" s="25">
        <f>IF($B1036="","",$B1036-WEEKDAY($B1036,3))</f>
        <v/>
      </c>
      <c r="T1036" s="24">
        <f>IF($B1036="",0,IF(COUNTIFS($B$5:$B1036,$B1036,$D$5:$D1036,$D1036)=1,1,0))</f>
        <v/>
      </c>
      <c r="U1036" s="24">
        <f>IF($B1036="",0,IF(COUNTIFS($B$5:$B1036,$B1036,$C$5:$C1036,$C1036)=1,1,0))</f>
        <v/>
      </c>
      <c r="V1036" s="24">
        <f>IF(OR($B1036="",$G1036="",$G1036="لا توجد مشاهدات"),0,1)</f>
        <v/>
      </c>
      <c r="W1036" s="24">
        <f>IF(AND($B1036&lt;&gt;"",$I1036="تم تحرير مخالفة"),1,0)</f>
        <v/>
      </c>
      <c r="X1036" s="24">
        <f>IF($B1036="","",IF($S1036=WkStart,COUNTIF($S$5:$S1036,WkStart),""))</f>
        <v/>
      </c>
    </row>
    <row r="1037">
      <c r="A1037" s="16">
        <f>IF($B1037="","",ROW()-4)</f>
        <v/>
      </c>
      <c r="B1037" s="17" t="n"/>
      <c r="C1037" s="18" t="n"/>
      <c r="D1037" s="18" t="n"/>
      <c r="E1037" s="19" t="n"/>
      <c r="F1037" s="19" t="n"/>
      <c r="G1037" s="18" t="n"/>
      <c r="H1037" s="18" t="n"/>
      <c r="I1037" s="18" t="n"/>
      <c r="J1037" s="20" t="n"/>
      <c r="K1037" s="21" t="n"/>
      <c r="L1037" s="21" t="n"/>
      <c r="M1037" s="18" t="n"/>
      <c r="N1037" s="22">
        <f>IF($B1037="","",CHOOSE(WEEKDAY($B1037),"الأحد","الاثنين","الثلاثاء","الأربعاء","الخميس","الجمعة","السبت"))</f>
        <v/>
      </c>
      <c r="O1037" s="23">
        <f>IF(OR($K1037="",$L1037=""),"",HYPERLINK("https://maps.google.com/?q="&amp;$K1037&amp;","&amp;$L1037,"عرض الموقع"))</f>
        <v/>
      </c>
      <c r="P1037" s="23">
        <f>IF(OR($B1037="",N($J1037)=0),"",HYPERLINK(PhotoDir&amp;"/"&amp;YEAR($B1037)&amp;"-"&amp;TEXT(MONTH($B1037),"00")&amp;"-"&amp;TEXT(DAY($B1037),"00")&amp;"_"&amp;$D1037,"فتح الصور ("&amp;$J1037&amp;")"))</f>
        <v/>
      </c>
      <c r="Q1037" s="24">
        <f>IF($B1037="","",MONTH($B1037))</f>
        <v/>
      </c>
      <c r="R1037" s="24">
        <f>IF($B1037="","",YEAR($B1037))</f>
        <v/>
      </c>
      <c r="S1037" s="25">
        <f>IF($B1037="","",$B1037-WEEKDAY($B1037,3))</f>
        <v/>
      </c>
      <c r="T1037" s="24">
        <f>IF($B1037="",0,IF(COUNTIFS($B$5:$B1037,$B1037,$D$5:$D1037,$D1037)=1,1,0))</f>
        <v/>
      </c>
      <c r="U1037" s="24">
        <f>IF($B1037="",0,IF(COUNTIFS($B$5:$B1037,$B1037,$C$5:$C1037,$C1037)=1,1,0))</f>
        <v/>
      </c>
      <c r="V1037" s="24">
        <f>IF(OR($B1037="",$G1037="",$G1037="لا توجد مشاهدات"),0,1)</f>
        <v/>
      </c>
      <c r="W1037" s="24">
        <f>IF(AND($B1037&lt;&gt;"",$I1037="تم تحرير مخالفة"),1,0)</f>
        <v/>
      </c>
      <c r="X1037" s="24">
        <f>IF($B1037="","",IF($S1037=WkStart,COUNTIF($S$5:$S1037,WkStart),""))</f>
        <v/>
      </c>
    </row>
    <row r="1038">
      <c r="A1038" s="16">
        <f>IF($B1038="","",ROW()-4)</f>
        <v/>
      </c>
      <c r="B1038" s="17" t="n"/>
      <c r="C1038" s="18" t="n"/>
      <c r="D1038" s="18" t="n"/>
      <c r="E1038" s="19" t="n"/>
      <c r="F1038" s="19" t="n"/>
      <c r="G1038" s="18" t="n"/>
      <c r="H1038" s="18" t="n"/>
      <c r="I1038" s="18" t="n"/>
      <c r="J1038" s="20" t="n"/>
      <c r="K1038" s="21" t="n"/>
      <c r="L1038" s="21" t="n"/>
      <c r="M1038" s="18" t="n"/>
      <c r="N1038" s="22">
        <f>IF($B1038="","",CHOOSE(WEEKDAY($B1038),"الأحد","الاثنين","الثلاثاء","الأربعاء","الخميس","الجمعة","السبت"))</f>
        <v/>
      </c>
      <c r="O1038" s="23">
        <f>IF(OR($K1038="",$L1038=""),"",HYPERLINK("https://maps.google.com/?q="&amp;$K1038&amp;","&amp;$L1038,"عرض الموقع"))</f>
        <v/>
      </c>
      <c r="P1038" s="23">
        <f>IF(OR($B1038="",N($J1038)=0),"",HYPERLINK(PhotoDir&amp;"/"&amp;YEAR($B1038)&amp;"-"&amp;TEXT(MONTH($B1038),"00")&amp;"-"&amp;TEXT(DAY($B1038),"00")&amp;"_"&amp;$D1038,"فتح الصور ("&amp;$J1038&amp;")"))</f>
        <v/>
      </c>
      <c r="Q1038" s="24">
        <f>IF($B1038="","",MONTH($B1038))</f>
        <v/>
      </c>
      <c r="R1038" s="24">
        <f>IF($B1038="","",YEAR($B1038))</f>
        <v/>
      </c>
      <c r="S1038" s="25">
        <f>IF($B1038="","",$B1038-WEEKDAY($B1038,3))</f>
        <v/>
      </c>
      <c r="T1038" s="24">
        <f>IF($B1038="",0,IF(COUNTIFS($B$5:$B1038,$B1038,$D$5:$D1038,$D1038)=1,1,0))</f>
        <v/>
      </c>
      <c r="U1038" s="24">
        <f>IF($B1038="",0,IF(COUNTIFS($B$5:$B1038,$B1038,$C$5:$C1038,$C1038)=1,1,0))</f>
        <v/>
      </c>
      <c r="V1038" s="24">
        <f>IF(OR($B1038="",$G1038="",$G1038="لا توجد مشاهدات"),0,1)</f>
        <v/>
      </c>
      <c r="W1038" s="24">
        <f>IF(AND($B1038&lt;&gt;"",$I1038="تم تحرير مخالفة"),1,0)</f>
        <v/>
      </c>
      <c r="X1038" s="24">
        <f>IF($B1038="","",IF($S1038=WkStart,COUNTIF($S$5:$S1038,WkStart),""))</f>
        <v/>
      </c>
    </row>
    <row r="1039">
      <c r="A1039" s="16">
        <f>IF($B1039="","",ROW()-4)</f>
        <v/>
      </c>
      <c r="B1039" s="17" t="n"/>
      <c r="C1039" s="18" t="n"/>
      <c r="D1039" s="18" t="n"/>
      <c r="E1039" s="19" t="n"/>
      <c r="F1039" s="19" t="n"/>
      <c r="G1039" s="18" t="n"/>
      <c r="H1039" s="18" t="n"/>
      <c r="I1039" s="18" t="n"/>
      <c r="J1039" s="20" t="n"/>
      <c r="K1039" s="21" t="n"/>
      <c r="L1039" s="21" t="n"/>
      <c r="M1039" s="18" t="n"/>
      <c r="N1039" s="22">
        <f>IF($B1039="","",CHOOSE(WEEKDAY($B1039),"الأحد","الاثنين","الثلاثاء","الأربعاء","الخميس","الجمعة","السبت"))</f>
        <v/>
      </c>
      <c r="O1039" s="23">
        <f>IF(OR($K1039="",$L1039=""),"",HYPERLINK("https://maps.google.com/?q="&amp;$K1039&amp;","&amp;$L1039,"عرض الموقع"))</f>
        <v/>
      </c>
      <c r="P1039" s="23">
        <f>IF(OR($B1039="",N($J1039)=0),"",HYPERLINK(PhotoDir&amp;"/"&amp;YEAR($B1039)&amp;"-"&amp;TEXT(MONTH($B1039),"00")&amp;"-"&amp;TEXT(DAY($B1039),"00")&amp;"_"&amp;$D1039,"فتح الصور ("&amp;$J1039&amp;")"))</f>
        <v/>
      </c>
      <c r="Q1039" s="24">
        <f>IF($B1039="","",MONTH($B1039))</f>
        <v/>
      </c>
      <c r="R1039" s="24">
        <f>IF($B1039="","",YEAR($B1039))</f>
        <v/>
      </c>
      <c r="S1039" s="25">
        <f>IF($B1039="","",$B1039-WEEKDAY($B1039,3))</f>
        <v/>
      </c>
      <c r="T1039" s="24">
        <f>IF($B1039="",0,IF(COUNTIFS($B$5:$B1039,$B1039,$D$5:$D1039,$D1039)=1,1,0))</f>
        <v/>
      </c>
      <c r="U1039" s="24">
        <f>IF($B1039="",0,IF(COUNTIFS($B$5:$B1039,$B1039,$C$5:$C1039,$C1039)=1,1,0))</f>
        <v/>
      </c>
      <c r="V1039" s="24">
        <f>IF(OR($B1039="",$G1039="",$G1039="لا توجد مشاهدات"),0,1)</f>
        <v/>
      </c>
      <c r="W1039" s="24">
        <f>IF(AND($B1039&lt;&gt;"",$I1039="تم تحرير مخالفة"),1,0)</f>
        <v/>
      </c>
      <c r="X1039" s="24">
        <f>IF($B1039="","",IF($S1039=WkStart,COUNTIF($S$5:$S1039,WkStart),""))</f>
        <v/>
      </c>
    </row>
    <row r="1040">
      <c r="A1040" s="16">
        <f>IF($B1040="","",ROW()-4)</f>
        <v/>
      </c>
      <c r="B1040" s="17" t="n"/>
      <c r="C1040" s="18" t="n"/>
      <c r="D1040" s="18" t="n"/>
      <c r="E1040" s="19" t="n"/>
      <c r="F1040" s="19" t="n"/>
      <c r="G1040" s="18" t="n"/>
      <c r="H1040" s="18" t="n"/>
      <c r="I1040" s="18" t="n"/>
      <c r="J1040" s="20" t="n"/>
      <c r="K1040" s="21" t="n"/>
      <c r="L1040" s="21" t="n"/>
      <c r="M1040" s="18" t="n"/>
      <c r="N1040" s="22">
        <f>IF($B1040="","",CHOOSE(WEEKDAY($B1040),"الأحد","الاثنين","الثلاثاء","الأربعاء","الخميس","الجمعة","السبت"))</f>
        <v/>
      </c>
      <c r="O1040" s="23">
        <f>IF(OR($K1040="",$L1040=""),"",HYPERLINK("https://maps.google.com/?q="&amp;$K1040&amp;","&amp;$L1040,"عرض الموقع"))</f>
        <v/>
      </c>
      <c r="P1040" s="23">
        <f>IF(OR($B1040="",N($J1040)=0),"",HYPERLINK(PhotoDir&amp;"/"&amp;YEAR($B1040)&amp;"-"&amp;TEXT(MONTH($B1040),"00")&amp;"-"&amp;TEXT(DAY($B1040),"00")&amp;"_"&amp;$D1040,"فتح الصور ("&amp;$J1040&amp;")"))</f>
        <v/>
      </c>
      <c r="Q1040" s="24">
        <f>IF($B1040="","",MONTH($B1040))</f>
        <v/>
      </c>
      <c r="R1040" s="24">
        <f>IF($B1040="","",YEAR($B1040))</f>
        <v/>
      </c>
      <c r="S1040" s="25">
        <f>IF($B1040="","",$B1040-WEEKDAY($B1040,3))</f>
        <v/>
      </c>
      <c r="T1040" s="24">
        <f>IF($B1040="",0,IF(COUNTIFS($B$5:$B1040,$B1040,$D$5:$D1040,$D1040)=1,1,0))</f>
        <v/>
      </c>
      <c r="U1040" s="24">
        <f>IF($B1040="",0,IF(COUNTIFS($B$5:$B1040,$B1040,$C$5:$C1040,$C1040)=1,1,0))</f>
        <v/>
      </c>
      <c r="V1040" s="24">
        <f>IF(OR($B1040="",$G1040="",$G1040="لا توجد مشاهدات"),0,1)</f>
        <v/>
      </c>
      <c r="W1040" s="24">
        <f>IF(AND($B1040&lt;&gt;"",$I1040="تم تحرير مخالفة"),1,0)</f>
        <v/>
      </c>
      <c r="X1040" s="24">
        <f>IF($B1040="","",IF($S1040=WkStart,COUNTIF($S$5:$S1040,WkStart),""))</f>
        <v/>
      </c>
    </row>
    <row r="1041">
      <c r="A1041" s="16">
        <f>IF($B1041="","",ROW()-4)</f>
        <v/>
      </c>
      <c r="B1041" s="17" t="n"/>
      <c r="C1041" s="18" t="n"/>
      <c r="D1041" s="18" t="n"/>
      <c r="E1041" s="19" t="n"/>
      <c r="F1041" s="19" t="n"/>
      <c r="G1041" s="18" t="n"/>
      <c r="H1041" s="18" t="n"/>
      <c r="I1041" s="18" t="n"/>
      <c r="J1041" s="20" t="n"/>
      <c r="K1041" s="21" t="n"/>
      <c r="L1041" s="21" t="n"/>
      <c r="M1041" s="18" t="n"/>
      <c r="N1041" s="22">
        <f>IF($B1041="","",CHOOSE(WEEKDAY($B1041),"الأحد","الاثنين","الثلاثاء","الأربعاء","الخميس","الجمعة","السبت"))</f>
        <v/>
      </c>
      <c r="O1041" s="23">
        <f>IF(OR($K1041="",$L1041=""),"",HYPERLINK("https://maps.google.com/?q="&amp;$K1041&amp;","&amp;$L1041,"عرض الموقع"))</f>
        <v/>
      </c>
      <c r="P1041" s="23">
        <f>IF(OR($B1041="",N($J1041)=0),"",HYPERLINK(PhotoDir&amp;"/"&amp;YEAR($B1041)&amp;"-"&amp;TEXT(MONTH($B1041),"00")&amp;"-"&amp;TEXT(DAY($B1041),"00")&amp;"_"&amp;$D1041,"فتح الصور ("&amp;$J1041&amp;")"))</f>
        <v/>
      </c>
      <c r="Q1041" s="24">
        <f>IF($B1041="","",MONTH($B1041))</f>
        <v/>
      </c>
      <c r="R1041" s="24">
        <f>IF($B1041="","",YEAR($B1041))</f>
        <v/>
      </c>
      <c r="S1041" s="25">
        <f>IF($B1041="","",$B1041-WEEKDAY($B1041,3))</f>
        <v/>
      </c>
      <c r="T1041" s="24">
        <f>IF($B1041="",0,IF(COUNTIFS($B$5:$B1041,$B1041,$D$5:$D1041,$D1041)=1,1,0))</f>
        <v/>
      </c>
      <c r="U1041" s="24">
        <f>IF($B1041="",0,IF(COUNTIFS($B$5:$B1041,$B1041,$C$5:$C1041,$C1041)=1,1,0))</f>
        <v/>
      </c>
      <c r="V1041" s="24">
        <f>IF(OR($B1041="",$G1041="",$G1041="لا توجد مشاهدات"),0,1)</f>
        <v/>
      </c>
      <c r="W1041" s="24">
        <f>IF(AND($B1041&lt;&gt;"",$I1041="تم تحرير مخالفة"),1,0)</f>
        <v/>
      </c>
      <c r="X1041" s="24">
        <f>IF($B1041="","",IF($S1041=WkStart,COUNTIF($S$5:$S1041,WkStart),""))</f>
        <v/>
      </c>
    </row>
    <row r="1042">
      <c r="A1042" s="16">
        <f>IF($B1042="","",ROW()-4)</f>
        <v/>
      </c>
      <c r="B1042" s="17" t="n"/>
      <c r="C1042" s="18" t="n"/>
      <c r="D1042" s="18" t="n"/>
      <c r="E1042" s="19" t="n"/>
      <c r="F1042" s="19" t="n"/>
      <c r="G1042" s="18" t="n"/>
      <c r="H1042" s="18" t="n"/>
      <c r="I1042" s="18" t="n"/>
      <c r="J1042" s="20" t="n"/>
      <c r="K1042" s="21" t="n"/>
      <c r="L1042" s="21" t="n"/>
      <c r="M1042" s="18" t="n"/>
      <c r="N1042" s="22">
        <f>IF($B1042="","",CHOOSE(WEEKDAY($B1042),"الأحد","الاثنين","الثلاثاء","الأربعاء","الخميس","الجمعة","السبت"))</f>
        <v/>
      </c>
      <c r="O1042" s="23">
        <f>IF(OR($K1042="",$L1042=""),"",HYPERLINK("https://maps.google.com/?q="&amp;$K1042&amp;","&amp;$L1042,"عرض الموقع"))</f>
        <v/>
      </c>
      <c r="P1042" s="23">
        <f>IF(OR($B1042="",N($J1042)=0),"",HYPERLINK(PhotoDir&amp;"/"&amp;YEAR($B1042)&amp;"-"&amp;TEXT(MONTH($B1042),"00")&amp;"-"&amp;TEXT(DAY($B1042),"00")&amp;"_"&amp;$D1042,"فتح الصور ("&amp;$J1042&amp;")"))</f>
        <v/>
      </c>
      <c r="Q1042" s="24">
        <f>IF($B1042="","",MONTH($B1042))</f>
        <v/>
      </c>
      <c r="R1042" s="24">
        <f>IF($B1042="","",YEAR($B1042))</f>
        <v/>
      </c>
      <c r="S1042" s="25">
        <f>IF($B1042="","",$B1042-WEEKDAY($B1042,3))</f>
        <v/>
      </c>
      <c r="T1042" s="24">
        <f>IF($B1042="",0,IF(COUNTIFS($B$5:$B1042,$B1042,$D$5:$D1042,$D1042)=1,1,0))</f>
        <v/>
      </c>
      <c r="U1042" s="24">
        <f>IF($B1042="",0,IF(COUNTIFS($B$5:$B1042,$B1042,$C$5:$C1042,$C1042)=1,1,0))</f>
        <v/>
      </c>
      <c r="V1042" s="24">
        <f>IF(OR($B1042="",$G1042="",$G1042="لا توجد مشاهدات"),0,1)</f>
        <v/>
      </c>
      <c r="W1042" s="24">
        <f>IF(AND($B1042&lt;&gt;"",$I1042="تم تحرير مخالفة"),1,0)</f>
        <v/>
      </c>
      <c r="X1042" s="24">
        <f>IF($B1042="","",IF($S1042=WkStart,COUNTIF($S$5:$S1042,WkStart),""))</f>
        <v/>
      </c>
    </row>
    <row r="1043">
      <c r="A1043" s="16">
        <f>IF($B1043="","",ROW()-4)</f>
        <v/>
      </c>
      <c r="B1043" s="17" t="n"/>
      <c r="C1043" s="18" t="n"/>
      <c r="D1043" s="18" t="n"/>
      <c r="E1043" s="19" t="n"/>
      <c r="F1043" s="19" t="n"/>
      <c r="G1043" s="18" t="n"/>
      <c r="H1043" s="18" t="n"/>
      <c r="I1043" s="18" t="n"/>
      <c r="J1043" s="20" t="n"/>
      <c r="K1043" s="21" t="n"/>
      <c r="L1043" s="21" t="n"/>
      <c r="M1043" s="18" t="n"/>
      <c r="N1043" s="22">
        <f>IF($B1043="","",CHOOSE(WEEKDAY($B1043),"الأحد","الاثنين","الثلاثاء","الأربعاء","الخميس","الجمعة","السبت"))</f>
        <v/>
      </c>
      <c r="O1043" s="23">
        <f>IF(OR($K1043="",$L1043=""),"",HYPERLINK("https://maps.google.com/?q="&amp;$K1043&amp;","&amp;$L1043,"عرض الموقع"))</f>
        <v/>
      </c>
      <c r="P1043" s="23">
        <f>IF(OR($B1043="",N($J1043)=0),"",HYPERLINK(PhotoDir&amp;"/"&amp;YEAR($B1043)&amp;"-"&amp;TEXT(MONTH($B1043),"00")&amp;"-"&amp;TEXT(DAY($B1043),"00")&amp;"_"&amp;$D1043,"فتح الصور ("&amp;$J1043&amp;")"))</f>
        <v/>
      </c>
      <c r="Q1043" s="24">
        <f>IF($B1043="","",MONTH($B1043))</f>
        <v/>
      </c>
      <c r="R1043" s="24">
        <f>IF($B1043="","",YEAR($B1043))</f>
        <v/>
      </c>
      <c r="S1043" s="25">
        <f>IF($B1043="","",$B1043-WEEKDAY($B1043,3))</f>
        <v/>
      </c>
      <c r="T1043" s="24">
        <f>IF($B1043="",0,IF(COUNTIFS($B$5:$B1043,$B1043,$D$5:$D1043,$D1043)=1,1,0))</f>
        <v/>
      </c>
      <c r="U1043" s="24">
        <f>IF($B1043="",0,IF(COUNTIFS($B$5:$B1043,$B1043,$C$5:$C1043,$C1043)=1,1,0))</f>
        <v/>
      </c>
      <c r="V1043" s="24">
        <f>IF(OR($B1043="",$G1043="",$G1043="لا توجد مشاهدات"),0,1)</f>
        <v/>
      </c>
      <c r="W1043" s="24">
        <f>IF(AND($B1043&lt;&gt;"",$I1043="تم تحرير مخالفة"),1,0)</f>
        <v/>
      </c>
      <c r="X1043" s="24">
        <f>IF($B1043="","",IF($S1043=WkStart,COUNTIF($S$5:$S1043,WkStart),""))</f>
        <v/>
      </c>
    </row>
    <row r="1044">
      <c r="A1044" s="16">
        <f>IF($B1044="","",ROW()-4)</f>
        <v/>
      </c>
      <c r="B1044" s="17" t="n"/>
      <c r="C1044" s="18" t="n"/>
      <c r="D1044" s="18" t="n"/>
      <c r="E1044" s="19" t="n"/>
      <c r="F1044" s="19" t="n"/>
      <c r="G1044" s="18" t="n"/>
      <c r="H1044" s="18" t="n"/>
      <c r="I1044" s="18" t="n"/>
      <c r="J1044" s="20" t="n"/>
      <c r="K1044" s="21" t="n"/>
      <c r="L1044" s="21" t="n"/>
      <c r="M1044" s="18" t="n"/>
      <c r="N1044" s="22">
        <f>IF($B1044="","",CHOOSE(WEEKDAY($B1044),"الأحد","الاثنين","الثلاثاء","الأربعاء","الخميس","الجمعة","السبت"))</f>
        <v/>
      </c>
      <c r="O1044" s="23">
        <f>IF(OR($K1044="",$L1044=""),"",HYPERLINK("https://maps.google.com/?q="&amp;$K1044&amp;","&amp;$L1044,"عرض الموقع"))</f>
        <v/>
      </c>
      <c r="P1044" s="23">
        <f>IF(OR($B1044="",N($J1044)=0),"",HYPERLINK(PhotoDir&amp;"/"&amp;YEAR($B1044)&amp;"-"&amp;TEXT(MONTH($B1044),"00")&amp;"-"&amp;TEXT(DAY($B1044),"00")&amp;"_"&amp;$D1044,"فتح الصور ("&amp;$J1044&amp;")"))</f>
        <v/>
      </c>
      <c r="Q1044" s="24">
        <f>IF($B1044="","",MONTH($B1044))</f>
        <v/>
      </c>
      <c r="R1044" s="24">
        <f>IF($B1044="","",YEAR($B1044))</f>
        <v/>
      </c>
      <c r="S1044" s="25">
        <f>IF($B1044="","",$B1044-WEEKDAY($B1044,3))</f>
        <v/>
      </c>
      <c r="T1044" s="24">
        <f>IF($B1044="",0,IF(COUNTIFS($B$5:$B1044,$B1044,$D$5:$D1044,$D1044)=1,1,0))</f>
        <v/>
      </c>
      <c r="U1044" s="24">
        <f>IF($B1044="",0,IF(COUNTIFS($B$5:$B1044,$B1044,$C$5:$C1044,$C1044)=1,1,0))</f>
        <v/>
      </c>
      <c r="V1044" s="24">
        <f>IF(OR($B1044="",$G1044="",$G1044="لا توجد مشاهدات"),0,1)</f>
        <v/>
      </c>
      <c r="W1044" s="24">
        <f>IF(AND($B1044&lt;&gt;"",$I1044="تم تحرير مخالفة"),1,0)</f>
        <v/>
      </c>
      <c r="X1044" s="24">
        <f>IF($B1044="","",IF($S1044=WkStart,COUNTIF($S$5:$S1044,WkStart),""))</f>
        <v/>
      </c>
    </row>
    <row r="1045">
      <c r="A1045" s="16">
        <f>IF($B1045="","",ROW()-4)</f>
        <v/>
      </c>
      <c r="B1045" s="17" t="n"/>
      <c r="C1045" s="18" t="n"/>
      <c r="D1045" s="18" t="n"/>
      <c r="E1045" s="19" t="n"/>
      <c r="F1045" s="19" t="n"/>
      <c r="G1045" s="18" t="n"/>
      <c r="H1045" s="18" t="n"/>
      <c r="I1045" s="18" t="n"/>
      <c r="J1045" s="20" t="n"/>
      <c r="K1045" s="21" t="n"/>
      <c r="L1045" s="21" t="n"/>
      <c r="M1045" s="18" t="n"/>
      <c r="N1045" s="22">
        <f>IF($B1045="","",CHOOSE(WEEKDAY($B1045),"الأحد","الاثنين","الثلاثاء","الأربعاء","الخميس","الجمعة","السبت"))</f>
        <v/>
      </c>
      <c r="O1045" s="23">
        <f>IF(OR($K1045="",$L1045=""),"",HYPERLINK("https://maps.google.com/?q="&amp;$K1045&amp;","&amp;$L1045,"عرض الموقع"))</f>
        <v/>
      </c>
      <c r="P1045" s="23">
        <f>IF(OR($B1045="",N($J1045)=0),"",HYPERLINK(PhotoDir&amp;"/"&amp;YEAR($B1045)&amp;"-"&amp;TEXT(MONTH($B1045),"00")&amp;"-"&amp;TEXT(DAY($B1045),"00")&amp;"_"&amp;$D1045,"فتح الصور ("&amp;$J1045&amp;")"))</f>
        <v/>
      </c>
      <c r="Q1045" s="24">
        <f>IF($B1045="","",MONTH($B1045))</f>
        <v/>
      </c>
      <c r="R1045" s="24">
        <f>IF($B1045="","",YEAR($B1045))</f>
        <v/>
      </c>
      <c r="S1045" s="25">
        <f>IF($B1045="","",$B1045-WEEKDAY($B1045,3))</f>
        <v/>
      </c>
      <c r="T1045" s="24">
        <f>IF($B1045="",0,IF(COUNTIFS($B$5:$B1045,$B1045,$D$5:$D1045,$D1045)=1,1,0))</f>
        <v/>
      </c>
      <c r="U1045" s="24">
        <f>IF($B1045="",0,IF(COUNTIFS($B$5:$B1045,$B1045,$C$5:$C1045,$C1045)=1,1,0))</f>
        <v/>
      </c>
      <c r="V1045" s="24">
        <f>IF(OR($B1045="",$G1045="",$G1045="لا توجد مشاهدات"),0,1)</f>
        <v/>
      </c>
      <c r="W1045" s="24">
        <f>IF(AND($B1045&lt;&gt;"",$I1045="تم تحرير مخالفة"),1,0)</f>
        <v/>
      </c>
      <c r="X1045" s="24">
        <f>IF($B1045="","",IF($S1045=WkStart,COUNTIF($S$5:$S1045,WkStart),""))</f>
        <v/>
      </c>
    </row>
    <row r="1046">
      <c r="A1046" s="16">
        <f>IF($B1046="","",ROW()-4)</f>
        <v/>
      </c>
      <c r="B1046" s="17" t="n"/>
      <c r="C1046" s="18" t="n"/>
      <c r="D1046" s="18" t="n"/>
      <c r="E1046" s="19" t="n"/>
      <c r="F1046" s="19" t="n"/>
      <c r="G1046" s="18" t="n"/>
      <c r="H1046" s="18" t="n"/>
      <c r="I1046" s="18" t="n"/>
      <c r="J1046" s="20" t="n"/>
      <c r="K1046" s="21" t="n"/>
      <c r="L1046" s="21" t="n"/>
      <c r="M1046" s="18" t="n"/>
      <c r="N1046" s="22">
        <f>IF($B1046="","",CHOOSE(WEEKDAY($B1046),"الأحد","الاثنين","الثلاثاء","الأربعاء","الخميس","الجمعة","السبت"))</f>
        <v/>
      </c>
      <c r="O1046" s="23">
        <f>IF(OR($K1046="",$L1046=""),"",HYPERLINK("https://maps.google.com/?q="&amp;$K1046&amp;","&amp;$L1046,"عرض الموقع"))</f>
        <v/>
      </c>
      <c r="P1046" s="23">
        <f>IF(OR($B1046="",N($J1046)=0),"",HYPERLINK(PhotoDir&amp;"/"&amp;YEAR($B1046)&amp;"-"&amp;TEXT(MONTH($B1046),"00")&amp;"-"&amp;TEXT(DAY($B1046),"00")&amp;"_"&amp;$D1046,"فتح الصور ("&amp;$J1046&amp;")"))</f>
        <v/>
      </c>
      <c r="Q1046" s="24">
        <f>IF($B1046="","",MONTH($B1046))</f>
        <v/>
      </c>
      <c r="R1046" s="24">
        <f>IF($B1046="","",YEAR($B1046))</f>
        <v/>
      </c>
      <c r="S1046" s="25">
        <f>IF($B1046="","",$B1046-WEEKDAY($B1046,3))</f>
        <v/>
      </c>
      <c r="T1046" s="24">
        <f>IF($B1046="",0,IF(COUNTIFS($B$5:$B1046,$B1046,$D$5:$D1046,$D1046)=1,1,0))</f>
        <v/>
      </c>
      <c r="U1046" s="24">
        <f>IF($B1046="",0,IF(COUNTIFS($B$5:$B1046,$B1046,$C$5:$C1046,$C1046)=1,1,0))</f>
        <v/>
      </c>
      <c r="V1046" s="24">
        <f>IF(OR($B1046="",$G1046="",$G1046="لا توجد مشاهدات"),0,1)</f>
        <v/>
      </c>
      <c r="W1046" s="24">
        <f>IF(AND($B1046&lt;&gt;"",$I1046="تم تحرير مخالفة"),1,0)</f>
        <v/>
      </c>
      <c r="X1046" s="24">
        <f>IF($B1046="","",IF($S1046=WkStart,COUNTIF($S$5:$S1046,WkStart),""))</f>
        <v/>
      </c>
    </row>
    <row r="1047">
      <c r="A1047" s="16">
        <f>IF($B1047="","",ROW()-4)</f>
        <v/>
      </c>
      <c r="B1047" s="17" t="n"/>
      <c r="C1047" s="18" t="n"/>
      <c r="D1047" s="18" t="n"/>
      <c r="E1047" s="19" t="n"/>
      <c r="F1047" s="19" t="n"/>
      <c r="G1047" s="18" t="n"/>
      <c r="H1047" s="18" t="n"/>
      <c r="I1047" s="18" t="n"/>
      <c r="J1047" s="20" t="n"/>
      <c r="K1047" s="21" t="n"/>
      <c r="L1047" s="21" t="n"/>
      <c r="M1047" s="18" t="n"/>
      <c r="N1047" s="22">
        <f>IF($B1047="","",CHOOSE(WEEKDAY($B1047),"الأحد","الاثنين","الثلاثاء","الأربعاء","الخميس","الجمعة","السبت"))</f>
        <v/>
      </c>
      <c r="O1047" s="23">
        <f>IF(OR($K1047="",$L1047=""),"",HYPERLINK("https://maps.google.com/?q="&amp;$K1047&amp;","&amp;$L1047,"عرض الموقع"))</f>
        <v/>
      </c>
      <c r="P1047" s="23">
        <f>IF(OR($B1047="",N($J1047)=0),"",HYPERLINK(PhotoDir&amp;"/"&amp;YEAR($B1047)&amp;"-"&amp;TEXT(MONTH($B1047),"00")&amp;"-"&amp;TEXT(DAY($B1047),"00")&amp;"_"&amp;$D1047,"فتح الصور ("&amp;$J1047&amp;")"))</f>
        <v/>
      </c>
      <c r="Q1047" s="24">
        <f>IF($B1047="","",MONTH($B1047))</f>
        <v/>
      </c>
      <c r="R1047" s="24">
        <f>IF($B1047="","",YEAR($B1047))</f>
        <v/>
      </c>
      <c r="S1047" s="25">
        <f>IF($B1047="","",$B1047-WEEKDAY($B1047,3))</f>
        <v/>
      </c>
      <c r="T1047" s="24">
        <f>IF($B1047="",0,IF(COUNTIFS($B$5:$B1047,$B1047,$D$5:$D1047,$D1047)=1,1,0))</f>
        <v/>
      </c>
      <c r="U1047" s="24">
        <f>IF($B1047="",0,IF(COUNTIFS($B$5:$B1047,$B1047,$C$5:$C1047,$C1047)=1,1,0))</f>
        <v/>
      </c>
      <c r="V1047" s="24">
        <f>IF(OR($B1047="",$G1047="",$G1047="لا توجد مشاهدات"),0,1)</f>
        <v/>
      </c>
      <c r="W1047" s="24">
        <f>IF(AND($B1047&lt;&gt;"",$I1047="تم تحرير مخالفة"),1,0)</f>
        <v/>
      </c>
      <c r="X1047" s="24">
        <f>IF($B1047="","",IF($S1047=WkStart,COUNTIF($S$5:$S1047,WkStart),""))</f>
        <v/>
      </c>
    </row>
    <row r="1048">
      <c r="A1048" s="16">
        <f>IF($B1048="","",ROW()-4)</f>
        <v/>
      </c>
      <c r="B1048" s="17" t="n"/>
      <c r="C1048" s="18" t="n"/>
      <c r="D1048" s="18" t="n"/>
      <c r="E1048" s="19" t="n"/>
      <c r="F1048" s="19" t="n"/>
      <c r="G1048" s="18" t="n"/>
      <c r="H1048" s="18" t="n"/>
      <c r="I1048" s="18" t="n"/>
      <c r="J1048" s="20" t="n"/>
      <c r="K1048" s="21" t="n"/>
      <c r="L1048" s="21" t="n"/>
      <c r="M1048" s="18" t="n"/>
      <c r="N1048" s="22">
        <f>IF($B1048="","",CHOOSE(WEEKDAY($B1048),"الأحد","الاثنين","الثلاثاء","الأربعاء","الخميس","الجمعة","السبت"))</f>
        <v/>
      </c>
      <c r="O1048" s="23">
        <f>IF(OR($K1048="",$L1048=""),"",HYPERLINK("https://maps.google.com/?q="&amp;$K1048&amp;","&amp;$L1048,"عرض الموقع"))</f>
        <v/>
      </c>
      <c r="P1048" s="23">
        <f>IF(OR($B1048="",N($J1048)=0),"",HYPERLINK(PhotoDir&amp;"/"&amp;YEAR($B1048)&amp;"-"&amp;TEXT(MONTH($B1048),"00")&amp;"-"&amp;TEXT(DAY($B1048),"00")&amp;"_"&amp;$D1048,"فتح الصور ("&amp;$J1048&amp;")"))</f>
        <v/>
      </c>
      <c r="Q1048" s="24">
        <f>IF($B1048="","",MONTH($B1048))</f>
        <v/>
      </c>
      <c r="R1048" s="24">
        <f>IF($B1048="","",YEAR($B1048))</f>
        <v/>
      </c>
      <c r="S1048" s="25">
        <f>IF($B1048="","",$B1048-WEEKDAY($B1048,3))</f>
        <v/>
      </c>
      <c r="T1048" s="24">
        <f>IF($B1048="",0,IF(COUNTIFS($B$5:$B1048,$B1048,$D$5:$D1048,$D1048)=1,1,0))</f>
        <v/>
      </c>
      <c r="U1048" s="24">
        <f>IF($B1048="",0,IF(COUNTIFS($B$5:$B1048,$B1048,$C$5:$C1048,$C1048)=1,1,0))</f>
        <v/>
      </c>
      <c r="V1048" s="24">
        <f>IF(OR($B1048="",$G1048="",$G1048="لا توجد مشاهدات"),0,1)</f>
        <v/>
      </c>
      <c r="W1048" s="24">
        <f>IF(AND($B1048&lt;&gt;"",$I1048="تم تحرير مخالفة"),1,0)</f>
        <v/>
      </c>
      <c r="X1048" s="24">
        <f>IF($B1048="","",IF($S1048=WkStart,COUNTIF($S$5:$S1048,WkStart),""))</f>
        <v/>
      </c>
    </row>
    <row r="1049">
      <c r="A1049" s="16">
        <f>IF($B1049="","",ROW()-4)</f>
        <v/>
      </c>
      <c r="B1049" s="17" t="n"/>
      <c r="C1049" s="18" t="n"/>
      <c r="D1049" s="18" t="n"/>
      <c r="E1049" s="19" t="n"/>
      <c r="F1049" s="19" t="n"/>
      <c r="G1049" s="18" t="n"/>
      <c r="H1049" s="18" t="n"/>
      <c r="I1049" s="18" t="n"/>
      <c r="J1049" s="20" t="n"/>
      <c r="K1049" s="21" t="n"/>
      <c r="L1049" s="21" t="n"/>
      <c r="M1049" s="18" t="n"/>
      <c r="N1049" s="22">
        <f>IF($B1049="","",CHOOSE(WEEKDAY($B1049),"الأحد","الاثنين","الثلاثاء","الأربعاء","الخميس","الجمعة","السبت"))</f>
        <v/>
      </c>
      <c r="O1049" s="23">
        <f>IF(OR($K1049="",$L1049=""),"",HYPERLINK("https://maps.google.com/?q="&amp;$K1049&amp;","&amp;$L1049,"عرض الموقع"))</f>
        <v/>
      </c>
      <c r="P1049" s="23">
        <f>IF(OR($B1049="",N($J1049)=0),"",HYPERLINK(PhotoDir&amp;"/"&amp;YEAR($B1049)&amp;"-"&amp;TEXT(MONTH($B1049),"00")&amp;"-"&amp;TEXT(DAY($B1049),"00")&amp;"_"&amp;$D1049,"فتح الصور ("&amp;$J1049&amp;")"))</f>
        <v/>
      </c>
      <c r="Q1049" s="24">
        <f>IF($B1049="","",MONTH($B1049))</f>
        <v/>
      </c>
      <c r="R1049" s="24">
        <f>IF($B1049="","",YEAR($B1049))</f>
        <v/>
      </c>
      <c r="S1049" s="25">
        <f>IF($B1049="","",$B1049-WEEKDAY($B1049,3))</f>
        <v/>
      </c>
      <c r="T1049" s="24">
        <f>IF($B1049="",0,IF(COUNTIFS($B$5:$B1049,$B1049,$D$5:$D1049,$D1049)=1,1,0))</f>
        <v/>
      </c>
      <c r="U1049" s="24">
        <f>IF($B1049="",0,IF(COUNTIFS($B$5:$B1049,$B1049,$C$5:$C1049,$C1049)=1,1,0))</f>
        <v/>
      </c>
      <c r="V1049" s="24">
        <f>IF(OR($B1049="",$G1049="",$G1049="لا توجد مشاهدات"),0,1)</f>
        <v/>
      </c>
      <c r="W1049" s="24">
        <f>IF(AND($B1049&lt;&gt;"",$I1049="تم تحرير مخالفة"),1,0)</f>
        <v/>
      </c>
      <c r="X1049" s="24">
        <f>IF($B1049="","",IF($S1049=WkStart,COUNTIF($S$5:$S1049,WkStart),""))</f>
        <v/>
      </c>
    </row>
    <row r="1050">
      <c r="A1050" s="16">
        <f>IF($B1050="","",ROW()-4)</f>
        <v/>
      </c>
      <c r="B1050" s="17" t="n"/>
      <c r="C1050" s="18" t="n"/>
      <c r="D1050" s="18" t="n"/>
      <c r="E1050" s="19" t="n"/>
      <c r="F1050" s="19" t="n"/>
      <c r="G1050" s="18" t="n"/>
      <c r="H1050" s="18" t="n"/>
      <c r="I1050" s="18" t="n"/>
      <c r="J1050" s="20" t="n"/>
      <c r="K1050" s="21" t="n"/>
      <c r="L1050" s="21" t="n"/>
      <c r="M1050" s="18" t="n"/>
      <c r="N1050" s="22">
        <f>IF($B1050="","",CHOOSE(WEEKDAY($B1050),"الأحد","الاثنين","الثلاثاء","الأربعاء","الخميس","الجمعة","السبت"))</f>
        <v/>
      </c>
      <c r="O1050" s="23">
        <f>IF(OR($K1050="",$L1050=""),"",HYPERLINK("https://maps.google.com/?q="&amp;$K1050&amp;","&amp;$L1050,"عرض الموقع"))</f>
        <v/>
      </c>
      <c r="P1050" s="23">
        <f>IF(OR($B1050="",N($J1050)=0),"",HYPERLINK(PhotoDir&amp;"/"&amp;YEAR($B1050)&amp;"-"&amp;TEXT(MONTH($B1050),"00")&amp;"-"&amp;TEXT(DAY($B1050),"00")&amp;"_"&amp;$D1050,"فتح الصور ("&amp;$J1050&amp;")"))</f>
        <v/>
      </c>
      <c r="Q1050" s="24">
        <f>IF($B1050="","",MONTH($B1050))</f>
        <v/>
      </c>
      <c r="R1050" s="24">
        <f>IF($B1050="","",YEAR($B1050))</f>
        <v/>
      </c>
      <c r="S1050" s="25">
        <f>IF($B1050="","",$B1050-WEEKDAY($B1050,3))</f>
        <v/>
      </c>
      <c r="T1050" s="24">
        <f>IF($B1050="",0,IF(COUNTIFS($B$5:$B1050,$B1050,$D$5:$D1050,$D1050)=1,1,0))</f>
        <v/>
      </c>
      <c r="U1050" s="24">
        <f>IF($B1050="",0,IF(COUNTIFS($B$5:$B1050,$B1050,$C$5:$C1050,$C1050)=1,1,0))</f>
        <v/>
      </c>
      <c r="V1050" s="24">
        <f>IF(OR($B1050="",$G1050="",$G1050="لا توجد مشاهدات"),0,1)</f>
        <v/>
      </c>
      <c r="W1050" s="24">
        <f>IF(AND($B1050&lt;&gt;"",$I1050="تم تحرير مخالفة"),1,0)</f>
        <v/>
      </c>
      <c r="X1050" s="24">
        <f>IF($B1050="","",IF($S1050=WkStart,COUNTIF($S$5:$S1050,WkStart),""))</f>
        <v/>
      </c>
    </row>
    <row r="1051">
      <c r="A1051" s="16">
        <f>IF($B1051="","",ROW()-4)</f>
        <v/>
      </c>
      <c r="B1051" s="17" t="n"/>
      <c r="C1051" s="18" t="n"/>
      <c r="D1051" s="18" t="n"/>
      <c r="E1051" s="19" t="n"/>
      <c r="F1051" s="19" t="n"/>
      <c r="G1051" s="18" t="n"/>
      <c r="H1051" s="18" t="n"/>
      <c r="I1051" s="18" t="n"/>
      <c r="J1051" s="20" t="n"/>
      <c r="K1051" s="21" t="n"/>
      <c r="L1051" s="21" t="n"/>
      <c r="M1051" s="18" t="n"/>
      <c r="N1051" s="22">
        <f>IF($B1051="","",CHOOSE(WEEKDAY($B1051),"الأحد","الاثنين","الثلاثاء","الأربعاء","الخميس","الجمعة","السبت"))</f>
        <v/>
      </c>
      <c r="O1051" s="23">
        <f>IF(OR($K1051="",$L1051=""),"",HYPERLINK("https://maps.google.com/?q="&amp;$K1051&amp;","&amp;$L1051,"عرض الموقع"))</f>
        <v/>
      </c>
      <c r="P1051" s="23">
        <f>IF(OR($B1051="",N($J1051)=0),"",HYPERLINK(PhotoDir&amp;"/"&amp;YEAR($B1051)&amp;"-"&amp;TEXT(MONTH($B1051),"00")&amp;"-"&amp;TEXT(DAY($B1051),"00")&amp;"_"&amp;$D1051,"فتح الصور ("&amp;$J1051&amp;")"))</f>
        <v/>
      </c>
      <c r="Q1051" s="24">
        <f>IF($B1051="","",MONTH($B1051))</f>
        <v/>
      </c>
      <c r="R1051" s="24">
        <f>IF($B1051="","",YEAR($B1051))</f>
        <v/>
      </c>
      <c r="S1051" s="25">
        <f>IF($B1051="","",$B1051-WEEKDAY($B1051,3))</f>
        <v/>
      </c>
      <c r="T1051" s="24">
        <f>IF($B1051="",0,IF(COUNTIFS($B$5:$B1051,$B1051,$D$5:$D1051,$D1051)=1,1,0))</f>
        <v/>
      </c>
      <c r="U1051" s="24">
        <f>IF($B1051="",0,IF(COUNTIFS($B$5:$B1051,$B1051,$C$5:$C1051,$C1051)=1,1,0))</f>
        <v/>
      </c>
      <c r="V1051" s="24">
        <f>IF(OR($B1051="",$G1051="",$G1051="لا توجد مشاهدات"),0,1)</f>
        <v/>
      </c>
      <c r="W1051" s="24">
        <f>IF(AND($B1051&lt;&gt;"",$I1051="تم تحرير مخالفة"),1,0)</f>
        <v/>
      </c>
      <c r="X1051" s="24">
        <f>IF($B1051="","",IF($S1051=WkStart,COUNTIF($S$5:$S1051,WkStart),""))</f>
        <v/>
      </c>
    </row>
    <row r="1052">
      <c r="A1052" s="16">
        <f>IF($B1052="","",ROW()-4)</f>
        <v/>
      </c>
      <c r="B1052" s="17" t="n"/>
      <c r="C1052" s="18" t="n"/>
      <c r="D1052" s="18" t="n"/>
      <c r="E1052" s="19" t="n"/>
      <c r="F1052" s="19" t="n"/>
      <c r="G1052" s="18" t="n"/>
      <c r="H1052" s="18" t="n"/>
      <c r="I1052" s="18" t="n"/>
      <c r="J1052" s="20" t="n"/>
      <c r="K1052" s="21" t="n"/>
      <c r="L1052" s="21" t="n"/>
      <c r="M1052" s="18" t="n"/>
      <c r="N1052" s="22">
        <f>IF($B1052="","",CHOOSE(WEEKDAY($B1052),"الأحد","الاثنين","الثلاثاء","الأربعاء","الخميس","الجمعة","السبت"))</f>
        <v/>
      </c>
      <c r="O1052" s="23">
        <f>IF(OR($K1052="",$L1052=""),"",HYPERLINK("https://maps.google.com/?q="&amp;$K1052&amp;","&amp;$L1052,"عرض الموقع"))</f>
        <v/>
      </c>
      <c r="P1052" s="23">
        <f>IF(OR($B1052="",N($J1052)=0),"",HYPERLINK(PhotoDir&amp;"/"&amp;YEAR($B1052)&amp;"-"&amp;TEXT(MONTH($B1052),"00")&amp;"-"&amp;TEXT(DAY($B1052),"00")&amp;"_"&amp;$D1052,"فتح الصور ("&amp;$J1052&amp;")"))</f>
        <v/>
      </c>
      <c r="Q1052" s="24">
        <f>IF($B1052="","",MONTH($B1052))</f>
        <v/>
      </c>
      <c r="R1052" s="24">
        <f>IF($B1052="","",YEAR($B1052))</f>
        <v/>
      </c>
      <c r="S1052" s="25">
        <f>IF($B1052="","",$B1052-WEEKDAY($B1052,3))</f>
        <v/>
      </c>
      <c r="T1052" s="24">
        <f>IF($B1052="",0,IF(COUNTIFS($B$5:$B1052,$B1052,$D$5:$D1052,$D1052)=1,1,0))</f>
        <v/>
      </c>
      <c r="U1052" s="24">
        <f>IF($B1052="",0,IF(COUNTIFS($B$5:$B1052,$B1052,$C$5:$C1052,$C1052)=1,1,0))</f>
        <v/>
      </c>
      <c r="V1052" s="24">
        <f>IF(OR($B1052="",$G1052="",$G1052="لا توجد مشاهدات"),0,1)</f>
        <v/>
      </c>
      <c r="W1052" s="24">
        <f>IF(AND($B1052&lt;&gt;"",$I1052="تم تحرير مخالفة"),1,0)</f>
        <v/>
      </c>
      <c r="X1052" s="24">
        <f>IF($B1052="","",IF($S1052=WkStart,COUNTIF($S$5:$S1052,WkStart),""))</f>
        <v/>
      </c>
    </row>
    <row r="1053">
      <c r="A1053" s="16">
        <f>IF($B1053="","",ROW()-4)</f>
        <v/>
      </c>
      <c r="B1053" s="17" t="n"/>
      <c r="C1053" s="18" t="n"/>
      <c r="D1053" s="18" t="n"/>
      <c r="E1053" s="19" t="n"/>
      <c r="F1053" s="19" t="n"/>
      <c r="G1053" s="18" t="n"/>
      <c r="H1053" s="18" t="n"/>
      <c r="I1053" s="18" t="n"/>
      <c r="J1053" s="20" t="n"/>
      <c r="K1053" s="21" t="n"/>
      <c r="L1053" s="21" t="n"/>
      <c r="M1053" s="18" t="n"/>
      <c r="N1053" s="22">
        <f>IF($B1053="","",CHOOSE(WEEKDAY($B1053),"الأحد","الاثنين","الثلاثاء","الأربعاء","الخميس","الجمعة","السبت"))</f>
        <v/>
      </c>
      <c r="O1053" s="23">
        <f>IF(OR($K1053="",$L1053=""),"",HYPERLINK("https://maps.google.com/?q="&amp;$K1053&amp;","&amp;$L1053,"عرض الموقع"))</f>
        <v/>
      </c>
      <c r="P1053" s="23">
        <f>IF(OR($B1053="",N($J1053)=0),"",HYPERLINK(PhotoDir&amp;"/"&amp;YEAR($B1053)&amp;"-"&amp;TEXT(MONTH($B1053),"00")&amp;"-"&amp;TEXT(DAY($B1053),"00")&amp;"_"&amp;$D1053,"فتح الصور ("&amp;$J1053&amp;")"))</f>
        <v/>
      </c>
      <c r="Q1053" s="24">
        <f>IF($B1053="","",MONTH($B1053))</f>
        <v/>
      </c>
      <c r="R1053" s="24">
        <f>IF($B1053="","",YEAR($B1053))</f>
        <v/>
      </c>
      <c r="S1053" s="25">
        <f>IF($B1053="","",$B1053-WEEKDAY($B1053,3))</f>
        <v/>
      </c>
      <c r="T1053" s="24">
        <f>IF($B1053="",0,IF(COUNTIFS($B$5:$B1053,$B1053,$D$5:$D1053,$D1053)=1,1,0))</f>
        <v/>
      </c>
      <c r="U1053" s="24">
        <f>IF($B1053="",0,IF(COUNTIFS($B$5:$B1053,$B1053,$C$5:$C1053,$C1053)=1,1,0))</f>
        <v/>
      </c>
      <c r="V1053" s="24">
        <f>IF(OR($B1053="",$G1053="",$G1053="لا توجد مشاهدات"),0,1)</f>
        <v/>
      </c>
      <c r="W1053" s="24">
        <f>IF(AND($B1053&lt;&gt;"",$I1053="تم تحرير مخالفة"),1,0)</f>
        <v/>
      </c>
      <c r="X1053" s="24">
        <f>IF($B1053="","",IF($S1053=WkStart,COUNTIF($S$5:$S1053,WkStart),""))</f>
        <v/>
      </c>
    </row>
    <row r="1054">
      <c r="A1054" s="16">
        <f>IF($B1054="","",ROW()-4)</f>
        <v/>
      </c>
      <c r="B1054" s="17" t="n"/>
      <c r="C1054" s="18" t="n"/>
      <c r="D1054" s="18" t="n"/>
      <c r="E1054" s="19" t="n"/>
      <c r="F1054" s="19" t="n"/>
      <c r="G1054" s="18" t="n"/>
      <c r="H1054" s="18" t="n"/>
      <c r="I1054" s="18" t="n"/>
      <c r="J1054" s="20" t="n"/>
      <c r="K1054" s="21" t="n"/>
      <c r="L1054" s="21" t="n"/>
      <c r="M1054" s="18" t="n"/>
      <c r="N1054" s="22">
        <f>IF($B1054="","",CHOOSE(WEEKDAY($B1054),"الأحد","الاثنين","الثلاثاء","الأربعاء","الخميس","الجمعة","السبت"))</f>
        <v/>
      </c>
      <c r="O1054" s="23">
        <f>IF(OR($K1054="",$L1054=""),"",HYPERLINK("https://maps.google.com/?q="&amp;$K1054&amp;","&amp;$L1054,"عرض الموقع"))</f>
        <v/>
      </c>
      <c r="P1054" s="23">
        <f>IF(OR($B1054="",N($J1054)=0),"",HYPERLINK(PhotoDir&amp;"/"&amp;YEAR($B1054)&amp;"-"&amp;TEXT(MONTH($B1054),"00")&amp;"-"&amp;TEXT(DAY($B1054),"00")&amp;"_"&amp;$D1054,"فتح الصور ("&amp;$J1054&amp;")"))</f>
        <v/>
      </c>
      <c r="Q1054" s="24">
        <f>IF($B1054="","",MONTH($B1054))</f>
        <v/>
      </c>
      <c r="R1054" s="24">
        <f>IF($B1054="","",YEAR($B1054))</f>
        <v/>
      </c>
      <c r="S1054" s="25">
        <f>IF($B1054="","",$B1054-WEEKDAY($B1054,3))</f>
        <v/>
      </c>
      <c r="T1054" s="24">
        <f>IF($B1054="",0,IF(COUNTIFS($B$5:$B1054,$B1054,$D$5:$D1054,$D1054)=1,1,0))</f>
        <v/>
      </c>
      <c r="U1054" s="24">
        <f>IF($B1054="",0,IF(COUNTIFS($B$5:$B1054,$B1054,$C$5:$C1054,$C1054)=1,1,0))</f>
        <v/>
      </c>
      <c r="V1054" s="24">
        <f>IF(OR($B1054="",$G1054="",$G1054="لا توجد مشاهدات"),0,1)</f>
        <v/>
      </c>
      <c r="W1054" s="24">
        <f>IF(AND($B1054&lt;&gt;"",$I1054="تم تحرير مخالفة"),1,0)</f>
        <v/>
      </c>
      <c r="X1054" s="24">
        <f>IF($B1054="","",IF($S1054=WkStart,COUNTIF($S$5:$S1054,WkStart),""))</f>
        <v/>
      </c>
    </row>
    <row r="1055">
      <c r="A1055" s="16">
        <f>IF($B1055="","",ROW()-4)</f>
        <v/>
      </c>
      <c r="B1055" s="17" t="n"/>
      <c r="C1055" s="18" t="n"/>
      <c r="D1055" s="18" t="n"/>
      <c r="E1055" s="19" t="n"/>
      <c r="F1055" s="19" t="n"/>
      <c r="G1055" s="18" t="n"/>
      <c r="H1055" s="18" t="n"/>
      <c r="I1055" s="18" t="n"/>
      <c r="J1055" s="20" t="n"/>
      <c r="K1055" s="21" t="n"/>
      <c r="L1055" s="21" t="n"/>
      <c r="M1055" s="18" t="n"/>
      <c r="N1055" s="22">
        <f>IF($B1055="","",CHOOSE(WEEKDAY($B1055),"الأحد","الاثنين","الثلاثاء","الأربعاء","الخميس","الجمعة","السبت"))</f>
        <v/>
      </c>
      <c r="O1055" s="23">
        <f>IF(OR($K1055="",$L1055=""),"",HYPERLINK("https://maps.google.com/?q="&amp;$K1055&amp;","&amp;$L1055,"عرض الموقع"))</f>
        <v/>
      </c>
      <c r="P1055" s="23">
        <f>IF(OR($B1055="",N($J1055)=0),"",HYPERLINK(PhotoDir&amp;"/"&amp;YEAR($B1055)&amp;"-"&amp;TEXT(MONTH($B1055),"00")&amp;"-"&amp;TEXT(DAY($B1055),"00")&amp;"_"&amp;$D1055,"فتح الصور ("&amp;$J1055&amp;")"))</f>
        <v/>
      </c>
      <c r="Q1055" s="24">
        <f>IF($B1055="","",MONTH($B1055))</f>
        <v/>
      </c>
      <c r="R1055" s="24">
        <f>IF($B1055="","",YEAR($B1055))</f>
        <v/>
      </c>
      <c r="S1055" s="25">
        <f>IF($B1055="","",$B1055-WEEKDAY($B1055,3))</f>
        <v/>
      </c>
      <c r="T1055" s="24">
        <f>IF($B1055="",0,IF(COUNTIFS($B$5:$B1055,$B1055,$D$5:$D1055,$D1055)=1,1,0))</f>
        <v/>
      </c>
      <c r="U1055" s="24">
        <f>IF($B1055="",0,IF(COUNTIFS($B$5:$B1055,$B1055,$C$5:$C1055,$C1055)=1,1,0))</f>
        <v/>
      </c>
      <c r="V1055" s="24">
        <f>IF(OR($B1055="",$G1055="",$G1055="لا توجد مشاهدات"),0,1)</f>
        <v/>
      </c>
      <c r="W1055" s="24">
        <f>IF(AND($B1055&lt;&gt;"",$I1055="تم تحرير مخالفة"),1,0)</f>
        <v/>
      </c>
      <c r="X1055" s="24">
        <f>IF($B1055="","",IF($S1055=WkStart,COUNTIF($S$5:$S1055,WkStart),""))</f>
        <v/>
      </c>
    </row>
    <row r="1056">
      <c r="A1056" s="16">
        <f>IF($B1056="","",ROW()-4)</f>
        <v/>
      </c>
      <c r="B1056" s="17" t="n"/>
      <c r="C1056" s="18" t="n"/>
      <c r="D1056" s="18" t="n"/>
      <c r="E1056" s="19" t="n"/>
      <c r="F1056" s="19" t="n"/>
      <c r="G1056" s="18" t="n"/>
      <c r="H1056" s="18" t="n"/>
      <c r="I1056" s="18" t="n"/>
      <c r="J1056" s="20" t="n"/>
      <c r="K1056" s="21" t="n"/>
      <c r="L1056" s="21" t="n"/>
      <c r="M1056" s="18" t="n"/>
      <c r="N1056" s="22">
        <f>IF($B1056="","",CHOOSE(WEEKDAY($B1056),"الأحد","الاثنين","الثلاثاء","الأربعاء","الخميس","الجمعة","السبت"))</f>
        <v/>
      </c>
      <c r="O1056" s="23">
        <f>IF(OR($K1056="",$L1056=""),"",HYPERLINK("https://maps.google.com/?q="&amp;$K1056&amp;","&amp;$L1056,"عرض الموقع"))</f>
        <v/>
      </c>
      <c r="P1056" s="23">
        <f>IF(OR($B1056="",N($J1056)=0),"",HYPERLINK(PhotoDir&amp;"/"&amp;YEAR($B1056)&amp;"-"&amp;TEXT(MONTH($B1056),"00")&amp;"-"&amp;TEXT(DAY($B1056),"00")&amp;"_"&amp;$D1056,"فتح الصور ("&amp;$J1056&amp;")"))</f>
        <v/>
      </c>
      <c r="Q1056" s="24">
        <f>IF($B1056="","",MONTH($B1056))</f>
        <v/>
      </c>
      <c r="R1056" s="24">
        <f>IF($B1056="","",YEAR($B1056))</f>
        <v/>
      </c>
      <c r="S1056" s="25">
        <f>IF($B1056="","",$B1056-WEEKDAY($B1056,3))</f>
        <v/>
      </c>
      <c r="T1056" s="24">
        <f>IF($B1056="",0,IF(COUNTIFS($B$5:$B1056,$B1056,$D$5:$D1056,$D1056)=1,1,0))</f>
        <v/>
      </c>
      <c r="U1056" s="24">
        <f>IF($B1056="",0,IF(COUNTIFS($B$5:$B1056,$B1056,$C$5:$C1056,$C1056)=1,1,0))</f>
        <v/>
      </c>
      <c r="V1056" s="24">
        <f>IF(OR($B1056="",$G1056="",$G1056="لا توجد مشاهدات"),0,1)</f>
        <v/>
      </c>
      <c r="W1056" s="24">
        <f>IF(AND($B1056&lt;&gt;"",$I1056="تم تحرير مخالفة"),1,0)</f>
        <v/>
      </c>
      <c r="X1056" s="24">
        <f>IF($B1056="","",IF($S1056=WkStart,COUNTIF($S$5:$S1056,WkStart),""))</f>
        <v/>
      </c>
    </row>
    <row r="1057">
      <c r="A1057" s="16">
        <f>IF($B1057="","",ROW()-4)</f>
        <v/>
      </c>
      <c r="B1057" s="17" t="n"/>
      <c r="C1057" s="18" t="n"/>
      <c r="D1057" s="18" t="n"/>
      <c r="E1057" s="19" t="n"/>
      <c r="F1057" s="19" t="n"/>
      <c r="G1057" s="18" t="n"/>
      <c r="H1057" s="18" t="n"/>
      <c r="I1057" s="18" t="n"/>
      <c r="J1057" s="20" t="n"/>
      <c r="K1057" s="21" t="n"/>
      <c r="L1057" s="21" t="n"/>
      <c r="M1057" s="18" t="n"/>
      <c r="N1057" s="22">
        <f>IF($B1057="","",CHOOSE(WEEKDAY($B1057),"الأحد","الاثنين","الثلاثاء","الأربعاء","الخميس","الجمعة","السبت"))</f>
        <v/>
      </c>
      <c r="O1057" s="23">
        <f>IF(OR($K1057="",$L1057=""),"",HYPERLINK("https://maps.google.com/?q="&amp;$K1057&amp;","&amp;$L1057,"عرض الموقع"))</f>
        <v/>
      </c>
      <c r="P1057" s="23">
        <f>IF(OR($B1057="",N($J1057)=0),"",HYPERLINK(PhotoDir&amp;"/"&amp;YEAR($B1057)&amp;"-"&amp;TEXT(MONTH($B1057),"00")&amp;"-"&amp;TEXT(DAY($B1057),"00")&amp;"_"&amp;$D1057,"فتح الصور ("&amp;$J1057&amp;")"))</f>
        <v/>
      </c>
      <c r="Q1057" s="24">
        <f>IF($B1057="","",MONTH($B1057))</f>
        <v/>
      </c>
      <c r="R1057" s="24">
        <f>IF($B1057="","",YEAR($B1057))</f>
        <v/>
      </c>
      <c r="S1057" s="25">
        <f>IF($B1057="","",$B1057-WEEKDAY($B1057,3))</f>
        <v/>
      </c>
      <c r="T1057" s="24">
        <f>IF($B1057="",0,IF(COUNTIFS($B$5:$B1057,$B1057,$D$5:$D1057,$D1057)=1,1,0))</f>
        <v/>
      </c>
      <c r="U1057" s="24">
        <f>IF($B1057="",0,IF(COUNTIFS($B$5:$B1057,$B1057,$C$5:$C1057,$C1057)=1,1,0))</f>
        <v/>
      </c>
      <c r="V1057" s="24">
        <f>IF(OR($B1057="",$G1057="",$G1057="لا توجد مشاهدات"),0,1)</f>
        <v/>
      </c>
      <c r="W1057" s="24">
        <f>IF(AND($B1057&lt;&gt;"",$I1057="تم تحرير مخالفة"),1,0)</f>
        <v/>
      </c>
      <c r="X1057" s="24">
        <f>IF($B1057="","",IF($S1057=WkStart,COUNTIF($S$5:$S1057,WkStart),""))</f>
        <v/>
      </c>
    </row>
    <row r="1058">
      <c r="A1058" s="16">
        <f>IF($B1058="","",ROW()-4)</f>
        <v/>
      </c>
      <c r="B1058" s="17" t="n"/>
      <c r="C1058" s="18" t="n"/>
      <c r="D1058" s="18" t="n"/>
      <c r="E1058" s="19" t="n"/>
      <c r="F1058" s="19" t="n"/>
      <c r="G1058" s="18" t="n"/>
      <c r="H1058" s="18" t="n"/>
      <c r="I1058" s="18" t="n"/>
      <c r="J1058" s="20" t="n"/>
      <c r="K1058" s="21" t="n"/>
      <c r="L1058" s="21" t="n"/>
      <c r="M1058" s="18" t="n"/>
      <c r="N1058" s="22">
        <f>IF($B1058="","",CHOOSE(WEEKDAY($B1058),"الأحد","الاثنين","الثلاثاء","الأربعاء","الخميس","الجمعة","السبت"))</f>
        <v/>
      </c>
      <c r="O1058" s="23">
        <f>IF(OR($K1058="",$L1058=""),"",HYPERLINK("https://maps.google.com/?q="&amp;$K1058&amp;","&amp;$L1058,"عرض الموقع"))</f>
        <v/>
      </c>
      <c r="P1058" s="23">
        <f>IF(OR($B1058="",N($J1058)=0),"",HYPERLINK(PhotoDir&amp;"/"&amp;YEAR($B1058)&amp;"-"&amp;TEXT(MONTH($B1058),"00")&amp;"-"&amp;TEXT(DAY($B1058),"00")&amp;"_"&amp;$D1058,"فتح الصور ("&amp;$J1058&amp;")"))</f>
        <v/>
      </c>
      <c r="Q1058" s="24">
        <f>IF($B1058="","",MONTH($B1058))</f>
        <v/>
      </c>
      <c r="R1058" s="24">
        <f>IF($B1058="","",YEAR($B1058))</f>
        <v/>
      </c>
      <c r="S1058" s="25">
        <f>IF($B1058="","",$B1058-WEEKDAY($B1058,3))</f>
        <v/>
      </c>
      <c r="T1058" s="24">
        <f>IF($B1058="",0,IF(COUNTIFS($B$5:$B1058,$B1058,$D$5:$D1058,$D1058)=1,1,0))</f>
        <v/>
      </c>
      <c r="U1058" s="24">
        <f>IF($B1058="",0,IF(COUNTIFS($B$5:$B1058,$B1058,$C$5:$C1058,$C1058)=1,1,0))</f>
        <v/>
      </c>
      <c r="V1058" s="24">
        <f>IF(OR($B1058="",$G1058="",$G1058="لا توجد مشاهدات"),0,1)</f>
        <v/>
      </c>
      <c r="W1058" s="24">
        <f>IF(AND($B1058&lt;&gt;"",$I1058="تم تحرير مخالفة"),1,0)</f>
        <v/>
      </c>
      <c r="X1058" s="24">
        <f>IF($B1058="","",IF($S1058=WkStart,COUNTIF($S$5:$S1058,WkStart),""))</f>
        <v/>
      </c>
    </row>
    <row r="1059">
      <c r="A1059" s="16">
        <f>IF($B1059="","",ROW()-4)</f>
        <v/>
      </c>
      <c r="B1059" s="17" t="n"/>
      <c r="C1059" s="18" t="n"/>
      <c r="D1059" s="18" t="n"/>
      <c r="E1059" s="19" t="n"/>
      <c r="F1059" s="19" t="n"/>
      <c r="G1059" s="18" t="n"/>
      <c r="H1059" s="18" t="n"/>
      <c r="I1059" s="18" t="n"/>
      <c r="J1059" s="20" t="n"/>
      <c r="K1059" s="21" t="n"/>
      <c r="L1059" s="21" t="n"/>
      <c r="M1059" s="18" t="n"/>
      <c r="N1059" s="22">
        <f>IF($B1059="","",CHOOSE(WEEKDAY($B1059),"الأحد","الاثنين","الثلاثاء","الأربعاء","الخميس","الجمعة","السبت"))</f>
        <v/>
      </c>
      <c r="O1059" s="23">
        <f>IF(OR($K1059="",$L1059=""),"",HYPERLINK("https://maps.google.com/?q="&amp;$K1059&amp;","&amp;$L1059,"عرض الموقع"))</f>
        <v/>
      </c>
      <c r="P1059" s="23">
        <f>IF(OR($B1059="",N($J1059)=0),"",HYPERLINK(PhotoDir&amp;"/"&amp;YEAR($B1059)&amp;"-"&amp;TEXT(MONTH($B1059),"00")&amp;"-"&amp;TEXT(DAY($B1059),"00")&amp;"_"&amp;$D1059,"فتح الصور ("&amp;$J1059&amp;")"))</f>
        <v/>
      </c>
      <c r="Q1059" s="24">
        <f>IF($B1059="","",MONTH($B1059))</f>
        <v/>
      </c>
      <c r="R1059" s="24">
        <f>IF($B1059="","",YEAR($B1059))</f>
        <v/>
      </c>
      <c r="S1059" s="25">
        <f>IF($B1059="","",$B1059-WEEKDAY($B1059,3))</f>
        <v/>
      </c>
      <c r="T1059" s="24">
        <f>IF($B1059="",0,IF(COUNTIFS($B$5:$B1059,$B1059,$D$5:$D1059,$D1059)=1,1,0))</f>
        <v/>
      </c>
      <c r="U1059" s="24">
        <f>IF($B1059="",0,IF(COUNTIFS($B$5:$B1059,$B1059,$C$5:$C1059,$C1059)=1,1,0))</f>
        <v/>
      </c>
      <c r="V1059" s="24">
        <f>IF(OR($B1059="",$G1059="",$G1059="لا توجد مشاهدات"),0,1)</f>
        <v/>
      </c>
      <c r="W1059" s="24">
        <f>IF(AND($B1059&lt;&gt;"",$I1059="تم تحرير مخالفة"),1,0)</f>
        <v/>
      </c>
      <c r="X1059" s="24">
        <f>IF($B1059="","",IF($S1059=WkStart,COUNTIF($S$5:$S1059,WkStart),""))</f>
        <v/>
      </c>
    </row>
    <row r="1060">
      <c r="A1060" s="16">
        <f>IF($B1060="","",ROW()-4)</f>
        <v/>
      </c>
      <c r="B1060" s="17" t="n"/>
      <c r="C1060" s="18" t="n"/>
      <c r="D1060" s="18" t="n"/>
      <c r="E1060" s="19" t="n"/>
      <c r="F1060" s="19" t="n"/>
      <c r="G1060" s="18" t="n"/>
      <c r="H1060" s="18" t="n"/>
      <c r="I1060" s="18" t="n"/>
      <c r="J1060" s="20" t="n"/>
      <c r="K1060" s="21" t="n"/>
      <c r="L1060" s="21" t="n"/>
      <c r="M1060" s="18" t="n"/>
      <c r="N1060" s="22">
        <f>IF($B1060="","",CHOOSE(WEEKDAY($B1060),"الأحد","الاثنين","الثلاثاء","الأربعاء","الخميس","الجمعة","السبت"))</f>
        <v/>
      </c>
      <c r="O1060" s="23">
        <f>IF(OR($K1060="",$L1060=""),"",HYPERLINK("https://maps.google.com/?q="&amp;$K1060&amp;","&amp;$L1060,"عرض الموقع"))</f>
        <v/>
      </c>
      <c r="P1060" s="23">
        <f>IF(OR($B1060="",N($J1060)=0),"",HYPERLINK(PhotoDir&amp;"/"&amp;YEAR($B1060)&amp;"-"&amp;TEXT(MONTH($B1060),"00")&amp;"-"&amp;TEXT(DAY($B1060),"00")&amp;"_"&amp;$D1060,"فتح الصور ("&amp;$J1060&amp;")"))</f>
        <v/>
      </c>
      <c r="Q1060" s="24">
        <f>IF($B1060="","",MONTH($B1060))</f>
        <v/>
      </c>
      <c r="R1060" s="24">
        <f>IF($B1060="","",YEAR($B1060))</f>
        <v/>
      </c>
      <c r="S1060" s="25">
        <f>IF($B1060="","",$B1060-WEEKDAY($B1060,3))</f>
        <v/>
      </c>
      <c r="T1060" s="24">
        <f>IF($B1060="",0,IF(COUNTIFS($B$5:$B1060,$B1060,$D$5:$D1060,$D1060)=1,1,0))</f>
        <v/>
      </c>
      <c r="U1060" s="24">
        <f>IF($B1060="",0,IF(COUNTIFS($B$5:$B1060,$B1060,$C$5:$C1060,$C1060)=1,1,0))</f>
        <v/>
      </c>
      <c r="V1060" s="24">
        <f>IF(OR($B1060="",$G1060="",$G1060="لا توجد مشاهدات"),0,1)</f>
        <v/>
      </c>
      <c r="W1060" s="24">
        <f>IF(AND($B1060&lt;&gt;"",$I1060="تم تحرير مخالفة"),1,0)</f>
        <v/>
      </c>
      <c r="X1060" s="24">
        <f>IF($B1060="","",IF($S1060=WkStart,COUNTIF($S$5:$S1060,WkStart),""))</f>
        <v/>
      </c>
    </row>
    <row r="1061">
      <c r="A1061" s="16">
        <f>IF($B1061="","",ROW()-4)</f>
        <v/>
      </c>
      <c r="B1061" s="17" t="n"/>
      <c r="C1061" s="18" t="n"/>
      <c r="D1061" s="18" t="n"/>
      <c r="E1061" s="19" t="n"/>
      <c r="F1061" s="19" t="n"/>
      <c r="G1061" s="18" t="n"/>
      <c r="H1061" s="18" t="n"/>
      <c r="I1061" s="18" t="n"/>
      <c r="J1061" s="20" t="n"/>
      <c r="K1061" s="21" t="n"/>
      <c r="L1061" s="21" t="n"/>
      <c r="M1061" s="18" t="n"/>
      <c r="N1061" s="22">
        <f>IF($B1061="","",CHOOSE(WEEKDAY($B1061),"الأحد","الاثنين","الثلاثاء","الأربعاء","الخميس","الجمعة","السبت"))</f>
        <v/>
      </c>
      <c r="O1061" s="23">
        <f>IF(OR($K1061="",$L1061=""),"",HYPERLINK("https://maps.google.com/?q="&amp;$K1061&amp;","&amp;$L1061,"عرض الموقع"))</f>
        <v/>
      </c>
      <c r="P1061" s="23">
        <f>IF(OR($B1061="",N($J1061)=0),"",HYPERLINK(PhotoDir&amp;"/"&amp;YEAR($B1061)&amp;"-"&amp;TEXT(MONTH($B1061),"00")&amp;"-"&amp;TEXT(DAY($B1061),"00")&amp;"_"&amp;$D1061,"فتح الصور ("&amp;$J1061&amp;")"))</f>
        <v/>
      </c>
      <c r="Q1061" s="24">
        <f>IF($B1061="","",MONTH($B1061))</f>
        <v/>
      </c>
      <c r="R1061" s="24">
        <f>IF($B1061="","",YEAR($B1061))</f>
        <v/>
      </c>
      <c r="S1061" s="25">
        <f>IF($B1061="","",$B1061-WEEKDAY($B1061,3))</f>
        <v/>
      </c>
      <c r="T1061" s="24">
        <f>IF($B1061="",0,IF(COUNTIFS($B$5:$B1061,$B1061,$D$5:$D1061,$D1061)=1,1,0))</f>
        <v/>
      </c>
      <c r="U1061" s="24">
        <f>IF($B1061="",0,IF(COUNTIFS($B$5:$B1061,$B1061,$C$5:$C1061,$C1061)=1,1,0))</f>
        <v/>
      </c>
      <c r="V1061" s="24">
        <f>IF(OR($B1061="",$G1061="",$G1061="لا توجد مشاهدات"),0,1)</f>
        <v/>
      </c>
      <c r="W1061" s="24">
        <f>IF(AND($B1061&lt;&gt;"",$I1061="تم تحرير مخالفة"),1,0)</f>
        <v/>
      </c>
      <c r="X1061" s="24">
        <f>IF($B1061="","",IF($S1061=WkStart,COUNTIF($S$5:$S1061,WkStart),""))</f>
        <v/>
      </c>
    </row>
    <row r="1062">
      <c r="A1062" s="16">
        <f>IF($B1062="","",ROW()-4)</f>
        <v/>
      </c>
      <c r="B1062" s="17" t="n"/>
      <c r="C1062" s="18" t="n"/>
      <c r="D1062" s="18" t="n"/>
      <c r="E1062" s="19" t="n"/>
      <c r="F1062" s="19" t="n"/>
      <c r="G1062" s="18" t="n"/>
      <c r="H1062" s="18" t="n"/>
      <c r="I1062" s="18" t="n"/>
      <c r="J1062" s="20" t="n"/>
      <c r="K1062" s="21" t="n"/>
      <c r="L1062" s="21" t="n"/>
      <c r="M1062" s="18" t="n"/>
      <c r="N1062" s="22">
        <f>IF($B1062="","",CHOOSE(WEEKDAY($B1062),"الأحد","الاثنين","الثلاثاء","الأربعاء","الخميس","الجمعة","السبت"))</f>
        <v/>
      </c>
      <c r="O1062" s="23">
        <f>IF(OR($K1062="",$L1062=""),"",HYPERLINK("https://maps.google.com/?q="&amp;$K1062&amp;","&amp;$L1062,"عرض الموقع"))</f>
        <v/>
      </c>
      <c r="P1062" s="23">
        <f>IF(OR($B1062="",N($J1062)=0),"",HYPERLINK(PhotoDir&amp;"/"&amp;YEAR($B1062)&amp;"-"&amp;TEXT(MONTH($B1062),"00")&amp;"-"&amp;TEXT(DAY($B1062),"00")&amp;"_"&amp;$D1062,"فتح الصور ("&amp;$J1062&amp;")"))</f>
        <v/>
      </c>
      <c r="Q1062" s="24">
        <f>IF($B1062="","",MONTH($B1062))</f>
        <v/>
      </c>
      <c r="R1062" s="24">
        <f>IF($B1062="","",YEAR($B1062))</f>
        <v/>
      </c>
      <c r="S1062" s="25">
        <f>IF($B1062="","",$B1062-WEEKDAY($B1062,3))</f>
        <v/>
      </c>
      <c r="T1062" s="24">
        <f>IF($B1062="",0,IF(COUNTIFS($B$5:$B1062,$B1062,$D$5:$D1062,$D1062)=1,1,0))</f>
        <v/>
      </c>
      <c r="U1062" s="24">
        <f>IF($B1062="",0,IF(COUNTIFS($B$5:$B1062,$B1062,$C$5:$C1062,$C1062)=1,1,0))</f>
        <v/>
      </c>
      <c r="V1062" s="24">
        <f>IF(OR($B1062="",$G1062="",$G1062="لا توجد مشاهدات"),0,1)</f>
        <v/>
      </c>
      <c r="W1062" s="24">
        <f>IF(AND($B1062&lt;&gt;"",$I1062="تم تحرير مخالفة"),1,0)</f>
        <v/>
      </c>
      <c r="X1062" s="24">
        <f>IF($B1062="","",IF($S1062=WkStart,COUNTIF($S$5:$S1062,WkStart),""))</f>
        <v/>
      </c>
    </row>
    <row r="1063">
      <c r="A1063" s="16">
        <f>IF($B1063="","",ROW()-4)</f>
        <v/>
      </c>
      <c r="B1063" s="17" t="n"/>
      <c r="C1063" s="18" t="n"/>
      <c r="D1063" s="18" t="n"/>
      <c r="E1063" s="19" t="n"/>
      <c r="F1063" s="19" t="n"/>
      <c r="G1063" s="18" t="n"/>
      <c r="H1063" s="18" t="n"/>
      <c r="I1063" s="18" t="n"/>
      <c r="J1063" s="20" t="n"/>
      <c r="K1063" s="21" t="n"/>
      <c r="L1063" s="21" t="n"/>
      <c r="M1063" s="18" t="n"/>
      <c r="N1063" s="22">
        <f>IF($B1063="","",CHOOSE(WEEKDAY($B1063),"الأحد","الاثنين","الثلاثاء","الأربعاء","الخميس","الجمعة","السبت"))</f>
        <v/>
      </c>
      <c r="O1063" s="23">
        <f>IF(OR($K1063="",$L1063=""),"",HYPERLINK("https://maps.google.com/?q="&amp;$K1063&amp;","&amp;$L1063,"عرض الموقع"))</f>
        <v/>
      </c>
      <c r="P1063" s="23">
        <f>IF(OR($B1063="",N($J1063)=0),"",HYPERLINK(PhotoDir&amp;"/"&amp;YEAR($B1063)&amp;"-"&amp;TEXT(MONTH($B1063),"00")&amp;"-"&amp;TEXT(DAY($B1063),"00")&amp;"_"&amp;$D1063,"فتح الصور ("&amp;$J1063&amp;")"))</f>
        <v/>
      </c>
      <c r="Q1063" s="24">
        <f>IF($B1063="","",MONTH($B1063))</f>
        <v/>
      </c>
      <c r="R1063" s="24">
        <f>IF($B1063="","",YEAR($B1063))</f>
        <v/>
      </c>
      <c r="S1063" s="25">
        <f>IF($B1063="","",$B1063-WEEKDAY($B1063,3))</f>
        <v/>
      </c>
      <c r="T1063" s="24">
        <f>IF($B1063="",0,IF(COUNTIFS($B$5:$B1063,$B1063,$D$5:$D1063,$D1063)=1,1,0))</f>
        <v/>
      </c>
      <c r="U1063" s="24">
        <f>IF($B1063="",0,IF(COUNTIFS($B$5:$B1063,$B1063,$C$5:$C1063,$C1063)=1,1,0))</f>
        <v/>
      </c>
      <c r="V1063" s="24">
        <f>IF(OR($B1063="",$G1063="",$G1063="لا توجد مشاهدات"),0,1)</f>
        <v/>
      </c>
      <c r="W1063" s="24">
        <f>IF(AND($B1063&lt;&gt;"",$I1063="تم تحرير مخالفة"),1,0)</f>
        <v/>
      </c>
      <c r="X1063" s="24">
        <f>IF($B1063="","",IF($S1063=WkStart,COUNTIF($S$5:$S1063,WkStart),""))</f>
        <v/>
      </c>
    </row>
    <row r="1064">
      <c r="A1064" s="16">
        <f>IF($B1064="","",ROW()-4)</f>
        <v/>
      </c>
      <c r="B1064" s="17" t="n"/>
      <c r="C1064" s="18" t="n"/>
      <c r="D1064" s="18" t="n"/>
      <c r="E1064" s="19" t="n"/>
      <c r="F1064" s="19" t="n"/>
      <c r="G1064" s="18" t="n"/>
      <c r="H1064" s="18" t="n"/>
      <c r="I1064" s="18" t="n"/>
      <c r="J1064" s="20" t="n"/>
      <c r="K1064" s="21" t="n"/>
      <c r="L1064" s="21" t="n"/>
      <c r="M1064" s="18" t="n"/>
      <c r="N1064" s="22">
        <f>IF($B1064="","",CHOOSE(WEEKDAY($B1064),"الأحد","الاثنين","الثلاثاء","الأربعاء","الخميس","الجمعة","السبت"))</f>
        <v/>
      </c>
      <c r="O1064" s="23">
        <f>IF(OR($K1064="",$L1064=""),"",HYPERLINK("https://maps.google.com/?q="&amp;$K1064&amp;","&amp;$L1064,"عرض الموقع"))</f>
        <v/>
      </c>
      <c r="P1064" s="23">
        <f>IF(OR($B1064="",N($J1064)=0),"",HYPERLINK(PhotoDir&amp;"/"&amp;YEAR($B1064)&amp;"-"&amp;TEXT(MONTH($B1064),"00")&amp;"-"&amp;TEXT(DAY($B1064),"00")&amp;"_"&amp;$D1064,"فتح الصور ("&amp;$J1064&amp;")"))</f>
        <v/>
      </c>
      <c r="Q1064" s="24">
        <f>IF($B1064="","",MONTH($B1064))</f>
        <v/>
      </c>
      <c r="R1064" s="24">
        <f>IF($B1064="","",YEAR($B1064))</f>
        <v/>
      </c>
      <c r="S1064" s="25">
        <f>IF($B1064="","",$B1064-WEEKDAY($B1064,3))</f>
        <v/>
      </c>
      <c r="T1064" s="24">
        <f>IF($B1064="",0,IF(COUNTIFS($B$5:$B1064,$B1064,$D$5:$D1064,$D1064)=1,1,0))</f>
        <v/>
      </c>
      <c r="U1064" s="24">
        <f>IF($B1064="",0,IF(COUNTIFS($B$5:$B1064,$B1064,$C$5:$C1064,$C1064)=1,1,0))</f>
        <v/>
      </c>
      <c r="V1064" s="24">
        <f>IF(OR($B1064="",$G1064="",$G1064="لا توجد مشاهدات"),0,1)</f>
        <v/>
      </c>
      <c r="W1064" s="24">
        <f>IF(AND($B1064&lt;&gt;"",$I1064="تم تحرير مخالفة"),1,0)</f>
        <v/>
      </c>
      <c r="X1064" s="24">
        <f>IF($B1064="","",IF($S1064=WkStart,COUNTIF($S$5:$S1064,WkStart),""))</f>
        <v/>
      </c>
    </row>
    <row r="1065">
      <c r="A1065" s="16">
        <f>IF($B1065="","",ROW()-4)</f>
        <v/>
      </c>
      <c r="B1065" s="17" t="n"/>
      <c r="C1065" s="18" t="n"/>
      <c r="D1065" s="18" t="n"/>
      <c r="E1065" s="19" t="n"/>
      <c r="F1065" s="19" t="n"/>
      <c r="G1065" s="18" t="n"/>
      <c r="H1065" s="18" t="n"/>
      <c r="I1065" s="18" t="n"/>
      <c r="J1065" s="20" t="n"/>
      <c r="K1065" s="21" t="n"/>
      <c r="L1065" s="21" t="n"/>
      <c r="M1065" s="18" t="n"/>
      <c r="N1065" s="22">
        <f>IF($B1065="","",CHOOSE(WEEKDAY($B1065),"الأحد","الاثنين","الثلاثاء","الأربعاء","الخميس","الجمعة","السبت"))</f>
        <v/>
      </c>
      <c r="O1065" s="23">
        <f>IF(OR($K1065="",$L1065=""),"",HYPERLINK("https://maps.google.com/?q="&amp;$K1065&amp;","&amp;$L1065,"عرض الموقع"))</f>
        <v/>
      </c>
      <c r="P1065" s="23">
        <f>IF(OR($B1065="",N($J1065)=0),"",HYPERLINK(PhotoDir&amp;"/"&amp;YEAR($B1065)&amp;"-"&amp;TEXT(MONTH($B1065),"00")&amp;"-"&amp;TEXT(DAY($B1065),"00")&amp;"_"&amp;$D1065,"فتح الصور ("&amp;$J1065&amp;")"))</f>
        <v/>
      </c>
      <c r="Q1065" s="24">
        <f>IF($B1065="","",MONTH($B1065))</f>
        <v/>
      </c>
      <c r="R1065" s="24">
        <f>IF($B1065="","",YEAR($B1065))</f>
        <v/>
      </c>
      <c r="S1065" s="25">
        <f>IF($B1065="","",$B1065-WEEKDAY($B1065,3))</f>
        <v/>
      </c>
      <c r="T1065" s="24">
        <f>IF($B1065="",0,IF(COUNTIFS($B$5:$B1065,$B1065,$D$5:$D1065,$D1065)=1,1,0))</f>
        <v/>
      </c>
      <c r="U1065" s="24">
        <f>IF($B1065="",0,IF(COUNTIFS($B$5:$B1065,$B1065,$C$5:$C1065,$C1065)=1,1,0))</f>
        <v/>
      </c>
      <c r="V1065" s="24">
        <f>IF(OR($B1065="",$G1065="",$G1065="لا توجد مشاهدات"),0,1)</f>
        <v/>
      </c>
      <c r="W1065" s="24">
        <f>IF(AND($B1065&lt;&gt;"",$I1065="تم تحرير مخالفة"),1,0)</f>
        <v/>
      </c>
      <c r="X1065" s="24">
        <f>IF($B1065="","",IF($S1065=WkStart,COUNTIF($S$5:$S1065,WkStart),""))</f>
        <v/>
      </c>
    </row>
    <row r="1066">
      <c r="A1066" s="16">
        <f>IF($B1066="","",ROW()-4)</f>
        <v/>
      </c>
      <c r="B1066" s="17" t="n"/>
      <c r="C1066" s="18" t="n"/>
      <c r="D1066" s="18" t="n"/>
      <c r="E1066" s="19" t="n"/>
      <c r="F1066" s="19" t="n"/>
      <c r="G1066" s="18" t="n"/>
      <c r="H1066" s="18" t="n"/>
      <c r="I1066" s="18" t="n"/>
      <c r="J1066" s="20" t="n"/>
      <c r="K1066" s="21" t="n"/>
      <c r="L1066" s="21" t="n"/>
      <c r="M1066" s="18" t="n"/>
      <c r="N1066" s="22">
        <f>IF($B1066="","",CHOOSE(WEEKDAY($B1066),"الأحد","الاثنين","الثلاثاء","الأربعاء","الخميس","الجمعة","السبت"))</f>
        <v/>
      </c>
      <c r="O1066" s="23">
        <f>IF(OR($K1066="",$L1066=""),"",HYPERLINK("https://maps.google.com/?q="&amp;$K1066&amp;","&amp;$L1066,"عرض الموقع"))</f>
        <v/>
      </c>
      <c r="P1066" s="23">
        <f>IF(OR($B1066="",N($J1066)=0),"",HYPERLINK(PhotoDir&amp;"/"&amp;YEAR($B1066)&amp;"-"&amp;TEXT(MONTH($B1066),"00")&amp;"-"&amp;TEXT(DAY($B1066),"00")&amp;"_"&amp;$D1066,"فتح الصور ("&amp;$J1066&amp;")"))</f>
        <v/>
      </c>
      <c r="Q1066" s="24">
        <f>IF($B1066="","",MONTH($B1066))</f>
        <v/>
      </c>
      <c r="R1066" s="24">
        <f>IF($B1066="","",YEAR($B1066))</f>
        <v/>
      </c>
      <c r="S1066" s="25">
        <f>IF($B1066="","",$B1066-WEEKDAY($B1066,3))</f>
        <v/>
      </c>
      <c r="T1066" s="24">
        <f>IF($B1066="",0,IF(COUNTIFS($B$5:$B1066,$B1066,$D$5:$D1066,$D1066)=1,1,0))</f>
        <v/>
      </c>
      <c r="U1066" s="24">
        <f>IF($B1066="",0,IF(COUNTIFS($B$5:$B1066,$B1066,$C$5:$C1066,$C1066)=1,1,0))</f>
        <v/>
      </c>
      <c r="V1066" s="24">
        <f>IF(OR($B1066="",$G1066="",$G1066="لا توجد مشاهدات"),0,1)</f>
        <v/>
      </c>
      <c r="W1066" s="24">
        <f>IF(AND($B1066&lt;&gt;"",$I1066="تم تحرير مخالفة"),1,0)</f>
        <v/>
      </c>
      <c r="X1066" s="24">
        <f>IF($B1066="","",IF($S1066=WkStart,COUNTIF($S$5:$S1066,WkStart),""))</f>
        <v/>
      </c>
    </row>
    <row r="1067">
      <c r="A1067" s="16">
        <f>IF($B1067="","",ROW()-4)</f>
        <v/>
      </c>
      <c r="B1067" s="17" t="n"/>
      <c r="C1067" s="18" t="n"/>
      <c r="D1067" s="18" t="n"/>
      <c r="E1067" s="19" t="n"/>
      <c r="F1067" s="19" t="n"/>
      <c r="G1067" s="18" t="n"/>
      <c r="H1067" s="18" t="n"/>
      <c r="I1067" s="18" t="n"/>
      <c r="J1067" s="20" t="n"/>
      <c r="K1067" s="21" t="n"/>
      <c r="L1067" s="21" t="n"/>
      <c r="M1067" s="18" t="n"/>
      <c r="N1067" s="22">
        <f>IF($B1067="","",CHOOSE(WEEKDAY($B1067),"الأحد","الاثنين","الثلاثاء","الأربعاء","الخميس","الجمعة","السبت"))</f>
        <v/>
      </c>
      <c r="O1067" s="23">
        <f>IF(OR($K1067="",$L1067=""),"",HYPERLINK("https://maps.google.com/?q="&amp;$K1067&amp;","&amp;$L1067,"عرض الموقع"))</f>
        <v/>
      </c>
      <c r="P1067" s="23">
        <f>IF(OR($B1067="",N($J1067)=0),"",HYPERLINK(PhotoDir&amp;"/"&amp;YEAR($B1067)&amp;"-"&amp;TEXT(MONTH($B1067),"00")&amp;"-"&amp;TEXT(DAY($B1067),"00")&amp;"_"&amp;$D1067,"فتح الصور ("&amp;$J1067&amp;")"))</f>
        <v/>
      </c>
      <c r="Q1067" s="24">
        <f>IF($B1067="","",MONTH($B1067))</f>
        <v/>
      </c>
      <c r="R1067" s="24">
        <f>IF($B1067="","",YEAR($B1067))</f>
        <v/>
      </c>
      <c r="S1067" s="25">
        <f>IF($B1067="","",$B1067-WEEKDAY($B1067,3))</f>
        <v/>
      </c>
      <c r="T1067" s="24">
        <f>IF($B1067="",0,IF(COUNTIFS($B$5:$B1067,$B1067,$D$5:$D1067,$D1067)=1,1,0))</f>
        <v/>
      </c>
      <c r="U1067" s="24">
        <f>IF($B1067="",0,IF(COUNTIFS($B$5:$B1067,$B1067,$C$5:$C1067,$C1067)=1,1,0))</f>
        <v/>
      </c>
      <c r="V1067" s="24">
        <f>IF(OR($B1067="",$G1067="",$G1067="لا توجد مشاهدات"),0,1)</f>
        <v/>
      </c>
      <c r="W1067" s="24">
        <f>IF(AND($B1067&lt;&gt;"",$I1067="تم تحرير مخالفة"),1,0)</f>
        <v/>
      </c>
      <c r="X1067" s="24">
        <f>IF($B1067="","",IF($S1067=WkStart,COUNTIF($S$5:$S1067,WkStart),""))</f>
        <v/>
      </c>
    </row>
    <row r="1068">
      <c r="A1068" s="16">
        <f>IF($B1068="","",ROW()-4)</f>
        <v/>
      </c>
      <c r="B1068" s="17" t="n"/>
      <c r="C1068" s="18" t="n"/>
      <c r="D1068" s="18" t="n"/>
      <c r="E1068" s="19" t="n"/>
      <c r="F1068" s="19" t="n"/>
      <c r="G1068" s="18" t="n"/>
      <c r="H1068" s="18" t="n"/>
      <c r="I1068" s="18" t="n"/>
      <c r="J1068" s="20" t="n"/>
      <c r="K1068" s="21" t="n"/>
      <c r="L1068" s="21" t="n"/>
      <c r="M1068" s="18" t="n"/>
      <c r="N1068" s="22">
        <f>IF($B1068="","",CHOOSE(WEEKDAY($B1068),"الأحد","الاثنين","الثلاثاء","الأربعاء","الخميس","الجمعة","السبت"))</f>
        <v/>
      </c>
      <c r="O1068" s="23">
        <f>IF(OR($K1068="",$L1068=""),"",HYPERLINK("https://maps.google.com/?q="&amp;$K1068&amp;","&amp;$L1068,"عرض الموقع"))</f>
        <v/>
      </c>
      <c r="P1068" s="23">
        <f>IF(OR($B1068="",N($J1068)=0),"",HYPERLINK(PhotoDir&amp;"/"&amp;YEAR($B1068)&amp;"-"&amp;TEXT(MONTH($B1068),"00")&amp;"-"&amp;TEXT(DAY($B1068),"00")&amp;"_"&amp;$D1068,"فتح الصور ("&amp;$J1068&amp;")"))</f>
        <v/>
      </c>
      <c r="Q1068" s="24">
        <f>IF($B1068="","",MONTH($B1068))</f>
        <v/>
      </c>
      <c r="R1068" s="24">
        <f>IF($B1068="","",YEAR($B1068))</f>
        <v/>
      </c>
      <c r="S1068" s="25">
        <f>IF($B1068="","",$B1068-WEEKDAY($B1068,3))</f>
        <v/>
      </c>
      <c r="T1068" s="24">
        <f>IF($B1068="",0,IF(COUNTIFS($B$5:$B1068,$B1068,$D$5:$D1068,$D1068)=1,1,0))</f>
        <v/>
      </c>
      <c r="U1068" s="24">
        <f>IF($B1068="",0,IF(COUNTIFS($B$5:$B1068,$B1068,$C$5:$C1068,$C1068)=1,1,0))</f>
        <v/>
      </c>
      <c r="V1068" s="24">
        <f>IF(OR($B1068="",$G1068="",$G1068="لا توجد مشاهدات"),0,1)</f>
        <v/>
      </c>
      <c r="W1068" s="24">
        <f>IF(AND($B1068&lt;&gt;"",$I1068="تم تحرير مخالفة"),1,0)</f>
        <v/>
      </c>
      <c r="X1068" s="24">
        <f>IF($B1068="","",IF($S1068=WkStart,COUNTIF($S$5:$S1068,WkStart),""))</f>
        <v/>
      </c>
    </row>
    <row r="1069">
      <c r="A1069" s="16">
        <f>IF($B1069="","",ROW()-4)</f>
        <v/>
      </c>
      <c r="B1069" s="17" t="n"/>
      <c r="C1069" s="18" t="n"/>
      <c r="D1069" s="18" t="n"/>
      <c r="E1069" s="19" t="n"/>
      <c r="F1069" s="19" t="n"/>
      <c r="G1069" s="18" t="n"/>
      <c r="H1069" s="18" t="n"/>
      <c r="I1069" s="18" t="n"/>
      <c r="J1069" s="20" t="n"/>
      <c r="K1069" s="21" t="n"/>
      <c r="L1069" s="21" t="n"/>
      <c r="M1069" s="18" t="n"/>
      <c r="N1069" s="22">
        <f>IF($B1069="","",CHOOSE(WEEKDAY($B1069),"الأحد","الاثنين","الثلاثاء","الأربعاء","الخميس","الجمعة","السبت"))</f>
        <v/>
      </c>
      <c r="O1069" s="23">
        <f>IF(OR($K1069="",$L1069=""),"",HYPERLINK("https://maps.google.com/?q="&amp;$K1069&amp;","&amp;$L1069,"عرض الموقع"))</f>
        <v/>
      </c>
      <c r="P1069" s="23">
        <f>IF(OR($B1069="",N($J1069)=0),"",HYPERLINK(PhotoDir&amp;"/"&amp;YEAR($B1069)&amp;"-"&amp;TEXT(MONTH($B1069),"00")&amp;"-"&amp;TEXT(DAY($B1069),"00")&amp;"_"&amp;$D1069,"فتح الصور ("&amp;$J1069&amp;")"))</f>
        <v/>
      </c>
      <c r="Q1069" s="24">
        <f>IF($B1069="","",MONTH($B1069))</f>
        <v/>
      </c>
      <c r="R1069" s="24">
        <f>IF($B1069="","",YEAR($B1069))</f>
        <v/>
      </c>
      <c r="S1069" s="25">
        <f>IF($B1069="","",$B1069-WEEKDAY($B1069,3))</f>
        <v/>
      </c>
      <c r="T1069" s="24">
        <f>IF($B1069="",0,IF(COUNTIFS($B$5:$B1069,$B1069,$D$5:$D1069,$D1069)=1,1,0))</f>
        <v/>
      </c>
      <c r="U1069" s="24">
        <f>IF($B1069="",0,IF(COUNTIFS($B$5:$B1069,$B1069,$C$5:$C1069,$C1069)=1,1,0))</f>
        <v/>
      </c>
      <c r="V1069" s="24">
        <f>IF(OR($B1069="",$G1069="",$G1069="لا توجد مشاهدات"),0,1)</f>
        <v/>
      </c>
      <c r="W1069" s="24">
        <f>IF(AND($B1069&lt;&gt;"",$I1069="تم تحرير مخالفة"),1,0)</f>
        <v/>
      </c>
      <c r="X1069" s="24">
        <f>IF($B1069="","",IF($S1069=WkStart,COUNTIF($S$5:$S1069,WkStart),""))</f>
        <v/>
      </c>
    </row>
    <row r="1070">
      <c r="A1070" s="16">
        <f>IF($B1070="","",ROW()-4)</f>
        <v/>
      </c>
      <c r="B1070" s="17" t="n"/>
      <c r="C1070" s="18" t="n"/>
      <c r="D1070" s="18" t="n"/>
      <c r="E1070" s="19" t="n"/>
      <c r="F1070" s="19" t="n"/>
      <c r="G1070" s="18" t="n"/>
      <c r="H1070" s="18" t="n"/>
      <c r="I1070" s="18" t="n"/>
      <c r="J1070" s="20" t="n"/>
      <c r="K1070" s="21" t="n"/>
      <c r="L1070" s="21" t="n"/>
      <c r="M1070" s="18" t="n"/>
      <c r="N1070" s="22">
        <f>IF($B1070="","",CHOOSE(WEEKDAY($B1070),"الأحد","الاثنين","الثلاثاء","الأربعاء","الخميس","الجمعة","السبت"))</f>
        <v/>
      </c>
      <c r="O1070" s="23">
        <f>IF(OR($K1070="",$L1070=""),"",HYPERLINK("https://maps.google.com/?q="&amp;$K1070&amp;","&amp;$L1070,"عرض الموقع"))</f>
        <v/>
      </c>
      <c r="P1070" s="23">
        <f>IF(OR($B1070="",N($J1070)=0),"",HYPERLINK(PhotoDir&amp;"/"&amp;YEAR($B1070)&amp;"-"&amp;TEXT(MONTH($B1070),"00")&amp;"-"&amp;TEXT(DAY($B1070),"00")&amp;"_"&amp;$D1070,"فتح الصور ("&amp;$J1070&amp;")"))</f>
        <v/>
      </c>
      <c r="Q1070" s="24">
        <f>IF($B1070="","",MONTH($B1070))</f>
        <v/>
      </c>
      <c r="R1070" s="24">
        <f>IF($B1070="","",YEAR($B1070))</f>
        <v/>
      </c>
      <c r="S1070" s="25">
        <f>IF($B1070="","",$B1070-WEEKDAY($B1070,3))</f>
        <v/>
      </c>
      <c r="T1070" s="24">
        <f>IF($B1070="",0,IF(COUNTIFS($B$5:$B1070,$B1070,$D$5:$D1070,$D1070)=1,1,0))</f>
        <v/>
      </c>
      <c r="U1070" s="24">
        <f>IF($B1070="",0,IF(COUNTIFS($B$5:$B1070,$B1070,$C$5:$C1070,$C1070)=1,1,0))</f>
        <v/>
      </c>
      <c r="V1070" s="24">
        <f>IF(OR($B1070="",$G1070="",$G1070="لا توجد مشاهدات"),0,1)</f>
        <v/>
      </c>
      <c r="W1070" s="24">
        <f>IF(AND($B1070&lt;&gt;"",$I1070="تم تحرير مخالفة"),1,0)</f>
        <v/>
      </c>
      <c r="X1070" s="24">
        <f>IF($B1070="","",IF($S1070=WkStart,COUNTIF($S$5:$S1070,WkStart),""))</f>
        <v/>
      </c>
    </row>
    <row r="1071">
      <c r="A1071" s="16">
        <f>IF($B1071="","",ROW()-4)</f>
        <v/>
      </c>
      <c r="B1071" s="17" t="n"/>
      <c r="C1071" s="18" t="n"/>
      <c r="D1071" s="18" t="n"/>
      <c r="E1071" s="19" t="n"/>
      <c r="F1071" s="19" t="n"/>
      <c r="G1071" s="18" t="n"/>
      <c r="H1071" s="18" t="n"/>
      <c r="I1071" s="18" t="n"/>
      <c r="J1071" s="20" t="n"/>
      <c r="K1071" s="21" t="n"/>
      <c r="L1071" s="21" t="n"/>
      <c r="M1071" s="18" t="n"/>
      <c r="N1071" s="22">
        <f>IF($B1071="","",CHOOSE(WEEKDAY($B1071),"الأحد","الاثنين","الثلاثاء","الأربعاء","الخميس","الجمعة","السبت"))</f>
        <v/>
      </c>
      <c r="O1071" s="23">
        <f>IF(OR($K1071="",$L1071=""),"",HYPERLINK("https://maps.google.com/?q="&amp;$K1071&amp;","&amp;$L1071,"عرض الموقع"))</f>
        <v/>
      </c>
      <c r="P1071" s="23">
        <f>IF(OR($B1071="",N($J1071)=0),"",HYPERLINK(PhotoDir&amp;"/"&amp;YEAR($B1071)&amp;"-"&amp;TEXT(MONTH($B1071),"00")&amp;"-"&amp;TEXT(DAY($B1071),"00")&amp;"_"&amp;$D1071,"فتح الصور ("&amp;$J1071&amp;")"))</f>
        <v/>
      </c>
      <c r="Q1071" s="24">
        <f>IF($B1071="","",MONTH($B1071))</f>
        <v/>
      </c>
      <c r="R1071" s="24">
        <f>IF($B1071="","",YEAR($B1071))</f>
        <v/>
      </c>
      <c r="S1071" s="25">
        <f>IF($B1071="","",$B1071-WEEKDAY($B1071,3))</f>
        <v/>
      </c>
      <c r="T1071" s="24">
        <f>IF($B1071="",0,IF(COUNTIFS($B$5:$B1071,$B1071,$D$5:$D1071,$D1071)=1,1,0))</f>
        <v/>
      </c>
      <c r="U1071" s="24">
        <f>IF($B1071="",0,IF(COUNTIFS($B$5:$B1071,$B1071,$C$5:$C1071,$C1071)=1,1,0))</f>
        <v/>
      </c>
      <c r="V1071" s="24">
        <f>IF(OR($B1071="",$G1071="",$G1071="لا توجد مشاهدات"),0,1)</f>
        <v/>
      </c>
      <c r="W1071" s="24">
        <f>IF(AND($B1071&lt;&gt;"",$I1071="تم تحرير مخالفة"),1,0)</f>
        <v/>
      </c>
      <c r="X1071" s="24">
        <f>IF($B1071="","",IF($S1071=WkStart,COUNTIF($S$5:$S1071,WkStart),""))</f>
        <v/>
      </c>
    </row>
    <row r="1072">
      <c r="A1072" s="16">
        <f>IF($B1072="","",ROW()-4)</f>
        <v/>
      </c>
      <c r="B1072" s="17" t="n"/>
      <c r="C1072" s="18" t="n"/>
      <c r="D1072" s="18" t="n"/>
      <c r="E1072" s="19" t="n"/>
      <c r="F1072" s="19" t="n"/>
      <c r="G1072" s="18" t="n"/>
      <c r="H1072" s="18" t="n"/>
      <c r="I1072" s="18" t="n"/>
      <c r="J1072" s="20" t="n"/>
      <c r="K1072" s="21" t="n"/>
      <c r="L1072" s="21" t="n"/>
      <c r="M1072" s="18" t="n"/>
      <c r="N1072" s="22">
        <f>IF($B1072="","",CHOOSE(WEEKDAY($B1072),"الأحد","الاثنين","الثلاثاء","الأربعاء","الخميس","الجمعة","السبت"))</f>
        <v/>
      </c>
      <c r="O1072" s="23">
        <f>IF(OR($K1072="",$L1072=""),"",HYPERLINK("https://maps.google.com/?q="&amp;$K1072&amp;","&amp;$L1072,"عرض الموقع"))</f>
        <v/>
      </c>
      <c r="P1072" s="23">
        <f>IF(OR($B1072="",N($J1072)=0),"",HYPERLINK(PhotoDir&amp;"/"&amp;YEAR($B1072)&amp;"-"&amp;TEXT(MONTH($B1072),"00")&amp;"-"&amp;TEXT(DAY($B1072),"00")&amp;"_"&amp;$D1072,"فتح الصور ("&amp;$J1072&amp;")"))</f>
        <v/>
      </c>
      <c r="Q1072" s="24">
        <f>IF($B1072="","",MONTH($B1072))</f>
        <v/>
      </c>
      <c r="R1072" s="24">
        <f>IF($B1072="","",YEAR($B1072))</f>
        <v/>
      </c>
      <c r="S1072" s="25">
        <f>IF($B1072="","",$B1072-WEEKDAY($B1072,3))</f>
        <v/>
      </c>
      <c r="T1072" s="24">
        <f>IF($B1072="",0,IF(COUNTIFS($B$5:$B1072,$B1072,$D$5:$D1072,$D1072)=1,1,0))</f>
        <v/>
      </c>
      <c r="U1072" s="24">
        <f>IF($B1072="",0,IF(COUNTIFS($B$5:$B1072,$B1072,$C$5:$C1072,$C1072)=1,1,0))</f>
        <v/>
      </c>
      <c r="V1072" s="24">
        <f>IF(OR($B1072="",$G1072="",$G1072="لا توجد مشاهدات"),0,1)</f>
        <v/>
      </c>
      <c r="W1072" s="24">
        <f>IF(AND($B1072&lt;&gt;"",$I1072="تم تحرير مخالفة"),1,0)</f>
        <v/>
      </c>
      <c r="X1072" s="24">
        <f>IF($B1072="","",IF($S1072=WkStart,COUNTIF($S$5:$S1072,WkStart),""))</f>
        <v/>
      </c>
    </row>
    <row r="1073">
      <c r="A1073" s="16">
        <f>IF($B1073="","",ROW()-4)</f>
        <v/>
      </c>
      <c r="B1073" s="17" t="n"/>
      <c r="C1073" s="18" t="n"/>
      <c r="D1073" s="18" t="n"/>
      <c r="E1073" s="19" t="n"/>
      <c r="F1073" s="19" t="n"/>
      <c r="G1073" s="18" t="n"/>
      <c r="H1073" s="18" t="n"/>
      <c r="I1073" s="18" t="n"/>
      <c r="J1073" s="20" t="n"/>
      <c r="K1073" s="21" t="n"/>
      <c r="L1073" s="21" t="n"/>
      <c r="M1073" s="18" t="n"/>
      <c r="N1073" s="22">
        <f>IF($B1073="","",CHOOSE(WEEKDAY($B1073),"الأحد","الاثنين","الثلاثاء","الأربعاء","الخميس","الجمعة","السبت"))</f>
        <v/>
      </c>
      <c r="O1073" s="23">
        <f>IF(OR($K1073="",$L1073=""),"",HYPERLINK("https://maps.google.com/?q="&amp;$K1073&amp;","&amp;$L1073,"عرض الموقع"))</f>
        <v/>
      </c>
      <c r="P1073" s="23">
        <f>IF(OR($B1073="",N($J1073)=0),"",HYPERLINK(PhotoDir&amp;"/"&amp;YEAR($B1073)&amp;"-"&amp;TEXT(MONTH($B1073),"00")&amp;"-"&amp;TEXT(DAY($B1073),"00")&amp;"_"&amp;$D1073,"فتح الصور ("&amp;$J1073&amp;")"))</f>
        <v/>
      </c>
      <c r="Q1073" s="24">
        <f>IF($B1073="","",MONTH($B1073))</f>
        <v/>
      </c>
      <c r="R1073" s="24">
        <f>IF($B1073="","",YEAR($B1073))</f>
        <v/>
      </c>
      <c r="S1073" s="25">
        <f>IF($B1073="","",$B1073-WEEKDAY($B1073,3))</f>
        <v/>
      </c>
      <c r="T1073" s="24">
        <f>IF($B1073="",0,IF(COUNTIFS($B$5:$B1073,$B1073,$D$5:$D1073,$D1073)=1,1,0))</f>
        <v/>
      </c>
      <c r="U1073" s="24">
        <f>IF($B1073="",0,IF(COUNTIFS($B$5:$B1073,$B1073,$C$5:$C1073,$C1073)=1,1,0))</f>
        <v/>
      </c>
      <c r="V1073" s="24">
        <f>IF(OR($B1073="",$G1073="",$G1073="لا توجد مشاهدات"),0,1)</f>
        <v/>
      </c>
      <c r="W1073" s="24">
        <f>IF(AND($B1073&lt;&gt;"",$I1073="تم تحرير مخالفة"),1,0)</f>
        <v/>
      </c>
      <c r="X1073" s="24">
        <f>IF($B1073="","",IF($S1073=WkStart,COUNTIF($S$5:$S1073,WkStart),""))</f>
        <v/>
      </c>
    </row>
    <row r="1074">
      <c r="A1074" s="16">
        <f>IF($B1074="","",ROW()-4)</f>
        <v/>
      </c>
      <c r="B1074" s="17" t="n"/>
      <c r="C1074" s="18" t="n"/>
      <c r="D1074" s="18" t="n"/>
      <c r="E1074" s="19" t="n"/>
      <c r="F1074" s="19" t="n"/>
      <c r="G1074" s="18" t="n"/>
      <c r="H1074" s="18" t="n"/>
      <c r="I1074" s="18" t="n"/>
      <c r="J1074" s="20" t="n"/>
      <c r="K1074" s="21" t="n"/>
      <c r="L1074" s="21" t="n"/>
      <c r="M1074" s="18" t="n"/>
      <c r="N1074" s="22">
        <f>IF($B1074="","",CHOOSE(WEEKDAY($B1074),"الأحد","الاثنين","الثلاثاء","الأربعاء","الخميس","الجمعة","السبت"))</f>
        <v/>
      </c>
      <c r="O1074" s="23">
        <f>IF(OR($K1074="",$L1074=""),"",HYPERLINK("https://maps.google.com/?q="&amp;$K1074&amp;","&amp;$L1074,"عرض الموقع"))</f>
        <v/>
      </c>
      <c r="P1074" s="23">
        <f>IF(OR($B1074="",N($J1074)=0),"",HYPERLINK(PhotoDir&amp;"/"&amp;YEAR($B1074)&amp;"-"&amp;TEXT(MONTH($B1074),"00")&amp;"-"&amp;TEXT(DAY($B1074),"00")&amp;"_"&amp;$D1074,"فتح الصور ("&amp;$J1074&amp;")"))</f>
        <v/>
      </c>
      <c r="Q1074" s="24">
        <f>IF($B1074="","",MONTH($B1074))</f>
        <v/>
      </c>
      <c r="R1074" s="24">
        <f>IF($B1074="","",YEAR($B1074))</f>
        <v/>
      </c>
      <c r="S1074" s="25">
        <f>IF($B1074="","",$B1074-WEEKDAY($B1074,3))</f>
        <v/>
      </c>
      <c r="T1074" s="24">
        <f>IF($B1074="",0,IF(COUNTIFS($B$5:$B1074,$B1074,$D$5:$D1074,$D1074)=1,1,0))</f>
        <v/>
      </c>
      <c r="U1074" s="24">
        <f>IF($B1074="",0,IF(COUNTIFS($B$5:$B1074,$B1074,$C$5:$C1074,$C1074)=1,1,0))</f>
        <v/>
      </c>
      <c r="V1074" s="24">
        <f>IF(OR($B1074="",$G1074="",$G1074="لا توجد مشاهدات"),0,1)</f>
        <v/>
      </c>
      <c r="W1074" s="24">
        <f>IF(AND($B1074&lt;&gt;"",$I1074="تم تحرير مخالفة"),1,0)</f>
        <v/>
      </c>
      <c r="X1074" s="24">
        <f>IF($B1074="","",IF($S1074=WkStart,COUNTIF($S$5:$S1074,WkStart),""))</f>
        <v/>
      </c>
    </row>
    <row r="1075">
      <c r="A1075" s="16">
        <f>IF($B1075="","",ROW()-4)</f>
        <v/>
      </c>
      <c r="B1075" s="17" t="n"/>
      <c r="C1075" s="18" t="n"/>
      <c r="D1075" s="18" t="n"/>
      <c r="E1075" s="19" t="n"/>
      <c r="F1075" s="19" t="n"/>
      <c r="G1075" s="18" t="n"/>
      <c r="H1075" s="18" t="n"/>
      <c r="I1075" s="18" t="n"/>
      <c r="J1075" s="20" t="n"/>
      <c r="K1075" s="21" t="n"/>
      <c r="L1075" s="21" t="n"/>
      <c r="M1075" s="18" t="n"/>
      <c r="N1075" s="22">
        <f>IF($B1075="","",CHOOSE(WEEKDAY($B1075),"الأحد","الاثنين","الثلاثاء","الأربعاء","الخميس","الجمعة","السبت"))</f>
        <v/>
      </c>
      <c r="O1075" s="23">
        <f>IF(OR($K1075="",$L1075=""),"",HYPERLINK("https://maps.google.com/?q="&amp;$K1075&amp;","&amp;$L1075,"عرض الموقع"))</f>
        <v/>
      </c>
      <c r="P1075" s="23">
        <f>IF(OR($B1075="",N($J1075)=0),"",HYPERLINK(PhotoDir&amp;"/"&amp;YEAR($B1075)&amp;"-"&amp;TEXT(MONTH($B1075),"00")&amp;"-"&amp;TEXT(DAY($B1075),"00")&amp;"_"&amp;$D1075,"فتح الصور ("&amp;$J1075&amp;")"))</f>
        <v/>
      </c>
      <c r="Q1075" s="24">
        <f>IF($B1075="","",MONTH($B1075))</f>
        <v/>
      </c>
      <c r="R1075" s="24">
        <f>IF($B1075="","",YEAR($B1075))</f>
        <v/>
      </c>
      <c r="S1075" s="25">
        <f>IF($B1075="","",$B1075-WEEKDAY($B1075,3))</f>
        <v/>
      </c>
      <c r="T1075" s="24">
        <f>IF($B1075="",0,IF(COUNTIFS($B$5:$B1075,$B1075,$D$5:$D1075,$D1075)=1,1,0))</f>
        <v/>
      </c>
      <c r="U1075" s="24">
        <f>IF($B1075="",0,IF(COUNTIFS($B$5:$B1075,$B1075,$C$5:$C1075,$C1075)=1,1,0))</f>
        <v/>
      </c>
      <c r="V1075" s="24">
        <f>IF(OR($B1075="",$G1075="",$G1075="لا توجد مشاهدات"),0,1)</f>
        <v/>
      </c>
      <c r="W1075" s="24">
        <f>IF(AND($B1075&lt;&gt;"",$I1075="تم تحرير مخالفة"),1,0)</f>
        <v/>
      </c>
      <c r="X1075" s="24">
        <f>IF($B1075="","",IF($S1075=WkStart,COUNTIF($S$5:$S1075,WkStart),""))</f>
        <v/>
      </c>
    </row>
    <row r="1076">
      <c r="A1076" s="16">
        <f>IF($B1076="","",ROW()-4)</f>
        <v/>
      </c>
      <c r="B1076" s="17" t="n"/>
      <c r="C1076" s="18" t="n"/>
      <c r="D1076" s="18" t="n"/>
      <c r="E1076" s="19" t="n"/>
      <c r="F1076" s="19" t="n"/>
      <c r="G1076" s="18" t="n"/>
      <c r="H1076" s="18" t="n"/>
      <c r="I1076" s="18" t="n"/>
      <c r="J1076" s="20" t="n"/>
      <c r="K1076" s="21" t="n"/>
      <c r="L1076" s="21" t="n"/>
      <c r="M1076" s="18" t="n"/>
      <c r="N1076" s="22">
        <f>IF($B1076="","",CHOOSE(WEEKDAY($B1076),"الأحد","الاثنين","الثلاثاء","الأربعاء","الخميس","الجمعة","السبت"))</f>
        <v/>
      </c>
      <c r="O1076" s="23">
        <f>IF(OR($K1076="",$L1076=""),"",HYPERLINK("https://maps.google.com/?q="&amp;$K1076&amp;","&amp;$L1076,"عرض الموقع"))</f>
        <v/>
      </c>
      <c r="P1076" s="23">
        <f>IF(OR($B1076="",N($J1076)=0),"",HYPERLINK(PhotoDir&amp;"/"&amp;YEAR($B1076)&amp;"-"&amp;TEXT(MONTH($B1076),"00")&amp;"-"&amp;TEXT(DAY($B1076),"00")&amp;"_"&amp;$D1076,"فتح الصور ("&amp;$J1076&amp;")"))</f>
        <v/>
      </c>
      <c r="Q1076" s="24">
        <f>IF($B1076="","",MONTH($B1076))</f>
        <v/>
      </c>
      <c r="R1076" s="24">
        <f>IF($B1076="","",YEAR($B1076))</f>
        <v/>
      </c>
      <c r="S1076" s="25">
        <f>IF($B1076="","",$B1076-WEEKDAY($B1076,3))</f>
        <v/>
      </c>
      <c r="T1076" s="24">
        <f>IF($B1076="",0,IF(COUNTIFS($B$5:$B1076,$B1076,$D$5:$D1076,$D1076)=1,1,0))</f>
        <v/>
      </c>
      <c r="U1076" s="24">
        <f>IF($B1076="",0,IF(COUNTIFS($B$5:$B1076,$B1076,$C$5:$C1076,$C1076)=1,1,0))</f>
        <v/>
      </c>
      <c r="V1076" s="24">
        <f>IF(OR($B1076="",$G1076="",$G1076="لا توجد مشاهدات"),0,1)</f>
        <v/>
      </c>
      <c r="W1076" s="24">
        <f>IF(AND($B1076&lt;&gt;"",$I1076="تم تحرير مخالفة"),1,0)</f>
        <v/>
      </c>
      <c r="X1076" s="24">
        <f>IF($B1076="","",IF($S1076=WkStart,COUNTIF($S$5:$S1076,WkStart),""))</f>
        <v/>
      </c>
    </row>
    <row r="1077">
      <c r="A1077" s="16">
        <f>IF($B1077="","",ROW()-4)</f>
        <v/>
      </c>
      <c r="B1077" s="17" t="n"/>
      <c r="C1077" s="18" t="n"/>
      <c r="D1077" s="18" t="n"/>
      <c r="E1077" s="19" t="n"/>
      <c r="F1077" s="19" t="n"/>
      <c r="G1077" s="18" t="n"/>
      <c r="H1077" s="18" t="n"/>
      <c r="I1077" s="18" t="n"/>
      <c r="J1077" s="20" t="n"/>
      <c r="K1077" s="21" t="n"/>
      <c r="L1077" s="21" t="n"/>
      <c r="M1077" s="18" t="n"/>
      <c r="N1077" s="22">
        <f>IF($B1077="","",CHOOSE(WEEKDAY($B1077),"الأحد","الاثنين","الثلاثاء","الأربعاء","الخميس","الجمعة","السبت"))</f>
        <v/>
      </c>
      <c r="O1077" s="23">
        <f>IF(OR($K1077="",$L1077=""),"",HYPERLINK("https://maps.google.com/?q="&amp;$K1077&amp;","&amp;$L1077,"عرض الموقع"))</f>
        <v/>
      </c>
      <c r="P1077" s="23">
        <f>IF(OR($B1077="",N($J1077)=0),"",HYPERLINK(PhotoDir&amp;"/"&amp;YEAR($B1077)&amp;"-"&amp;TEXT(MONTH($B1077),"00")&amp;"-"&amp;TEXT(DAY($B1077),"00")&amp;"_"&amp;$D1077,"فتح الصور ("&amp;$J1077&amp;")"))</f>
        <v/>
      </c>
      <c r="Q1077" s="24">
        <f>IF($B1077="","",MONTH($B1077))</f>
        <v/>
      </c>
      <c r="R1077" s="24">
        <f>IF($B1077="","",YEAR($B1077))</f>
        <v/>
      </c>
      <c r="S1077" s="25">
        <f>IF($B1077="","",$B1077-WEEKDAY($B1077,3))</f>
        <v/>
      </c>
      <c r="T1077" s="24">
        <f>IF($B1077="",0,IF(COUNTIFS($B$5:$B1077,$B1077,$D$5:$D1077,$D1077)=1,1,0))</f>
        <v/>
      </c>
      <c r="U1077" s="24">
        <f>IF($B1077="",0,IF(COUNTIFS($B$5:$B1077,$B1077,$C$5:$C1077,$C1077)=1,1,0))</f>
        <v/>
      </c>
      <c r="V1077" s="24">
        <f>IF(OR($B1077="",$G1077="",$G1077="لا توجد مشاهدات"),0,1)</f>
        <v/>
      </c>
      <c r="W1077" s="24">
        <f>IF(AND($B1077&lt;&gt;"",$I1077="تم تحرير مخالفة"),1,0)</f>
        <v/>
      </c>
      <c r="X1077" s="24">
        <f>IF($B1077="","",IF($S1077=WkStart,COUNTIF($S$5:$S1077,WkStart),""))</f>
        <v/>
      </c>
    </row>
    <row r="1078">
      <c r="A1078" s="16">
        <f>IF($B1078="","",ROW()-4)</f>
        <v/>
      </c>
      <c r="B1078" s="17" t="n"/>
      <c r="C1078" s="18" t="n"/>
      <c r="D1078" s="18" t="n"/>
      <c r="E1078" s="19" t="n"/>
      <c r="F1078" s="19" t="n"/>
      <c r="G1078" s="18" t="n"/>
      <c r="H1078" s="18" t="n"/>
      <c r="I1078" s="18" t="n"/>
      <c r="J1078" s="20" t="n"/>
      <c r="K1078" s="21" t="n"/>
      <c r="L1078" s="21" t="n"/>
      <c r="M1078" s="18" t="n"/>
      <c r="N1078" s="22">
        <f>IF($B1078="","",CHOOSE(WEEKDAY($B1078),"الأحد","الاثنين","الثلاثاء","الأربعاء","الخميس","الجمعة","السبت"))</f>
        <v/>
      </c>
      <c r="O1078" s="23">
        <f>IF(OR($K1078="",$L1078=""),"",HYPERLINK("https://maps.google.com/?q="&amp;$K1078&amp;","&amp;$L1078,"عرض الموقع"))</f>
        <v/>
      </c>
      <c r="P1078" s="23">
        <f>IF(OR($B1078="",N($J1078)=0),"",HYPERLINK(PhotoDir&amp;"/"&amp;YEAR($B1078)&amp;"-"&amp;TEXT(MONTH($B1078),"00")&amp;"-"&amp;TEXT(DAY($B1078),"00")&amp;"_"&amp;$D1078,"فتح الصور ("&amp;$J1078&amp;")"))</f>
        <v/>
      </c>
      <c r="Q1078" s="24">
        <f>IF($B1078="","",MONTH($B1078))</f>
        <v/>
      </c>
      <c r="R1078" s="24">
        <f>IF($B1078="","",YEAR($B1078))</f>
        <v/>
      </c>
      <c r="S1078" s="25">
        <f>IF($B1078="","",$B1078-WEEKDAY($B1078,3))</f>
        <v/>
      </c>
      <c r="T1078" s="24">
        <f>IF($B1078="",0,IF(COUNTIFS($B$5:$B1078,$B1078,$D$5:$D1078,$D1078)=1,1,0))</f>
        <v/>
      </c>
      <c r="U1078" s="24">
        <f>IF($B1078="",0,IF(COUNTIFS($B$5:$B1078,$B1078,$C$5:$C1078,$C1078)=1,1,0))</f>
        <v/>
      </c>
      <c r="V1078" s="24">
        <f>IF(OR($B1078="",$G1078="",$G1078="لا توجد مشاهدات"),0,1)</f>
        <v/>
      </c>
      <c r="W1078" s="24">
        <f>IF(AND($B1078&lt;&gt;"",$I1078="تم تحرير مخالفة"),1,0)</f>
        <v/>
      </c>
      <c r="X1078" s="24">
        <f>IF($B1078="","",IF($S1078=WkStart,COUNTIF($S$5:$S1078,WkStart),""))</f>
        <v/>
      </c>
    </row>
    <row r="1079">
      <c r="A1079" s="16">
        <f>IF($B1079="","",ROW()-4)</f>
        <v/>
      </c>
      <c r="B1079" s="17" t="n"/>
      <c r="C1079" s="18" t="n"/>
      <c r="D1079" s="18" t="n"/>
      <c r="E1079" s="19" t="n"/>
      <c r="F1079" s="19" t="n"/>
      <c r="G1079" s="18" t="n"/>
      <c r="H1079" s="18" t="n"/>
      <c r="I1079" s="18" t="n"/>
      <c r="J1079" s="20" t="n"/>
      <c r="K1079" s="21" t="n"/>
      <c r="L1079" s="21" t="n"/>
      <c r="M1079" s="18" t="n"/>
      <c r="N1079" s="22">
        <f>IF($B1079="","",CHOOSE(WEEKDAY($B1079),"الأحد","الاثنين","الثلاثاء","الأربعاء","الخميس","الجمعة","السبت"))</f>
        <v/>
      </c>
      <c r="O1079" s="23">
        <f>IF(OR($K1079="",$L1079=""),"",HYPERLINK("https://maps.google.com/?q="&amp;$K1079&amp;","&amp;$L1079,"عرض الموقع"))</f>
        <v/>
      </c>
      <c r="P1079" s="23">
        <f>IF(OR($B1079="",N($J1079)=0),"",HYPERLINK(PhotoDir&amp;"/"&amp;YEAR($B1079)&amp;"-"&amp;TEXT(MONTH($B1079),"00")&amp;"-"&amp;TEXT(DAY($B1079),"00")&amp;"_"&amp;$D1079,"فتح الصور ("&amp;$J1079&amp;")"))</f>
        <v/>
      </c>
      <c r="Q1079" s="24">
        <f>IF($B1079="","",MONTH($B1079))</f>
        <v/>
      </c>
      <c r="R1079" s="24">
        <f>IF($B1079="","",YEAR($B1079))</f>
        <v/>
      </c>
      <c r="S1079" s="25">
        <f>IF($B1079="","",$B1079-WEEKDAY($B1079,3))</f>
        <v/>
      </c>
      <c r="T1079" s="24">
        <f>IF($B1079="",0,IF(COUNTIFS($B$5:$B1079,$B1079,$D$5:$D1079,$D1079)=1,1,0))</f>
        <v/>
      </c>
      <c r="U1079" s="24">
        <f>IF($B1079="",0,IF(COUNTIFS($B$5:$B1079,$B1079,$C$5:$C1079,$C1079)=1,1,0))</f>
        <v/>
      </c>
      <c r="V1079" s="24">
        <f>IF(OR($B1079="",$G1079="",$G1079="لا توجد مشاهدات"),0,1)</f>
        <v/>
      </c>
      <c r="W1079" s="24">
        <f>IF(AND($B1079&lt;&gt;"",$I1079="تم تحرير مخالفة"),1,0)</f>
        <v/>
      </c>
      <c r="X1079" s="24">
        <f>IF($B1079="","",IF($S1079=WkStart,COUNTIF($S$5:$S1079,WkStart),""))</f>
        <v/>
      </c>
    </row>
    <row r="1080">
      <c r="A1080" s="16">
        <f>IF($B1080="","",ROW()-4)</f>
        <v/>
      </c>
      <c r="B1080" s="17" t="n"/>
      <c r="C1080" s="18" t="n"/>
      <c r="D1080" s="18" t="n"/>
      <c r="E1080" s="19" t="n"/>
      <c r="F1080" s="19" t="n"/>
      <c r="G1080" s="18" t="n"/>
      <c r="H1080" s="18" t="n"/>
      <c r="I1080" s="18" t="n"/>
      <c r="J1080" s="20" t="n"/>
      <c r="K1080" s="21" t="n"/>
      <c r="L1080" s="21" t="n"/>
      <c r="M1080" s="18" t="n"/>
      <c r="N1080" s="22">
        <f>IF($B1080="","",CHOOSE(WEEKDAY($B1080),"الأحد","الاثنين","الثلاثاء","الأربعاء","الخميس","الجمعة","السبت"))</f>
        <v/>
      </c>
      <c r="O1080" s="23">
        <f>IF(OR($K1080="",$L1080=""),"",HYPERLINK("https://maps.google.com/?q="&amp;$K1080&amp;","&amp;$L1080,"عرض الموقع"))</f>
        <v/>
      </c>
      <c r="P1080" s="23">
        <f>IF(OR($B1080="",N($J1080)=0),"",HYPERLINK(PhotoDir&amp;"/"&amp;YEAR($B1080)&amp;"-"&amp;TEXT(MONTH($B1080),"00")&amp;"-"&amp;TEXT(DAY($B1080),"00")&amp;"_"&amp;$D1080,"فتح الصور ("&amp;$J1080&amp;")"))</f>
        <v/>
      </c>
      <c r="Q1080" s="24">
        <f>IF($B1080="","",MONTH($B1080))</f>
        <v/>
      </c>
      <c r="R1080" s="24">
        <f>IF($B1080="","",YEAR($B1080))</f>
        <v/>
      </c>
      <c r="S1080" s="25">
        <f>IF($B1080="","",$B1080-WEEKDAY($B1080,3))</f>
        <v/>
      </c>
      <c r="T1080" s="24">
        <f>IF($B1080="",0,IF(COUNTIFS($B$5:$B1080,$B1080,$D$5:$D1080,$D1080)=1,1,0))</f>
        <v/>
      </c>
      <c r="U1080" s="24">
        <f>IF($B1080="",0,IF(COUNTIFS($B$5:$B1080,$B1080,$C$5:$C1080,$C1080)=1,1,0))</f>
        <v/>
      </c>
      <c r="V1080" s="24">
        <f>IF(OR($B1080="",$G1080="",$G1080="لا توجد مشاهدات"),0,1)</f>
        <v/>
      </c>
      <c r="W1080" s="24">
        <f>IF(AND($B1080&lt;&gt;"",$I1080="تم تحرير مخالفة"),1,0)</f>
        <v/>
      </c>
      <c r="X1080" s="24">
        <f>IF($B1080="","",IF($S1080=WkStart,COUNTIF($S$5:$S1080,WkStart),""))</f>
        <v/>
      </c>
    </row>
    <row r="1081">
      <c r="A1081" s="16">
        <f>IF($B1081="","",ROW()-4)</f>
        <v/>
      </c>
      <c r="B1081" s="17" t="n"/>
      <c r="C1081" s="18" t="n"/>
      <c r="D1081" s="18" t="n"/>
      <c r="E1081" s="19" t="n"/>
      <c r="F1081" s="19" t="n"/>
      <c r="G1081" s="18" t="n"/>
      <c r="H1081" s="18" t="n"/>
      <c r="I1081" s="18" t="n"/>
      <c r="J1081" s="20" t="n"/>
      <c r="K1081" s="21" t="n"/>
      <c r="L1081" s="21" t="n"/>
      <c r="M1081" s="18" t="n"/>
      <c r="N1081" s="22">
        <f>IF($B1081="","",CHOOSE(WEEKDAY($B1081),"الأحد","الاثنين","الثلاثاء","الأربعاء","الخميس","الجمعة","السبت"))</f>
        <v/>
      </c>
      <c r="O1081" s="23">
        <f>IF(OR($K1081="",$L1081=""),"",HYPERLINK("https://maps.google.com/?q="&amp;$K1081&amp;","&amp;$L1081,"عرض الموقع"))</f>
        <v/>
      </c>
      <c r="P1081" s="23">
        <f>IF(OR($B1081="",N($J1081)=0),"",HYPERLINK(PhotoDir&amp;"/"&amp;YEAR($B1081)&amp;"-"&amp;TEXT(MONTH($B1081),"00")&amp;"-"&amp;TEXT(DAY($B1081),"00")&amp;"_"&amp;$D1081,"فتح الصور ("&amp;$J1081&amp;")"))</f>
        <v/>
      </c>
      <c r="Q1081" s="24">
        <f>IF($B1081="","",MONTH($B1081))</f>
        <v/>
      </c>
      <c r="R1081" s="24">
        <f>IF($B1081="","",YEAR($B1081))</f>
        <v/>
      </c>
      <c r="S1081" s="25">
        <f>IF($B1081="","",$B1081-WEEKDAY($B1081,3))</f>
        <v/>
      </c>
      <c r="T1081" s="24">
        <f>IF($B1081="",0,IF(COUNTIFS($B$5:$B1081,$B1081,$D$5:$D1081,$D1081)=1,1,0))</f>
        <v/>
      </c>
      <c r="U1081" s="24">
        <f>IF($B1081="",0,IF(COUNTIFS($B$5:$B1081,$B1081,$C$5:$C1081,$C1081)=1,1,0))</f>
        <v/>
      </c>
      <c r="V1081" s="24">
        <f>IF(OR($B1081="",$G1081="",$G1081="لا توجد مشاهدات"),0,1)</f>
        <v/>
      </c>
      <c r="W1081" s="24">
        <f>IF(AND($B1081&lt;&gt;"",$I1081="تم تحرير مخالفة"),1,0)</f>
        <v/>
      </c>
      <c r="X1081" s="24">
        <f>IF($B1081="","",IF($S1081=WkStart,COUNTIF($S$5:$S1081,WkStart),""))</f>
        <v/>
      </c>
    </row>
    <row r="1082">
      <c r="A1082" s="16">
        <f>IF($B1082="","",ROW()-4)</f>
        <v/>
      </c>
      <c r="B1082" s="17" t="n"/>
      <c r="C1082" s="18" t="n"/>
      <c r="D1082" s="18" t="n"/>
      <c r="E1082" s="19" t="n"/>
      <c r="F1082" s="19" t="n"/>
      <c r="G1082" s="18" t="n"/>
      <c r="H1082" s="18" t="n"/>
      <c r="I1082" s="18" t="n"/>
      <c r="J1082" s="20" t="n"/>
      <c r="K1082" s="21" t="n"/>
      <c r="L1082" s="21" t="n"/>
      <c r="M1082" s="18" t="n"/>
      <c r="N1082" s="22">
        <f>IF($B1082="","",CHOOSE(WEEKDAY($B1082),"الأحد","الاثنين","الثلاثاء","الأربعاء","الخميس","الجمعة","السبت"))</f>
        <v/>
      </c>
      <c r="O1082" s="23">
        <f>IF(OR($K1082="",$L1082=""),"",HYPERLINK("https://maps.google.com/?q="&amp;$K1082&amp;","&amp;$L1082,"عرض الموقع"))</f>
        <v/>
      </c>
      <c r="P1082" s="23">
        <f>IF(OR($B1082="",N($J1082)=0),"",HYPERLINK(PhotoDir&amp;"/"&amp;YEAR($B1082)&amp;"-"&amp;TEXT(MONTH($B1082),"00")&amp;"-"&amp;TEXT(DAY($B1082),"00")&amp;"_"&amp;$D1082,"فتح الصور ("&amp;$J1082&amp;")"))</f>
        <v/>
      </c>
      <c r="Q1082" s="24">
        <f>IF($B1082="","",MONTH($B1082))</f>
        <v/>
      </c>
      <c r="R1082" s="24">
        <f>IF($B1082="","",YEAR($B1082))</f>
        <v/>
      </c>
      <c r="S1082" s="25">
        <f>IF($B1082="","",$B1082-WEEKDAY($B1082,3))</f>
        <v/>
      </c>
      <c r="T1082" s="24">
        <f>IF($B1082="",0,IF(COUNTIFS($B$5:$B1082,$B1082,$D$5:$D1082,$D1082)=1,1,0))</f>
        <v/>
      </c>
      <c r="U1082" s="24">
        <f>IF($B1082="",0,IF(COUNTIFS($B$5:$B1082,$B1082,$C$5:$C1082,$C1082)=1,1,0))</f>
        <v/>
      </c>
      <c r="V1082" s="24">
        <f>IF(OR($B1082="",$G1082="",$G1082="لا توجد مشاهدات"),0,1)</f>
        <v/>
      </c>
      <c r="W1082" s="24">
        <f>IF(AND($B1082&lt;&gt;"",$I1082="تم تحرير مخالفة"),1,0)</f>
        <v/>
      </c>
      <c r="X1082" s="24">
        <f>IF($B1082="","",IF($S1082=WkStart,COUNTIF($S$5:$S1082,WkStart),""))</f>
        <v/>
      </c>
    </row>
    <row r="1083">
      <c r="A1083" s="16">
        <f>IF($B1083="","",ROW()-4)</f>
        <v/>
      </c>
      <c r="B1083" s="17" t="n"/>
      <c r="C1083" s="18" t="n"/>
      <c r="D1083" s="18" t="n"/>
      <c r="E1083" s="19" t="n"/>
      <c r="F1083" s="19" t="n"/>
      <c r="G1083" s="18" t="n"/>
      <c r="H1083" s="18" t="n"/>
      <c r="I1083" s="18" t="n"/>
      <c r="J1083" s="20" t="n"/>
      <c r="K1083" s="21" t="n"/>
      <c r="L1083" s="21" t="n"/>
      <c r="M1083" s="18" t="n"/>
      <c r="N1083" s="22">
        <f>IF($B1083="","",CHOOSE(WEEKDAY($B1083),"الأحد","الاثنين","الثلاثاء","الأربعاء","الخميس","الجمعة","السبت"))</f>
        <v/>
      </c>
      <c r="O1083" s="23">
        <f>IF(OR($K1083="",$L1083=""),"",HYPERLINK("https://maps.google.com/?q="&amp;$K1083&amp;","&amp;$L1083,"عرض الموقع"))</f>
        <v/>
      </c>
      <c r="P1083" s="23">
        <f>IF(OR($B1083="",N($J1083)=0),"",HYPERLINK(PhotoDir&amp;"/"&amp;YEAR($B1083)&amp;"-"&amp;TEXT(MONTH($B1083),"00")&amp;"-"&amp;TEXT(DAY($B1083),"00")&amp;"_"&amp;$D1083,"فتح الصور ("&amp;$J1083&amp;")"))</f>
        <v/>
      </c>
      <c r="Q1083" s="24">
        <f>IF($B1083="","",MONTH($B1083))</f>
        <v/>
      </c>
      <c r="R1083" s="24">
        <f>IF($B1083="","",YEAR($B1083))</f>
        <v/>
      </c>
      <c r="S1083" s="25">
        <f>IF($B1083="","",$B1083-WEEKDAY($B1083,3))</f>
        <v/>
      </c>
      <c r="T1083" s="24">
        <f>IF($B1083="",0,IF(COUNTIFS($B$5:$B1083,$B1083,$D$5:$D1083,$D1083)=1,1,0))</f>
        <v/>
      </c>
      <c r="U1083" s="24">
        <f>IF($B1083="",0,IF(COUNTIFS($B$5:$B1083,$B1083,$C$5:$C1083,$C1083)=1,1,0))</f>
        <v/>
      </c>
      <c r="V1083" s="24">
        <f>IF(OR($B1083="",$G1083="",$G1083="لا توجد مشاهدات"),0,1)</f>
        <v/>
      </c>
      <c r="W1083" s="24">
        <f>IF(AND($B1083&lt;&gt;"",$I1083="تم تحرير مخالفة"),1,0)</f>
        <v/>
      </c>
      <c r="X1083" s="24">
        <f>IF($B1083="","",IF($S1083=WkStart,COUNTIF($S$5:$S1083,WkStart),""))</f>
        <v/>
      </c>
    </row>
    <row r="1084">
      <c r="A1084" s="16">
        <f>IF($B1084="","",ROW()-4)</f>
        <v/>
      </c>
      <c r="B1084" s="17" t="n"/>
      <c r="C1084" s="18" t="n"/>
      <c r="D1084" s="18" t="n"/>
      <c r="E1084" s="19" t="n"/>
      <c r="F1084" s="19" t="n"/>
      <c r="G1084" s="18" t="n"/>
      <c r="H1084" s="18" t="n"/>
      <c r="I1084" s="18" t="n"/>
      <c r="J1084" s="20" t="n"/>
      <c r="K1084" s="21" t="n"/>
      <c r="L1084" s="21" t="n"/>
      <c r="M1084" s="18" t="n"/>
      <c r="N1084" s="22">
        <f>IF($B1084="","",CHOOSE(WEEKDAY($B1084),"الأحد","الاثنين","الثلاثاء","الأربعاء","الخميس","الجمعة","السبت"))</f>
        <v/>
      </c>
      <c r="O1084" s="23">
        <f>IF(OR($K1084="",$L1084=""),"",HYPERLINK("https://maps.google.com/?q="&amp;$K1084&amp;","&amp;$L1084,"عرض الموقع"))</f>
        <v/>
      </c>
      <c r="P1084" s="23">
        <f>IF(OR($B1084="",N($J1084)=0),"",HYPERLINK(PhotoDir&amp;"/"&amp;YEAR($B1084)&amp;"-"&amp;TEXT(MONTH($B1084),"00")&amp;"-"&amp;TEXT(DAY($B1084),"00")&amp;"_"&amp;$D1084,"فتح الصور ("&amp;$J1084&amp;")"))</f>
        <v/>
      </c>
      <c r="Q1084" s="24">
        <f>IF($B1084="","",MONTH($B1084))</f>
        <v/>
      </c>
      <c r="R1084" s="24">
        <f>IF($B1084="","",YEAR($B1084))</f>
        <v/>
      </c>
      <c r="S1084" s="25">
        <f>IF($B1084="","",$B1084-WEEKDAY($B1084,3))</f>
        <v/>
      </c>
      <c r="T1084" s="24">
        <f>IF($B1084="",0,IF(COUNTIFS($B$5:$B1084,$B1084,$D$5:$D1084,$D1084)=1,1,0))</f>
        <v/>
      </c>
      <c r="U1084" s="24">
        <f>IF($B1084="",0,IF(COUNTIFS($B$5:$B1084,$B1084,$C$5:$C1084,$C1084)=1,1,0))</f>
        <v/>
      </c>
      <c r="V1084" s="24">
        <f>IF(OR($B1084="",$G1084="",$G1084="لا توجد مشاهدات"),0,1)</f>
        <v/>
      </c>
      <c r="W1084" s="24">
        <f>IF(AND($B1084&lt;&gt;"",$I1084="تم تحرير مخالفة"),1,0)</f>
        <v/>
      </c>
      <c r="X1084" s="24">
        <f>IF($B1084="","",IF($S1084=WkStart,COUNTIF($S$5:$S1084,WkStart),""))</f>
        <v/>
      </c>
    </row>
    <row r="1085">
      <c r="A1085" s="16">
        <f>IF($B1085="","",ROW()-4)</f>
        <v/>
      </c>
      <c r="B1085" s="17" t="n"/>
      <c r="C1085" s="18" t="n"/>
      <c r="D1085" s="18" t="n"/>
      <c r="E1085" s="19" t="n"/>
      <c r="F1085" s="19" t="n"/>
      <c r="G1085" s="18" t="n"/>
      <c r="H1085" s="18" t="n"/>
      <c r="I1085" s="18" t="n"/>
      <c r="J1085" s="20" t="n"/>
      <c r="K1085" s="21" t="n"/>
      <c r="L1085" s="21" t="n"/>
      <c r="M1085" s="18" t="n"/>
      <c r="N1085" s="22">
        <f>IF($B1085="","",CHOOSE(WEEKDAY($B1085),"الأحد","الاثنين","الثلاثاء","الأربعاء","الخميس","الجمعة","السبت"))</f>
        <v/>
      </c>
      <c r="O1085" s="23">
        <f>IF(OR($K1085="",$L1085=""),"",HYPERLINK("https://maps.google.com/?q="&amp;$K1085&amp;","&amp;$L1085,"عرض الموقع"))</f>
        <v/>
      </c>
      <c r="P1085" s="23">
        <f>IF(OR($B1085="",N($J1085)=0),"",HYPERLINK(PhotoDir&amp;"/"&amp;YEAR($B1085)&amp;"-"&amp;TEXT(MONTH($B1085),"00")&amp;"-"&amp;TEXT(DAY($B1085),"00")&amp;"_"&amp;$D1085,"فتح الصور ("&amp;$J1085&amp;")"))</f>
        <v/>
      </c>
      <c r="Q1085" s="24">
        <f>IF($B1085="","",MONTH($B1085))</f>
        <v/>
      </c>
      <c r="R1085" s="24">
        <f>IF($B1085="","",YEAR($B1085))</f>
        <v/>
      </c>
      <c r="S1085" s="25">
        <f>IF($B1085="","",$B1085-WEEKDAY($B1085,3))</f>
        <v/>
      </c>
      <c r="T1085" s="24">
        <f>IF($B1085="",0,IF(COUNTIFS($B$5:$B1085,$B1085,$D$5:$D1085,$D1085)=1,1,0))</f>
        <v/>
      </c>
      <c r="U1085" s="24">
        <f>IF($B1085="",0,IF(COUNTIFS($B$5:$B1085,$B1085,$C$5:$C1085,$C1085)=1,1,0))</f>
        <v/>
      </c>
      <c r="V1085" s="24">
        <f>IF(OR($B1085="",$G1085="",$G1085="لا توجد مشاهدات"),0,1)</f>
        <v/>
      </c>
      <c r="W1085" s="24">
        <f>IF(AND($B1085&lt;&gt;"",$I1085="تم تحرير مخالفة"),1,0)</f>
        <v/>
      </c>
      <c r="X1085" s="24">
        <f>IF($B1085="","",IF($S1085=WkStart,COUNTIF($S$5:$S1085,WkStart),""))</f>
        <v/>
      </c>
    </row>
    <row r="1086">
      <c r="A1086" s="16">
        <f>IF($B1086="","",ROW()-4)</f>
        <v/>
      </c>
      <c r="B1086" s="17" t="n"/>
      <c r="C1086" s="18" t="n"/>
      <c r="D1086" s="18" t="n"/>
      <c r="E1086" s="19" t="n"/>
      <c r="F1086" s="19" t="n"/>
      <c r="G1086" s="18" t="n"/>
      <c r="H1086" s="18" t="n"/>
      <c r="I1086" s="18" t="n"/>
      <c r="J1086" s="20" t="n"/>
      <c r="K1086" s="21" t="n"/>
      <c r="L1086" s="21" t="n"/>
      <c r="M1086" s="18" t="n"/>
      <c r="N1086" s="22">
        <f>IF($B1086="","",CHOOSE(WEEKDAY($B1086),"الأحد","الاثنين","الثلاثاء","الأربعاء","الخميس","الجمعة","السبت"))</f>
        <v/>
      </c>
      <c r="O1086" s="23">
        <f>IF(OR($K1086="",$L1086=""),"",HYPERLINK("https://maps.google.com/?q="&amp;$K1086&amp;","&amp;$L1086,"عرض الموقع"))</f>
        <v/>
      </c>
      <c r="P1086" s="23">
        <f>IF(OR($B1086="",N($J1086)=0),"",HYPERLINK(PhotoDir&amp;"/"&amp;YEAR($B1086)&amp;"-"&amp;TEXT(MONTH($B1086),"00")&amp;"-"&amp;TEXT(DAY($B1086),"00")&amp;"_"&amp;$D1086,"فتح الصور ("&amp;$J1086&amp;")"))</f>
        <v/>
      </c>
      <c r="Q1086" s="24">
        <f>IF($B1086="","",MONTH($B1086))</f>
        <v/>
      </c>
      <c r="R1086" s="24">
        <f>IF($B1086="","",YEAR($B1086))</f>
        <v/>
      </c>
      <c r="S1086" s="25">
        <f>IF($B1086="","",$B1086-WEEKDAY($B1086,3))</f>
        <v/>
      </c>
      <c r="T1086" s="24">
        <f>IF($B1086="",0,IF(COUNTIFS($B$5:$B1086,$B1086,$D$5:$D1086,$D1086)=1,1,0))</f>
        <v/>
      </c>
      <c r="U1086" s="24">
        <f>IF($B1086="",0,IF(COUNTIFS($B$5:$B1086,$B1086,$C$5:$C1086,$C1086)=1,1,0))</f>
        <v/>
      </c>
      <c r="V1086" s="24">
        <f>IF(OR($B1086="",$G1086="",$G1086="لا توجد مشاهدات"),0,1)</f>
        <v/>
      </c>
      <c r="W1086" s="24">
        <f>IF(AND($B1086&lt;&gt;"",$I1086="تم تحرير مخالفة"),1,0)</f>
        <v/>
      </c>
      <c r="X1086" s="24">
        <f>IF($B1086="","",IF($S1086=WkStart,COUNTIF($S$5:$S1086,WkStart),""))</f>
        <v/>
      </c>
    </row>
    <row r="1087">
      <c r="A1087" s="16">
        <f>IF($B1087="","",ROW()-4)</f>
        <v/>
      </c>
      <c r="B1087" s="17" t="n"/>
      <c r="C1087" s="18" t="n"/>
      <c r="D1087" s="18" t="n"/>
      <c r="E1087" s="19" t="n"/>
      <c r="F1087" s="19" t="n"/>
      <c r="G1087" s="18" t="n"/>
      <c r="H1087" s="18" t="n"/>
      <c r="I1087" s="18" t="n"/>
      <c r="J1087" s="20" t="n"/>
      <c r="K1087" s="21" t="n"/>
      <c r="L1087" s="21" t="n"/>
      <c r="M1087" s="18" t="n"/>
      <c r="N1087" s="22">
        <f>IF($B1087="","",CHOOSE(WEEKDAY($B1087),"الأحد","الاثنين","الثلاثاء","الأربعاء","الخميس","الجمعة","السبت"))</f>
        <v/>
      </c>
      <c r="O1087" s="23">
        <f>IF(OR($K1087="",$L1087=""),"",HYPERLINK("https://maps.google.com/?q="&amp;$K1087&amp;","&amp;$L1087,"عرض الموقع"))</f>
        <v/>
      </c>
      <c r="P1087" s="23">
        <f>IF(OR($B1087="",N($J1087)=0),"",HYPERLINK(PhotoDir&amp;"/"&amp;YEAR($B1087)&amp;"-"&amp;TEXT(MONTH($B1087),"00")&amp;"-"&amp;TEXT(DAY($B1087),"00")&amp;"_"&amp;$D1087,"فتح الصور ("&amp;$J1087&amp;")"))</f>
        <v/>
      </c>
      <c r="Q1087" s="24">
        <f>IF($B1087="","",MONTH($B1087))</f>
        <v/>
      </c>
      <c r="R1087" s="24">
        <f>IF($B1087="","",YEAR($B1087))</f>
        <v/>
      </c>
      <c r="S1087" s="25">
        <f>IF($B1087="","",$B1087-WEEKDAY($B1087,3))</f>
        <v/>
      </c>
      <c r="T1087" s="24">
        <f>IF($B1087="",0,IF(COUNTIFS($B$5:$B1087,$B1087,$D$5:$D1087,$D1087)=1,1,0))</f>
        <v/>
      </c>
      <c r="U1087" s="24">
        <f>IF($B1087="",0,IF(COUNTIFS($B$5:$B1087,$B1087,$C$5:$C1087,$C1087)=1,1,0))</f>
        <v/>
      </c>
      <c r="V1087" s="24">
        <f>IF(OR($B1087="",$G1087="",$G1087="لا توجد مشاهدات"),0,1)</f>
        <v/>
      </c>
      <c r="W1087" s="24">
        <f>IF(AND($B1087&lt;&gt;"",$I1087="تم تحرير مخالفة"),1,0)</f>
        <v/>
      </c>
      <c r="X1087" s="24">
        <f>IF($B1087="","",IF($S1087=WkStart,COUNTIF($S$5:$S1087,WkStart),""))</f>
        <v/>
      </c>
    </row>
    <row r="1088">
      <c r="A1088" s="16">
        <f>IF($B1088="","",ROW()-4)</f>
        <v/>
      </c>
      <c r="B1088" s="17" t="n"/>
      <c r="C1088" s="18" t="n"/>
      <c r="D1088" s="18" t="n"/>
      <c r="E1088" s="19" t="n"/>
      <c r="F1088" s="19" t="n"/>
      <c r="G1088" s="18" t="n"/>
      <c r="H1088" s="18" t="n"/>
      <c r="I1088" s="18" t="n"/>
      <c r="J1088" s="20" t="n"/>
      <c r="K1088" s="21" t="n"/>
      <c r="L1088" s="21" t="n"/>
      <c r="M1088" s="18" t="n"/>
      <c r="N1088" s="22">
        <f>IF($B1088="","",CHOOSE(WEEKDAY($B1088),"الأحد","الاثنين","الثلاثاء","الأربعاء","الخميس","الجمعة","السبت"))</f>
        <v/>
      </c>
      <c r="O1088" s="23">
        <f>IF(OR($K1088="",$L1088=""),"",HYPERLINK("https://maps.google.com/?q="&amp;$K1088&amp;","&amp;$L1088,"عرض الموقع"))</f>
        <v/>
      </c>
      <c r="P1088" s="23">
        <f>IF(OR($B1088="",N($J1088)=0),"",HYPERLINK(PhotoDir&amp;"/"&amp;YEAR($B1088)&amp;"-"&amp;TEXT(MONTH($B1088),"00")&amp;"-"&amp;TEXT(DAY($B1088),"00")&amp;"_"&amp;$D1088,"فتح الصور ("&amp;$J1088&amp;")"))</f>
        <v/>
      </c>
      <c r="Q1088" s="24">
        <f>IF($B1088="","",MONTH($B1088))</f>
        <v/>
      </c>
      <c r="R1088" s="24">
        <f>IF($B1088="","",YEAR($B1088))</f>
        <v/>
      </c>
      <c r="S1088" s="25">
        <f>IF($B1088="","",$B1088-WEEKDAY($B1088,3))</f>
        <v/>
      </c>
      <c r="T1088" s="24">
        <f>IF($B1088="",0,IF(COUNTIFS($B$5:$B1088,$B1088,$D$5:$D1088,$D1088)=1,1,0))</f>
        <v/>
      </c>
      <c r="U1088" s="24">
        <f>IF($B1088="",0,IF(COUNTIFS($B$5:$B1088,$B1088,$C$5:$C1088,$C1088)=1,1,0))</f>
        <v/>
      </c>
      <c r="V1088" s="24">
        <f>IF(OR($B1088="",$G1088="",$G1088="لا توجد مشاهدات"),0,1)</f>
        <v/>
      </c>
      <c r="W1088" s="24">
        <f>IF(AND($B1088&lt;&gt;"",$I1088="تم تحرير مخالفة"),1,0)</f>
        <v/>
      </c>
      <c r="X1088" s="24">
        <f>IF($B1088="","",IF($S1088=WkStart,COUNTIF($S$5:$S1088,WkStart),""))</f>
        <v/>
      </c>
    </row>
    <row r="1089">
      <c r="A1089" s="16">
        <f>IF($B1089="","",ROW()-4)</f>
        <v/>
      </c>
      <c r="B1089" s="17" t="n"/>
      <c r="C1089" s="18" t="n"/>
      <c r="D1089" s="18" t="n"/>
      <c r="E1089" s="19" t="n"/>
      <c r="F1089" s="19" t="n"/>
      <c r="G1089" s="18" t="n"/>
      <c r="H1089" s="18" t="n"/>
      <c r="I1089" s="18" t="n"/>
      <c r="J1089" s="20" t="n"/>
      <c r="K1089" s="21" t="n"/>
      <c r="L1089" s="21" t="n"/>
      <c r="M1089" s="18" t="n"/>
      <c r="N1089" s="22">
        <f>IF($B1089="","",CHOOSE(WEEKDAY($B1089),"الأحد","الاثنين","الثلاثاء","الأربعاء","الخميس","الجمعة","السبت"))</f>
        <v/>
      </c>
      <c r="O1089" s="23">
        <f>IF(OR($K1089="",$L1089=""),"",HYPERLINK("https://maps.google.com/?q="&amp;$K1089&amp;","&amp;$L1089,"عرض الموقع"))</f>
        <v/>
      </c>
      <c r="P1089" s="23">
        <f>IF(OR($B1089="",N($J1089)=0),"",HYPERLINK(PhotoDir&amp;"/"&amp;YEAR($B1089)&amp;"-"&amp;TEXT(MONTH($B1089),"00")&amp;"-"&amp;TEXT(DAY($B1089),"00")&amp;"_"&amp;$D1089,"فتح الصور ("&amp;$J1089&amp;")"))</f>
        <v/>
      </c>
      <c r="Q1089" s="24">
        <f>IF($B1089="","",MONTH($B1089))</f>
        <v/>
      </c>
      <c r="R1089" s="24">
        <f>IF($B1089="","",YEAR($B1089))</f>
        <v/>
      </c>
      <c r="S1089" s="25">
        <f>IF($B1089="","",$B1089-WEEKDAY($B1089,3))</f>
        <v/>
      </c>
      <c r="T1089" s="24">
        <f>IF($B1089="",0,IF(COUNTIFS($B$5:$B1089,$B1089,$D$5:$D1089,$D1089)=1,1,0))</f>
        <v/>
      </c>
      <c r="U1089" s="24">
        <f>IF($B1089="",0,IF(COUNTIFS($B$5:$B1089,$B1089,$C$5:$C1089,$C1089)=1,1,0))</f>
        <v/>
      </c>
      <c r="V1089" s="24">
        <f>IF(OR($B1089="",$G1089="",$G1089="لا توجد مشاهدات"),0,1)</f>
        <v/>
      </c>
      <c r="W1089" s="24">
        <f>IF(AND($B1089&lt;&gt;"",$I1089="تم تحرير مخالفة"),1,0)</f>
        <v/>
      </c>
      <c r="X1089" s="24">
        <f>IF($B1089="","",IF($S1089=WkStart,COUNTIF($S$5:$S1089,WkStart),""))</f>
        <v/>
      </c>
    </row>
    <row r="1090">
      <c r="A1090" s="16">
        <f>IF($B1090="","",ROW()-4)</f>
        <v/>
      </c>
      <c r="B1090" s="17" t="n"/>
      <c r="C1090" s="18" t="n"/>
      <c r="D1090" s="18" t="n"/>
      <c r="E1090" s="19" t="n"/>
      <c r="F1090" s="19" t="n"/>
      <c r="G1090" s="18" t="n"/>
      <c r="H1090" s="18" t="n"/>
      <c r="I1090" s="18" t="n"/>
      <c r="J1090" s="20" t="n"/>
      <c r="K1090" s="21" t="n"/>
      <c r="L1090" s="21" t="n"/>
      <c r="M1090" s="18" t="n"/>
      <c r="N1090" s="22">
        <f>IF($B1090="","",CHOOSE(WEEKDAY($B1090),"الأحد","الاثنين","الثلاثاء","الأربعاء","الخميس","الجمعة","السبت"))</f>
        <v/>
      </c>
      <c r="O1090" s="23">
        <f>IF(OR($K1090="",$L1090=""),"",HYPERLINK("https://maps.google.com/?q="&amp;$K1090&amp;","&amp;$L1090,"عرض الموقع"))</f>
        <v/>
      </c>
      <c r="P1090" s="23">
        <f>IF(OR($B1090="",N($J1090)=0),"",HYPERLINK(PhotoDir&amp;"/"&amp;YEAR($B1090)&amp;"-"&amp;TEXT(MONTH($B1090),"00")&amp;"-"&amp;TEXT(DAY($B1090),"00")&amp;"_"&amp;$D1090,"فتح الصور ("&amp;$J1090&amp;")"))</f>
        <v/>
      </c>
      <c r="Q1090" s="24">
        <f>IF($B1090="","",MONTH($B1090))</f>
        <v/>
      </c>
      <c r="R1090" s="24">
        <f>IF($B1090="","",YEAR($B1090))</f>
        <v/>
      </c>
      <c r="S1090" s="25">
        <f>IF($B1090="","",$B1090-WEEKDAY($B1090,3))</f>
        <v/>
      </c>
      <c r="T1090" s="24">
        <f>IF($B1090="",0,IF(COUNTIFS($B$5:$B1090,$B1090,$D$5:$D1090,$D1090)=1,1,0))</f>
        <v/>
      </c>
      <c r="U1090" s="24">
        <f>IF($B1090="",0,IF(COUNTIFS($B$5:$B1090,$B1090,$C$5:$C1090,$C1090)=1,1,0))</f>
        <v/>
      </c>
      <c r="V1090" s="24">
        <f>IF(OR($B1090="",$G1090="",$G1090="لا توجد مشاهدات"),0,1)</f>
        <v/>
      </c>
      <c r="W1090" s="24">
        <f>IF(AND($B1090&lt;&gt;"",$I1090="تم تحرير مخالفة"),1,0)</f>
        <v/>
      </c>
      <c r="X1090" s="24">
        <f>IF($B1090="","",IF($S1090=WkStart,COUNTIF($S$5:$S1090,WkStart),""))</f>
        <v/>
      </c>
    </row>
    <row r="1091">
      <c r="A1091" s="16">
        <f>IF($B1091="","",ROW()-4)</f>
        <v/>
      </c>
      <c r="B1091" s="17" t="n"/>
      <c r="C1091" s="18" t="n"/>
      <c r="D1091" s="18" t="n"/>
      <c r="E1091" s="19" t="n"/>
      <c r="F1091" s="19" t="n"/>
      <c r="G1091" s="18" t="n"/>
      <c r="H1091" s="18" t="n"/>
      <c r="I1091" s="18" t="n"/>
      <c r="J1091" s="20" t="n"/>
      <c r="K1091" s="21" t="n"/>
      <c r="L1091" s="21" t="n"/>
      <c r="M1091" s="18" t="n"/>
      <c r="N1091" s="22">
        <f>IF($B1091="","",CHOOSE(WEEKDAY($B1091),"الأحد","الاثنين","الثلاثاء","الأربعاء","الخميس","الجمعة","السبت"))</f>
        <v/>
      </c>
      <c r="O1091" s="23">
        <f>IF(OR($K1091="",$L1091=""),"",HYPERLINK("https://maps.google.com/?q="&amp;$K1091&amp;","&amp;$L1091,"عرض الموقع"))</f>
        <v/>
      </c>
      <c r="P1091" s="23">
        <f>IF(OR($B1091="",N($J1091)=0),"",HYPERLINK(PhotoDir&amp;"/"&amp;YEAR($B1091)&amp;"-"&amp;TEXT(MONTH($B1091),"00")&amp;"-"&amp;TEXT(DAY($B1091),"00")&amp;"_"&amp;$D1091,"فتح الصور ("&amp;$J1091&amp;")"))</f>
        <v/>
      </c>
      <c r="Q1091" s="24">
        <f>IF($B1091="","",MONTH($B1091))</f>
        <v/>
      </c>
      <c r="R1091" s="24">
        <f>IF($B1091="","",YEAR($B1091))</f>
        <v/>
      </c>
      <c r="S1091" s="25">
        <f>IF($B1091="","",$B1091-WEEKDAY($B1091,3))</f>
        <v/>
      </c>
      <c r="T1091" s="24">
        <f>IF($B1091="",0,IF(COUNTIFS($B$5:$B1091,$B1091,$D$5:$D1091,$D1091)=1,1,0))</f>
        <v/>
      </c>
      <c r="U1091" s="24">
        <f>IF($B1091="",0,IF(COUNTIFS($B$5:$B1091,$B1091,$C$5:$C1091,$C1091)=1,1,0))</f>
        <v/>
      </c>
      <c r="V1091" s="24">
        <f>IF(OR($B1091="",$G1091="",$G1091="لا توجد مشاهدات"),0,1)</f>
        <v/>
      </c>
      <c r="W1091" s="24">
        <f>IF(AND($B1091&lt;&gt;"",$I1091="تم تحرير مخالفة"),1,0)</f>
        <v/>
      </c>
      <c r="X1091" s="24">
        <f>IF($B1091="","",IF($S1091=WkStart,COUNTIF($S$5:$S1091,WkStart),""))</f>
        <v/>
      </c>
    </row>
    <row r="1092">
      <c r="A1092" s="16">
        <f>IF($B1092="","",ROW()-4)</f>
        <v/>
      </c>
      <c r="B1092" s="17" t="n"/>
      <c r="C1092" s="18" t="n"/>
      <c r="D1092" s="18" t="n"/>
      <c r="E1092" s="19" t="n"/>
      <c r="F1092" s="19" t="n"/>
      <c r="G1092" s="18" t="n"/>
      <c r="H1092" s="18" t="n"/>
      <c r="I1092" s="18" t="n"/>
      <c r="J1092" s="20" t="n"/>
      <c r="K1092" s="21" t="n"/>
      <c r="L1092" s="21" t="n"/>
      <c r="M1092" s="18" t="n"/>
      <c r="N1092" s="22">
        <f>IF($B1092="","",CHOOSE(WEEKDAY($B1092),"الأحد","الاثنين","الثلاثاء","الأربعاء","الخميس","الجمعة","السبت"))</f>
        <v/>
      </c>
      <c r="O1092" s="23">
        <f>IF(OR($K1092="",$L1092=""),"",HYPERLINK("https://maps.google.com/?q="&amp;$K1092&amp;","&amp;$L1092,"عرض الموقع"))</f>
        <v/>
      </c>
      <c r="P1092" s="23">
        <f>IF(OR($B1092="",N($J1092)=0),"",HYPERLINK(PhotoDir&amp;"/"&amp;YEAR($B1092)&amp;"-"&amp;TEXT(MONTH($B1092),"00")&amp;"-"&amp;TEXT(DAY($B1092),"00")&amp;"_"&amp;$D1092,"فتح الصور ("&amp;$J1092&amp;")"))</f>
        <v/>
      </c>
      <c r="Q1092" s="24">
        <f>IF($B1092="","",MONTH($B1092))</f>
        <v/>
      </c>
      <c r="R1092" s="24">
        <f>IF($B1092="","",YEAR($B1092))</f>
        <v/>
      </c>
      <c r="S1092" s="25">
        <f>IF($B1092="","",$B1092-WEEKDAY($B1092,3))</f>
        <v/>
      </c>
      <c r="T1092" s="24">
        <f>IF($B1092="",0,IF(COUNTIFS($B$5:$B1092,$B1092,$D$5:$D1092,$D1092)=1,1,0))</f>
        <v/>
      </c>
      <c r="U1092" s="24">
        <f>IF($B1092="",0,IF(COUNTIFS($B$5:$B1092,$B1092,$C$5:$C1092,$C1092)=1,1,0))</f>
        <v/>
      </c>
      <c r="V1092" s="24">
        <f>IF(OR($B1092="",$G1092="",$G1092="لا توجد مشاهدات"),0,1)</f>
        <v/>
      </c>
      <c r="W1092" s="24">
        <f>IF(AND($B1092&lt;&gt;"",$I1092="تم تحرير مخالفة"),1,0)</f>
        <v/>
      </c>
      <c r="X1092" s="24">
        <f>IF($B1092="","",IF($S1092=WkStart,COUNTIF($S$5:$S1092,WkStart),""))</f>
        <v/>
      </c>
    </row>
    <row r="1093">
      <c r="A1093" s="16">
        <f>IF($B1093="","",ROW()-4)</f>
        <v/>
      </c>
      <c r="B1093" s="17" t="n"/>
      <c r="C1093" s="18" t="n"/>
      <c r="D1093" s="18" t="n"/>
      <c r="E1093" s="19" t="n"/>
      <c r="F1093" s="19" t="n"/>
      <c r="G1093" s="18" t="n"/>
      <c r="H1093" s="18" t="n"/>
      <c r="I1093" s="18" t="n"/>
      <c r="J1093" s="20" t="n"/>
      <c r="K1093" s="21" t="n"/>
      <c r="L1093" s="21" t="n"/>
      <c r="M1093" s="18" t="n"/>
      <c r="N1093" s="22">
        <f>IF($B1093="","",CHOOSE(WEEKDAY($B1093),"الأحد","الاثنين","الثلاثاء","الأربعاء","الخميس","الجمعة","السبت"))</f>
        <v/>
      </c>
      <c r="O1093" s="23">
        <f>IF(OR($K1093="",$L1093=""),"",HYPERLINK("https://maps.google.com/?q="&amp;$K1093&amp;","&amp;$L1093,"عرض الموقع"))</f>
        <v/>
      </c>
      <c r="P1093" s="23">
        <f>IF(OR($B1093="",N($J1093)=0),"",HYPERLINK(PhotoDir&amp;"/"&amp;YEAR($B1093)&amp;"-"&amp;TEXT(MONTH($B1093),"00")&amp;"-"&amp;TEXT(DAY($B1093),"00")&amp;"_"&amp;$D1093,"فتح الصور ("&amp;$J1093&amp;")"))</f>
        <v/>
      </c>
      <c r="Q1093" s="24">
        <f>IF($B1093="","",MONTH($B1093))</f>
        <v/>
      </c>
      <c r="R1093" s="24">
        <f>IF($B1093="","",YEAR($B1093))</f>
        <v/>
      </c>
      <c r="S1093" s="25">
        <f>IF($B1093="","",$B1093-WEEKDAY($B1093,3))</f>
        <v/>
      </c>
      <c r="T1093" s="24">
        <f>IF($B1093="",0,IF(COUNTIFS($B$5:$B1093,$B1093,$D$5:$D1093,$D1093)=1,1,0))</f>
        <v/>
      </c>
      <c r="U1093" s="24">
        <f>IF($B1093="",0,IF(COUNTIFS($B$5:$B1093,$B1093,$C$5:$C1093,$C1093)=1,1,0))</f>
        <v/>
      </c>
      <c r="V1093" s="24">
        <f>IF(OR($B1093="",$G1093="",$G1093="لا توجد مشاهدات"),0,1)</f>
        <v/>
      </c>
      <c r="W1093" s="24">
        <f>IF(AND($B1093&lt;&gt;"",$I1093="تم تحرير مخالفة"),1,0)</f>
        <v/>
      </c>
      <c r="X1093" s="24">
        <f>IF($B1093="","",IF($S1093=WkStart,COUNTIF($S$5:$S1093,WkStart),""))</f>
        <v/>
      </c>
    </row>
    <row r="1094">
      <c r="A1094" s="16">
        <f>IF($B1094="","",ROW()-4)</f>
        <v/>
      </c>
      <c r="B1094" s="17" t="n"/>
      <c r="C1094" s="18" t="n"/>
      <c r="D1094" s="18" t="n"/>
      <c r="E1094" s="19" t="n"/>
      <c r="F1094" s="19" t="n"/>
      <c r="G1094" s="18" t="n"/>
      <c r="H1094" s="18" t="n"/>
      <c r="I1094" s="18" t="n"/>
      <c r="J1094" s="20" t="n"/>
      <c r="K1094" s="21" t="n"/>
      <c r="L1094" s="21" t="n"/>
      <c r="M1094" s="18" t="n"/>
      <c r="N1094" s="22">
        <f>IF($B1094="","",CHOOSE(WEEKDAY($B1094),"الأحد","الاثنين","الثلاثاء","الأربعاء","الخميس","الجمعة","السبت"))</f>
        <v/>
      </c>
      <c r="O1094" s="23">
        <f>IF(OR($K1094="",$L1094=""),"",HYPERLINK("https://maps.google.com/?q="&amp;$K1094&amp;","&amp;$L1094,"عرض الموقع"))</f>
        <v/>
      </c>
      <c r="P1094" s="23">
        <f>IF(OR($B1094="",N($J1094)=0),"",HYPERLINK(PhotoDir&amp;"/"&amp;YEAR($B1094)&amp;"-"&amp;TEXT(MONTH($B1094),"00")&amp;"-"&amp;TEXT(DAY($B1094),"00")&amp;"_"&amp;$D1094,"فتح الصور ("&amp;$J1094&amp;")"))</f>
        <v/>
      </c>
      <c r="Q1094" s="24">
        <f>IF($B1094="","",MONTH($B1094))</f>
        <v/>
      </c>
      <c r="R1094" s="24">
        <f>IF($B1094="","",YEAR($B1094))</f>
        <v/>
      </c>
      <c r="S1094" s="25">
        <f>IF($B1094="","",$B1094-WEEKDAY($B1094,3))</f>
        <v/>
      </c>
      <c r="T1094" s="24">
        <f>IF($B1094="",0,IF(COUNTIFS($B$5:$B1094,$B1094,$D$5:$D1094,$D1094)=1,1,0))</f>
        <v/>
      </c>
      <c r="U1094" s="24">
        <f>IF($B1094="",0,IF(COUNTIFS($B$5:$B1094,$B1094,$C$5:$C1094,$C1094)=1,1,0))</f>
        <v/>
      </c>
      <c r="V1094" s="24">
        <f>IF(OR($B1094="",$G1094="",$G1094="لا توجد مشاهدات"),0,1)</f>
        <v/>
      </c>
      <c r="W1094" s="24">
        <f>IF(AND($B1094&lt;&gt;"",$I1094="تم تحرير مخالفة"),1,0)</f>
        <v/>
      </c>
      <c r="X1094" s="24">
        <f>IF($B1094="","",IF($S1094=WkStart,COUNTIF($S$5:$S1094,WkStart),""))</f>
        <v/>
      </c>
    </row>
    <row r="1095">
      <c r="A1095" s="16">
        <f>IF($B1095="","",ROW()-4)</f>
        <v/>
      </c>
      <c r="B1095" s="17" t="n"/>
      <c r="C1095" s="18" t="n"/>
      <c r="D1095" s="18" t="n"/>
      <c r="E1095" s="19" t="n"/>
      <c r="F1095" s="19" t="n"/>
      <c r="G1095" s="18" t="n"/>
      <c r="H1095" s="18" t="n"/>
      <c r="I1095" s="18" t="n"/>
      <c r="J1095" s="20" t="n"/>
      <c r="K1095" s="21" t="n"/>
      <c r="L1095" s="21" t="n"/>
      <c r="M1095" s="18" t="n"/>
      <c r="N1095" s="22">
        <f>IF($B1095="","",CHOOSE(WEEKDAY($B1095),"الأحد","الاثنين","الثلاثاء","الأربعاء","الخميس","الجمعة","السبت"))</f>
        <v/>
      </c>
      <c r="O1095" s="23">
        <f>IF(OR($K1095="",$L1095=""),"",HYPERLINK("https://maps.google.com/?q="&amp;$K1095&amp;","&amp;$L1095,"عرض الموقع"))</f>
        <v/>
      </c>
      <c r="P1095" s="23">
        <f>IF(OR($B1095="",N($J1095)=0),"",HYPERLINK(PhotoDir&amp;"/"&amp;YEAR($B1095)&amp;"-"&amp;TEXT(MONTH($B1095),"00")&amp;"-"&amp;TEXT(DAY($B1095),"00")&amp;"_"&amp;$D1095,"فتح الصور ("&amp;$J1095&amp;")"))</f>
        <v/>
      </c>
      <c r="Q1095" s="24">
        <f>IF($B1095="","",MONTH($B1095))</f>
        <v/>
      </c>
      <c r="R1095" s="24">
        <f>IF($B1095="","",YEAR($B1095))</f>
        <v/>
      </c>
      <c r="S1095" s="25">
        <f>IF($B1095="","",$B1095-WEEKDAY($B1095,3))</f>
        <v/>
      </c>
      <c r="T1095" s="24">
        <f>IF($B1095="",0,IF(COUNTIFS($B$5:$B1095,$B1095,$D$5:$D1095,$D1095)=1,1,0))</f>
        <v/>
      </c>
      <c r="U1095" s="24">
        <f>IF($B1095="",0,IF(COUNTIFS($B$5:$B1095,$B1095,$C$5:$C1095,$C1095)=1,1,0))</f>
        <v/>
      </c>
      <c r="V1095" s="24">
        <f>IF(OR($B1095="",$G1095="",$G1095="لا توجد مشاهدات"),0,1)</f>
        <v/>
      </c>
      <c r="W1095" s="24">
        <f>IF(AND($B1095&lt;&gt;"",$I1095="تم تحرير مخالفة"),1,0)</f>
        <v/>
      </c>
      <c r="X1095" s="24">
        <f>IF($B1095="","",IF($S1095=WkStart,COUNTIF($S$5:$S1095,WkStart),""))</f>
        <v/>
      </c>
    </row>
    <row r="1096">
      <c r="A1096" s="16">
        <f>IF($B1096="","",ROW()-4)</f>
        <v/>
      </c>
      <c r="B1096" s="17" t="n"/>
      <c r="C1096" s="18" t="n"/>
      <c r="D1096" s="18" t="n"/>
      <c r="E1096" s="19" t="n"/>
      <c r="F1096" s="19" t="n"/>
      <c r="G1096" s="18" t="n"/>
      <c r="H1096" s="18" t="n"/>
      <c r="I1096" s="18" t="n"/>
      <c r="J1096" s="20" t="n"/>
      <c r="K1096" s="21" t="n"/>
      <c r="L1096" s="21" t="n"/>
      <c r="M1096" s="18" t="n"/>
      <c r="N1096" s="22">
        <f>IF($B1096="","",CHOOSE(WEEKDAY($B1096),"الأحد","الاثنين","الثلاثاء","الأربعاء","الخميس","الجمعة","السبت"))</f>
        <v/>
      </c>
      <c r="O1096" s="23">
        <f>IF(OR($K1096="",$L1096=""),"",HYPERLINK("https://maps.google.com/?q="&amp;$K1096&amp;","&amp;$L1096,"عرض الموقع"))</f>
        <v/>
      </c>
      <c r="P1096" s="23">
        <f>IF(OR($B1096="",N($J1096)=0),"",HYPERLINK(PhotoDir&amp;"/"&amp;YEAR($B1096)&amp;"-"&amp;TEXT(MONTH($B1096),"00")&amp;"-"&amp;TEXT(DAY($B1096),"00")&amp;"_"&amp;$D1096,"فتح الصور ("&amp;$J1096&amp;")"))</f>
        <v/>
      </c>
      <c r="Q1096" s="24">
        <f>IF($B1096="","",MONTH($B1096))</f>
        <v/>
      </c>
      <c r="R1096" s="24">
        <f>IF($B1096="","",YEAR($B1096))</f>
        <v/>
      </c>
      <c r="S1096" s="25">
        <f>IF($B1096="","",$B1096-WEEKDAY($B1096,3))</f>
        <v/>
      </c>
      <c r="T1096" s="24">
        <f>IF($B1096="",0,IF(COUNTIFS($B$5:$B1096,$B1096,$D$5:$D1096,$D1096)=1,1,0))</f>
        <v/>
      </c>
      <c r="U1096" s="24">
        <f>IF($B1096="",0,IF(COUNTIFS($B$5:$B1096,$B1096,$C$5:$C1096,$C1096)=1,1,0))</f>
        <v/>
      </c>
      <c r="V1096" s="24">
        <f>IF(OR($B1096="",$G1096="",$G1096="لا توجد مشاهدات"),0,1)</f>
        <v/>
      </c>
      <c r="W1096" s="24">
        <f>IF(AND($B1096&lt;&gt;"",$I1096="تم تحرير مخالفة"),1,0)</f>
        <v/>
      </c>
      <c r="X1096" s="24">
        <f>IF($B1096="","",IF($S1096=WkStart,COUNTIF($S$5:$S1096,WkStart),""))</f>
        <v/>
      </c>
    </row>
    <row r="1097">
      <c r="A1097" s="16">
        <f>IF($B1097="","",ROW()-4)</f>
        <v/>
      </c>
      <c r="B1097" s="17" t="n"/>
      <c r="C1097" s="18" t="n"/>
      <c r="D1097" s="18" t="n"/>
      <c r="E1097" s="19" t="n"/>
      <c r="F1097" s="19" t="n"/>
      <c r="G1097" s="18" t="n"/>
      <c r="H1097" s="18" t="n"/>
      <c r="I1097" s="18" t="n"/>
      <c r="J1097" s="20" t="n"/>
      <c r="K1097" s="21" t="n"/>
      <c r="L1097" s="21" t="n"/>
      <c r="M1097" s="18" t="n"/>
      <c r="N1097" s="22">
        <f>IF($B1097="","",CHOOSE(WEEKDAY($B1097),"الأحد","الاثنين","الثلاثاء","الأربعاء","الخميس","الجمعة","السبت"))</f>
        <v/>
      </c>
      <c r="O1097" s="23">
        <f>IF(OR($K1097="",$L1097=""),"",HYPERLINK("https://maps.google.com/?q="&amp;$K1097&amp;","&amp;$L1097,"عرض الموقع"))</f>
        <v/>
      </c>
      <c r="P1097" s="23">
        <f>IF(OR($B1097="",N($J1097)=0),"",HYPERLINK(PhotoDir&amp;"/"&amp;YEAR($B1097)&amp;"-"&amp;TEXT(MONTH($B1097),"00")&amp;"-"&amp;TEXT(DAY($B1097),"00")&amp;"_"&amp;$D1097,"فتح الصور ("&amp;$J1097&amp;")"))</f>
        <v/>
      </c>
      <c r="Q1097" s="24">
        <f>IF($B1097="","",MONTH($B1097))</f>
        <v/>
      </c>
      <c r="R1097" s="24">
        <f>IF($B1097="","",YEAR($B1097))</f>
        <v/>
      </c>
      <c r="S1097" s="25">
        <f>IF($B1097="","",$B1097-WEEKDAY($B1097,3))</f>
        <v/>
      </c>
      <c r="T1097" s="24">
        <f>IF($B1097="",0,IF(COUNTIFS($B$5:$B1097,$B1097,$D$5:$D1097,$D1097)=1,1,0))</f>
        <v/>
      </c>
      <c r="U1097" s="24">
        <f>IF($B1097="",0,IF(COUNTIFS($B$5:$B1097,$B1097,$C$5:$C1097,$C1097)=1,1,0))</f>
        <v/>
      </c>
      <c r="V1097" s="24">
        <f>IF(OR($B1097="",$G1097="",$G1097="لا توجد مشاهدات"),0,1)</f>
        <v/>
      </c>
      <c r="W1097" s="24">
        <f>IF(AND($B1097&lt;&gt;"",$I1097="تم تحرير مخالفة"),1,0)</f>
        <v/>
      </c>
      <c r="X1097" s="24">
        <f>IF($B1097="","",IF($S1097=WkStart,COUNTIF($S$5:$S1097,WkStart),""))</f>
        <v/>
      </c>
    </row>
    <row r="1098">
      <c r="A1098" s="16">
        <f>IF($B1098="","",ROW()-4)</f>
        <v/>
      </c>
      <c r="B1098" s="17" t="n"/>
      <c r="C1098" s="18" t="n"/>
      <c r="D1098" s="18" t="n"/>
      <c r="E1098" s="19" t="n"/>
      <c r="F1098" s="19" t="n"/>
      <c r="G1098" s="18" t="n"/>
      <c r="H1098" s="18" t="n"/>
      <c r="I1098" s="18" t="n"/>
      <c r="J1098" s="20" t="n"/>
      <c r="K1098" s="21" t="n"/>
      <c r="L1098" s="21" t="n"/>
      <c r="M1098" s="18" t="n"/>
      <c r="N1098" s="22">
        <f>IF($B1098="","",CHOOSE(WEEKDAY($B1098),"الأحد","الاثنين","الثلاثاء","الأربعاء","الخميس","الجمعة","السبت"))</f>
        <v/>
      </c>
      <c r="O1098" s="23">
        <f>IF(OR($K1098="",$L1098=""),"",HYPERLINK("https://maps.google.com/?q="&amp;$K1098&amp;","&amp;$L1098,"عرض الموقع"))</f>
        <v/>
      </c>
      <c r="P1098" s="23">
        <f>IF(OR($B1098="",N($J1098)=0),"",HYPERLINK(PhotoDir&amp;"/"&amp;YEAR($B1098)&amp;"-"&amp;TEXT(MONTH($B1098),"00")&amp;"-"&amp;TEXT(DAY($B1098),"00")&amp;"_"&amp;$D1098,"فتح الصور ("&amp;$J1098&amp;")"))</f>
        <v/>
      </c>
      <c r="Q1098" s="24">
        <f>IF($B1098="","",MONTH($B1098))</f>
        <v/>
      </c>
      <c r="R1098" s="24">
        <f>IF($B1098="","",YEAR($B1098))</f>
        <v/>
      </c>
      <c r="S1098" s="25">
        <f>IF($B1098="","",$B1098-WEEKDAY($B1098,3))</f>
        <v/>
      </c>
      <c r="T1098" s="24">
        <f>IF($B1098="",0,IF(COUNTIFS($B$5:$B1098,$B1098,$D$5:$D1098,$D1098)=1,1,0))</f>
        <v/>
      </c>
      <c r="U1098" s="24">
        <f>IF($B1098="",0,IF(COUNTIFS($B$5:$B1098,$B1098,$C$5:$C1098,$C1098)=1,1,0))</f>
        <v/>
      </c>
      <c r="V1098" s="24">
        <f>IF(OR($B1098="",$G1098="",$G1098="لا توجد مشاهدات"),0,1)</f>
        <v/>
      </c>
      <c r="W1098" s="24">
        <f>IF(AND($B1098&lt;&gt;"",$I1098="تم تحرير مخالفة"),1,0)</f>
        <v/>
      </c>
      <c r="X1098" s="24">
        <f>IF($B1098="","",IF($S1098=WkStart,COUNTIF($S$5:$S1098,WkStart),""))</f>
        <v/>
      </c>
    </row>
    <row r="1099">
      <c r="A1099" s="16">
        <f>IF($B1099="","",ROW()-4)</f>
        <v/>
      </c>
      <c r="B1099" s="17" t="n"/>
      <c r="C1099" s="18" t="n"/>
      <c r="D1099" s="18" t="n"/>
      <c r="E1099" s="19" t="n"/>
      <c r="F1099" s="19" t="n"/>
      <c r="G1099" s="18" t="n"/>
      <c r="H1099" s="18" t="n"/>
      <c r="I1099" s="18" t="n"/>
      <c r="J1099" s="20" t="n"/>
      <c r="K1099" s="21" t="n"/>
      <c r="L1099" s="21" t="n"/>
      <c r="M1099" s="18" t="n"/>
      <c r="N1099" s="22">
        <f>IF($B1099="","",CHOOSE(WEEKDAY($B1099),"الأحد","الاثنين","الثلاثاء","الأربعاء","الخميس","الجمعة","السبت"))</f>
        <v/>
      </c>
      <c r="O1099" s="23">
        <f>IF(OR($K1099="",$L1099=""),"",HYPERLINK("https://maps.google.com/?q="&amp;$K1099&amp;","&amp;$L1099,"عرض الموقع"))</f>
        <v/>
      </c>
      <c r="P1099" s="23">
        <f>IF(OR($B1099="",N($J1099)=0),"",HYPERLINK(PhotoDir&amp;"/"&amp;YEAR($B1099)&amp;"-"&amp;TEXT(MONTH($B1099),"00")&amp;"-"&amp;TEXT(DAY($B1099),"00")&amp;"_"&amp;$D1099,"فتح الصور ("&amp;$J1099&amp;")"))</f>
        <v/>
      </c>
      <c r="Q1099" s="24">
        <f>IF($B1099="","",MONTH($B1099))</f>
        <v/>
      </c>
      <c r="R1099" s="24">
        <f>IF($B1099="","",YEAR($B1099))</f>
        <v/>
      </c>
      <c r="S1099" s="25">
        <f>IF($B1099="","",$B1099-WEEKDAY($B1099,3))</f>
        <v/>
      </c>
      <c r="T1099" s="24">
        <f>IF($B1099="",0,IF(COUNTIFS($B$5:$B1099,$B1099,$D$5:$D1099,$D1099)=1,1,0))</f>
        <v/>
      </c>
      <c r="U1099" s="24">
        <f>IF($B1099="",0,IF(COUNTIFS($B$5:$B1099,$B1099,$C$5:$C1099,$C1099)=1,1,0))</f>
        <v/>
      </c>
      <c r="V1099" s="24">
        <f>IF(OR($B1099="",$G1099="",$G1099="لا توجد مشاهدات"),0,1)</f>
        <v/>
      </c>
      <c r="W1099" s="24">
        <f>IF(AND($B1099&lt;&gt;"",$I1099="تم تحرير مخالفة"),1,0)</f>
        <v/>
      </c>
      <c r="X1099" s="24">
        <f>IF($B1099="","",IF($S1099=WkStart,COUNTIF($S$5:$S1099,WkStart),""))</f>
        <v/>
      </c>
    </row>
    <row r="1100">
      <c r="A1100" s="16">
        <f>IF($B1100="","",ROW()-4)</f>
        <v/>
      </c>
      <c r="B1100" s="17" t="n"/>
      <c r="C1100" s="18" t="n"/>
      <c r="D1100" s="18" t="n"/>
      <c r="E1100" s="19" t="n"/>
      <c r="F1100" s="19" t="n"/>
      <c r="G1100" s="18" t="n"/>
      <c r="H1100" s="18" t="n"/>
      <c r="I1100" s="18" t="n"/>
      <c r="J1100" s="20" t="n"/>
      <c r="K1100" s="21" t="n"/>
      <c r="L1100" s="21" t="n"/>
      <c r="M1100" s="18" t="n"/>
      <c r="N1100" s="22">
        <f>IF($B1100="","",CHOOSE(WEEKDAY($B1100),"الأحد","الاثنين","الثلاثاء","الأربعاء","الخميس","الجمعة","السبت"))</f>
        <v/>
      </c>
      <c r="O1100" s="23">
        <f>IF(OR($K1100="",$L1100=""),"",HYPERLINK("https://maps.google.com/?q="&amp;$K1100&amp;","&amp;$L1100,"عرض الموقع"))</f>
        <v/>
      </c>
      <c r="P1100" s="23">
        <f>IF(OR($B1100="",N($J1100)=0),"",HYPERLINK(PhotoDir&amp;"/"&amp;YEAR($B1100)&amp;"-"&amp;TEXT(MONTH($B1100),"00")&amp;"-"&amp;TEXT(DAY($B1100),"00")&amp;"_"&amp;$D1100,"فتح الصور ("&amp;$J1100&amp;")"))</f>
        <v/>
      </c>
      <c r="Q1100" s="24">
        <f>IF($B1100="","",MONTH($B1100))</f>
        <v/>
      </c>
      <c r="R1100" s="24">
        <f>IF($B1100="","",YEAR($B1100))</f>
        <v/>
      </c>
      <c r="S1100" s="25">
        <f>IF($B1100="","",$B1100-WEEKDAY($B1100,3))</f>
        <v/>
      </c>
      <c r="T1100" s="24">
        <f>IF($B1100="",0,IF(COUNTIFS($B$5:$B1100,$B1100,$D$5:$D1100,$D1100)=1,1,0))</f>
        <v/>
      </c>
      <c r="U1100" s="24">
        <f>IF($B1100="",0,IF(COUNTIFS($B$5:$B1100,$B1100,$C$5:$C1100,$C1100)=1,1,0))</f>
        <v/>
      </c>
      <c r="V1100" s="24">
        <f>IF(OR($B1100="",$G1100="",$G1100="لا توجد مشاهدات"),0,1)</f>
        <v/>
      </c>
      <c r="W1100" s="24">
        <f>IF(AND($B1100&lt;&gt;"",$I1100="تم تحرير مخالفة"),1,0)</f>
        <v/>
      </c>
      <c r="X1100" s="24">
        <f>IF($B1100="","",IF($S1100=WkStart,COUNTIF($S$5:$S1100,WkStart),""))</f>
        <v/>
      </c>
    </row>
    <row r="1101">
      <c r="A1101" s="16">
        <f>IF($B1101="","",ROW()-4)</f>
        <v/>
      </c>
      <c r="B1101" s="17" t="n"/>
      <c r="C1101" s="18" t="n"/>
      <c r="D1101" s="18" t="n"/>
      <c r="E1101" s="19" t="n"/>
      <c r="F1101" s="19" t="n"/>
      <c r="G1101" s="18" t="n"/>
      <c r="H1101" s="18" t="n"/>
      <c r="I1101" s="18" t="n"/>
      <c r="J1101" s="20" t="n"/>
      <c r="K1101" s="21" t="n"/>
      <c r="L1101" s="21" t="n"/>
      <c r="M1101" s="18" t="n"/>
      <c r="N1101" s="22">
        <f>IF($B1101="","",CHOOSE(WEEKDAY($B1101),"الأحد","الاثنين","الثلاثاء","الأربعاء","الخميس","الجمعة","السبت"))</f>
        <v/>
      </c>
      <c r="O1101" s="23">
        <f>IF(OR($K1101="",$L1101=""),"",HYPERLINK("https://maps.google.com/?q="&amp;$K1101&amp;","&amp;$L1101,"عرض الموقع"))</f>
        <v/>
      </c>
      <c r="P1101" s="23">
        <f>IF(OR($B1101="",N($J1101)=0),"",HYPERLINK(PhotoDir&amp;"/"&amp;YEAR($B1101)&amp;"-"&amp;TEXT(MONTH($B1101),"00")&amp;"-"&amp;TEXT(DAY($B1101),"00")&amp;"_"&amp;$D1101,"فتح الصور ("&amp;$J1101&amp;")"))</f>
        <v/>
      </c>
      <c r="Q1101" s="24">
        <f>IF($B1101="","",MONTH($B1101))</f>
        <v/>
      </c>
      <c r="R1101" s="24">
        <f>IF($B1101="","",YEAR($B1101))</f>
        <v/>
      </c>
      <c r="S1101" s="25">
        <f>IF($B1101="","",$B1101-WEEKDAY($B1101,3))</f>
        <v/>
      </c>
      <c r="T1101" s="24">
        <f>IF($B1101="",0,IF(COUNTIFS($B$5:$B1101,$B1101,$D$5:$D1101,$D1101)=1,1,0))</f>
        <v/>
      </c>
      <c r="U1101" s="24">
        <f>IF($B1101="",0,IF(COUNTIFS($B$5:$B1101,$B1101,$C$5:$C1101,$C1101)=1,1,0))</f>
        <v/>
      </c>
      <c r="V1101" s="24">
        <f>IF(OR($B1101="",$G1101="",$G1101="لا توجد مشاهدات"),0,1)</f>
        <v/>
      </c>
      <c r="W1101" s="24">
        <f>IF(AND($B1101&lt;&gt;"",$I1101="تم تحرير مخالفة"),1,0)</f>
        <v/>
      </c>
      <c r="X1101" s="24">
        <f>IF($B1101="","",IF($S1101=WkStart,COUNTIF($S$5:$S1101,WkStart),""))</f>
        <v/>
      </c>
    </row>
    <row r="1102">
      <c r="A1102" s="16">
        <f>IF($B1102="","",ROW()-4)</f>
        <v/>
      </c>
      <c r="B1102" s="17" t="n"/>
      <c r="C1102" s="18" t="n"/>
      <c r="D1102" s="18" t="n"/>
      <c r="E1102" s="19" t="n"/>
      <c r="F1102" s="19" t="n"/>
      <c r="G1102" s="18" t="n"/>
      <c r="H1102" s="18" t="n"/>
      <c r="I1102" s="18" t="n"/>
      <c r="J1102" s="20" t="n"/>
      <c r="K1102" s="21" t="n"/>
      <c r="L1102" s="21" t="n"/>
      <c r="M1102" s="18" t="n"/>
      <c r="N1102" s="22">
        <f>IF($B1102="","",CHOOSE(WEEKDAY($B1102),"الأحد","الاثنين","الثلاثاء","الأربعاء","الخميس","الجمعة","السبت"))</f>
        <v/>
      </c>
      <c r="O1102" s="23">
        <f>IF(OR($K1102="",$L1102=""),"",HYPERLINK("https://maps.google.com/?q="&amp;$K1102&amp;","&amp;$L1102,"عرض الموقع"))</f>
        <v/>
      </c>
      <c r="P1102" s="23">
        <f>IF(OR($B1102="",N($J1102)=0),"",HYPERLINK(PhotoDir&amp;"/"&amp;YEAR($B1102)&amp;"-"&amp;TEXT(MONTH($B1102),"00")&amp;"-"&amp;TEXT(DAY($B1102),"00")&amp;"_"&amp;$D1102,"فتح الصور ("&amp;$J1102&amp;")"))</f>
        <v/>
      </c>
      <c r="Q1102" s="24">
        <f>IF($B1102="","",MONTH($B1102))</f>
        <v/>
      </c>
      <c r="R1102" s="24">
        <f>IF($B1102="","",YEAR($B1102))</f>
        <v/>
      </c>
      <c r="S1102" s="25">
        <f>IF($B1102="","",$B1102-WEEKDAY($B1102,3))</f>
        <v/>
      </c>
      <c r="T1102" s="24">
        <f>IF($B1102="",0,IF(COUNTIFS($B$5:$B1102,$B1102,$D$5:$D1102,$D1102)=1,1,0))</f>
        <v/>
      </c>
      <c r="U1102" s="24">
        <f>IF($B1102="",0,IF(COUNTIFS($B$5:$B1102,$B1102,$C$5:$C1102,$C1102)=1,1,0))</f>
        <v/>
      </c>
      <c r="V1102" s="24">
        <f>IF(OR($B1102="",$G1102="",$G1102="لا توجد مشاهدات"),0,1)</f>
        <v/>
      </c>
      <c r="W1102" s="24">
        <f>IF(AND($B1102&lt;&gt;"",$I1102="تم تحرير مخالفة"),1,0)</f>
        <v/>
      </c>
      <c r="X1102" s="24">
        <f>IF($B1102="","",IF($S1102=WkStart,COUNTIF($S$5:$S1102,WkStart),""))</f>
        <v/>
      </c>
    </row>
    <row r="1103">
      <c r="A1103" s="16">
        <f>IF($B1103="","",ROW()-4)</f>
        <v/>
      </c>
      <c r="B1103" s="17" t="n"/>
      <c r="C1103" s="18" t="n"/>
      <c r="D1103" s="18" t="n"/>
      <c r="E1103" s="19" t="n"/>
      <c r="F1103" s="19" t="n"/>
      <c r="G1103" s="18" t="n"/>
      <c r="H1103" s="18" t="n"/>
      <c r="I1103" s="18" t="n"/>
      <c r="J1103" s="20" t="n"/>
      <c r="K1103" s="21" t="n"/>
      <c r="L1103" s="21" t="n"/>
      <c r="M1103" s="18" t="n"/>
      <c r="N1103" s="22">
        <f>IF($B1103="","",CHOOSE(WEEKDAY($B1103),"الأحد","الاثنين","الثلاثاء","الأربعاء","الخميس","الجمعة","السبت"))</f>
        <v/>
      </c>
      <c r="O1103" s="23">
        <f>IF(OR($K1103="",$L1103=""),"",HYPERLINK("https://maps.google.com/?q="&amp;$K1103&amp;","&amp;$L1103,"عرض الموقع"))</f>
        <v/>
      </c>
      <c r="P1103" s="23">
        <f>IF(OR($B1103="",N($J1103)=0),"",HYPERLINK(PhotoDir&amp;"/"&amp;YEAR($B1103)&amp;"-"&amp;TEXT(MONTH($B1103),"00")&amp;"-"&amp;TEXT(DAY($B1103),"00")&amp;"_"&amp;$D1103,"فتح الصور ("&amp;$J1103&amp;")"))</f>
        <v/>
      </c>
      <c r="Q1103" s="24">
        <f>IF($B1103="","",MONTH($B1103))</f>
        <v/>
      </c>
      <c r="R1103" s="24">
        <f>IF($B1103="","",YEAR($B1103))</f>
        <v/>
      </c>
      <c r="S1103" s="25">
        <f>IF($B1103="","",$B1103-WEEKDAY($B1103,3))</f>
        <v/>
      </c>
      <c r="T1103" s="24">
        <f>IF($B1103="",0,IF(COUNTIFS($B$5:$B1103,$B1103,$D$5:$D1103,$D1103)=1,1,0))</f>
        <v/>
      </c>
      <c r="U1103" s="24">
        <f>IF($B1103="",0,IF(COUNTIFS($B$5:$B1103,$B1103,$C$5:$C1103,$C1103)=1,1,0))</f>
        <v/>
      </c>
      <c r="V1103" s="24">
        <f>IF(OR($B1103="",$G1103="",$G1103="لا توجد مشاهدات"),0,1)</f>
        <v/>
      </c>
      <c r="W1103" s="24">
        <f>IF(AND($B1103&lt;&gt;"",$I1103="تم تحرير مخالفة"),1,0)</f>
        <v/>
      </c>
      <c r="X1103" s="24">
        <f>IF($B1103="","",IF($S1103=WkStart,COUNTIF($S$5:$S1103,WkStart),""))</f>
        <v/>
      </c>
    </row>
    <row r="1104">
      <c r="A1104" s="16">
        <f>IF($B1104="","",ROW()-4)</f>
        <v/>
      </c>
      <c r="B1104" s="17" t="n"/>
      <c r="C1104" s="18" t="n"/>
      <c r="D1104" s="18" t="n"/>
      <c r="E1104" s="19" t="n"/>
      <c r="F1104" s="19" t="n"/>
      <c r="G1104" s="18" t="n"/>
      <c r="H1104" s="18" t="n"/>
      <c r="I1104" s="18" t="n"/>
      <c r="J1104" s="20" t="n"/>
      <c r="K1104" s="21" t="n"/>
      <c r="L1104" s="21" t="n"/>
      <c r="M1104" s="18" t="n"/>
      <c r="N1104" s="22">
        <f>IF($B1104="","",CHOOSE(WEEKDAY($B1104),"الأحد","الاثنين","الثلاثاء","الأربعاء","الخميس","الجمعة","السبت"))</f>
        <v/>
      </c>
      <c r="O1104" s="23">
        <f>IF(OR($K1104="",$L1104=""),"",HYPERLINK("https://maps.google.com/?q="&amp;$K1104&amp;","&amp;$L1104,"عرض الموقع"))</f>
        <v/>
      </c>
      <c r="P1104" s="23">
        <f>IF(OR($B1104="",N($J1104)=0),"",HYPERLINK(PhotoDir&amp;"/"&amp;YEAR($B1104)&amp;"-"&amp;TEXT(MONTH($B1104),"00")&amp;"-"&amp;TEXT(DAY($B1104),"00")&amp;"_"&amp;$D1104,"فتح الصور ("&amp;$J1104&amp;")"))</f>
        <v/>
      </c>
      <c r="Q1104" s="24">
        <f>IF($B1104="","",MONTH($B1104))</f>
        <v/>
      </c>
      <c r="R1104" s="24">
        <f>IF($B1104="","",YEAR($B1104))</f>
        <v/>
      </c>
      <c r="S1104" s="25">
        <f>IF($B1104="","",$B1104-WEEKDAY($B1104,3))</f>
        <v/>
      </c>
      <c r="T1104" s="24">
        <f>IF($B1104="",0,IF(COUNTIFS($B$5:$B1104,$B1104,$D$5:$D1104,$D1104)=1,1,0))</f>
        <v/>
      </c>
      <c r="U1104" s="24">
        <f>IF($B1104="",0,IF(COUNTIFS($B$5:$B1104,$B1104,$C$5:$C1104,$C1104)=1,1,0))</f>
        <v/>
      </c>
      <c r="V1104" s="24">
        <f>IF(OR($B1104="",$G1104="",$G1104="لا توجد مشاهدات"),0,1)</f>
        <v/>
      </c>
      <c r="W1104" s="24">
        <f>IF(AND($B1104&lt;&gt;"",$I1104="تم تحرير مخالفة"),1,0)</f>
        <v/>
      </c>
      <c r="X1104" s="24">
        <f>IF($B1104="","",IF($S1104=WkStart,COUNTIF($S$5:$S1104,WkStart),""))</f>
        <v/>
      </c>
    </row>
    <row r="1105">
      <c r="A1105" s="16">
        <f>IF($B1105="","",ROW()-4)</f>
        <v/>
      </c>
      <c r="B1105" s="17" t="n"/>
      <c r="C1105" s="18" t="n"/>
      <c r="D1105" s="18" t="n"/>
      <c r="E1105" s="19" t="n"/>
      <c r="F1105" s="19" t="n"/>
      <c r="G1105" s="18" t="n"/>
      <c r="H1105" s="18" t="n"/>
      <c r="I1105" s="18" t="n"/>
      <c r="J1105" s="20" t="n"/>
      <c r="K1105" s="21" t="n"/>
      <c r="L1105" s="21" t="n"/>
      <c r="M1105" s="18" t="n"/>
      <c r="N1105" s="22">
        <f>IF($B1105="","",CHOOSE(WEEKDAY($B1105),"الأحد","الاثنين","الثلاثاء","الأربعاء","الخميس","الجمعة","السبت"))</f>
        <v/>
      </c>
      <c r="O1105" s="23">
        <f>IF(OR($K1105="",$L1105=""),"",HYPERLINK("https://maps.google.com/?q="&amp;$K1105&amp;","&amp;$L1105,"عرض الموقع"))</f>
        <v/>
      </c>
      <c r="P1105" s="23">
        <f>IF(OR($B1105="",N($J1105)=0),"",HYPERLINK(PhotoDir&amp;"/"&amp;YEAR($B1105)&amp;"-"&amp;TEXT(MONTH($B1105),"00")&amp;"-"&amp;TEXT(DAY($B1105),"00")&amp;"_"&amp;$D1105,"فتح الصور ("&amp;$J1105&amp;")"))</f>
        <v/>
      </c>
      <c r="Q1105" s="24">
        <f>IF($B1105="","",MONTH($B1105))</f>
        <v/>
      </c>
      <c r="R1105" s="24">
        <f>IF($B1105="","",YEAR($B1105))</f>
        <v/>
      </c>
      <c r="S1105" s="25">
        <f>IF($B1105="","",$B1105-WEEKDAY($B1105,3))</f>
        <v/>
      </c>
      <c r="T1105" s="24">
        <f>IF($B1105="",0,IF(COUNTIFS($B$5:$B1105,$B1105,$D$5:$D1105,$D1105)=1,1,0))</f>
        <v/>
      </c>
      <c r="U1105" s="24">
        <f>IF($B1105="",0,IF(COUNTIFS($B$5:$B1105,$B1105,$C$5:$C1105,$C1105)=1,1,0))</f>
        <v/>
      </c>
      <c r="V1105" s="24">
        <f>IF(OR($B1105="",$G1105="",$G1105="لا توجد مشاهدات"),0,1)</f>
        <v/>
      </c>
      <c r="W1105" s="24">
        <f>IF(AND($B1105&lt;&gt;"",$I1105="تم تحرير مخالفة"),1,0)</f>
        <v/>
      </c>
      <c r="X1105" s="24">
        <f>IF($B1105="","",IF($S1105=WkStart,COUNTIF($S$5:$S1105,WkStart),""))</f>
        <v/>
      </c>
    </row>
    <row r="1106">
      <c r="A1106" s="16">
        <f>IF($B1106="","",ROW()-4)</f>
        <v/>
      </c>
      <c r="B1106" s="17" t="n"/>
      <c r="C1106" s="18" t="n"/>
      <c r="D1106" s="18" t="n"/>
      <c r="E1106" s="19" t="n"/>
      <c r="F1106" s="19" t="n"/>
      <c r="G1106" s="18" t="n"/>
      <c r="H1106" s="18" t="n"/>
      <c r="I1106" s="18" t="n"/>
      <c r="J1106" s="20" t="n"/>
      <c r="K1106" s="21" t="n"/>
      <c r="L1106" s="21" t="n"/>
      <c r="M1106" s="18" t="n"/>
      <c r="N1106" s="22">
        <f>IF($B1106="","",CHOOSE(WEEKDAY($B1106),"الأحد","الاثنين","الثلاثاء","الأربعاء","الخميس","الجمعة","السبت"))</f>
        <v/>
      </c>
      <c r="O1106" s="23">
        <f>IF(OR($K1106="",$L1106=""),"",HYPERLINK("https://maps.google.com/?q="&amp;$K1106&amp;","&amp;$L1106,"عرض الموقع"))</f>
        <v/>
      </c>
      <c r="P1106" s="23">
        <f>IF(OR($B1106="",N($J1106)=0),"",HYPERLINK(PhotoDir&amp;"/"&amp;YEAR($B1106)&amp;"-"&amp;TEXT(MONTH($B1106),"00")&amp;"-"&amp;TEXT(DAY($B1106),"00")&amp;"_"&amp;$D1106,"فتح الصور ("&amp;$J1106&amp;")"))</f>
        <v/>
      </c>
      <c r="Q1106" s="24">
        <f>IF($B1106="","",MONTH($B1106))</f>
        <v/>
      </c>
      <c r="R1106" s="24">
        <f>IF($B1106="","",YEAR($B1106))</f>
        <v/>
      </c>
      <c r="S1106" s="25">
        <f>IF($B1106="","",$B1106-WEEKDAY($B1106,3))</f>
        <v/>
      </c>
      <c r="T1106" s="24">
        <f>IF($B1106="",0,IF(COUNTIFS($B$5:$B1106,$B1106,$D$5:$D1106,$D1106)=1,1,0))</f>
        <v/>
      </c>
      <c r="U1106" s="24">
        <f>IF($B1106="",0,IF(COUNTIFS($B$5:$B1106,$B1106,$C$5:$C1106,$C1106)=1,1,0))</f>
        <v/>
      </c>
      <c r="V1106" s="24">
        <f>IF(OR($B1106="",$G1106="",$G1106="لا توجد مشاهدات"),0,1)</f>
        <v/>
      </c>
      <c r="W1106" s="24">
        <f>IF(AND($B1106&lt;&gt;"",$I1106="تم تحرير مخالفة"),1,0)</f>
        <v/>
      </c>
      <c r="X1106" s="24">
        <f>IF($B1106="","",IF($S1106=WkStart,COUNTIF($S$5:$S1106,WkStart),""))</f>
        <v/>
      </c>
    </row>
    <row r="1107">
      <c r="A1107" s="16">
        <f>IF($B1107="","",ROW()-4)</f>
        <v/>
      </c>
      <c r="B1107" s="17" t="n"/>
      <c r="C1107" s="18" t="n"/>
      <c r="D1107" s="18" t="n"/>
      <c r="E1107" s="19" t="n"/>
      <c r="F1107" s="19" t="n"/>
      <c r="G1107" s="18" t="n"/>
      <c r="H1107" s="18" t="n"/>
      <c r="I1107" s="18" t="n"/>
      <c r="J1107" s="20" t="n"/>
      <c r="K1107" s="21" t="n"/>
      <c r="L1107" s="21" t="n"/>
      <c r="M1107" s="18" t="n"/>
      <c r="N1107" s="22">
        <f>IF($B1107="","",CHOOSE(WEEKDAY($B1107),"الأحد","الاثنين","الثلاثاء","الأربعاء","الخميس","الجمعة","السبت"))</f>
        <v/>
      </c>
      <c r="O1107" s="23">
        <f>IF(OR($K1107="",$L1107=""),"",HYPERLINK("https://maps.google.com/?q="&amp;$K1107&amp;","&amp;$L1107,"عرض الموقع"))</f>
        <v/>
      </c>
      <c r="P1107" s="23">
        <f>IF(OR($B1107="",N($J1107)=0),"",HYPERLINK(PhotoDir&amp;"/"&amp;YEAR($B1107)&amp;"-"&amp;TEXT(MONTH($B1107),"00")&amp;"-"&amp;TEXT(DAY($B1107),"00")&amp;"_"&amp;$D1107,"فتح الصور ("&amp;$J1107&amp;")"))</f>
        <v/>
      </c>
      <c r="Q1107" s="24">
        <f>IF($B1107="","",MONTH($B1107))</f>
        <v/>
      </c>
      <c r="R1107" s="24">
        <f>IF($B1107="","",YEAR($B1107))</f>
        <v/>
      </c>
      <c r="S1107" s="25">
        <f>IF($B1107="","",$B1107-WEEKDAY($B1107,3))</f>
        <v/>
      </c>
      <c r="T1107" s="24">
        <f>IF($B1107="",0,IF(COUNTIFS($B$5:$B1107,$B1107,$D$5:$D1107,$D1107)=1,1,0))</f>
        <v/>
      </c>
      <c r="U1107" s="24">
        <f>IF($B1107="",0,IF(COUNTIFS($B$5:$B1107,$B1107,$C$5:$C1107,$C1107)=1,1,0))</f>
        <v/>
      </c>
      <c r="V1107" s="24">
        <f>IF(OR($B1107="",$G1107="",$G1107="لا توجد مشاهدات"),0,1)</f>
        <v/>
      </c>
      <c r="W1107" s="24">
        <f>IF(AND($B1107&lt;&gt;"",$I1107="تم تحرير مخالفة"),1,0)</f>
        <v/>
      </c>
      <c r="X1107" s="24">
        <f>IF($B1107="","",IF($S1107=WkStart,COUNTIF($S$5:$S1107,WkStart),""))</f>
        <v/>
      </c>
    </row>
    <row r="1108">
      <c r="A1108" s="16">
        <f>IF($B1108="","",ROW()-4)</f>
        <v/>
      </c>
      <c r="B1108" s="17" t="n"/>
      <c r="C1108" s="18" t="n"/>
      <c r="D1108" s="18" t="n"/>
      <c r="E1108" s="19" t="n"/>
      <c r="F1108" s="19" t="n"/>
      <c r="G1108" s="18" t="n"/>
      <c r="H1108" s="18" t="n"/>
      <c r="I1108" s="18" t="n"/>
      <c r="J1108" s="20" t="n"/>
      <c r="K1108" s="21" t="n"/>
      <c r="L1108" s="21" t="n"/>
      <c r="M1108" s="18" t="n"/>
      <c r="N1108" s="22">
        <f>IF($B1108="","",CHOOSE(WEEKDAY($B1108),"الأحد","الاثنين","الثلاثاء","الأربعاء","الخميس","الجمعة","السبت"))</f>
        <v/>
      </c>
      <c r="O1108" s="23">
        <f>IF(OR($K1108="",$L1108=""),"",HYPERLINK("https://maps.google.com/?q="&amp;$K1108&amp;","&amp;$L1108,"عرض الموقع"))</f>
        <v/>
      </c>
      <c r="P1108" s="23">
        <f>IF(OR($B1108="",N($J1108)=0),"",HYPERLINK(PhotoDir&amp;"/"&amp;YEAR($B1108)&amp;"-"&amp;TEXT(MONTH($B1108),"00")&amp;"-"&amp;TEXT(DAY($B1108),"00")&amp;"_"&amp;$D1108,"فتح الصور ("&amp;$J1108&amp;")"))</f>
        <v/>
      </c>
      <c r="Q1108" s="24">
        <f>IF($B1108="","",MONTH($B1108))</f>
        <v/>
      </c>
      <c r="R1108" s="24">
        <f>IF($B1108="","",YEAR($B1108))</f>
        <v/>
      </c>
      <c r="S1108" s="25">
        <f>IF($B1108="","",$B1108-WEEKDAY($B1108,3))</f>
        <v/>
      </c>
      <c r="T1108" s="24">
        <f>IF($B1108="",0,IF(COUNTIFS($B$5:$B1108,$B1108,$D$5:$D1108,$D1108)=1,1,0))</f>
        <v/>
      </c>
      <c r="U1108" s="24">
        <f>IF($B1108="",0,IF(COUNTIFS($B$5:$B1108,$B1108,$C$5:$C1108,$C1108)=1,1,0))</f>
        <v/>
      </c>
      <c r="V1108" s="24">
        <f>IF(OR($B1108="",$G1108="",$G1108="لا توجد مشاهدات"),0,1)</f>
        <v/>
      </c>
      <c r="W1108" s="24">
        <f>IF(AND($B1108&lt;&gt;"",$I1108="تم تحرير مخالفة"),1,0)</f>
        <v/>
      </c>
      <c r="X1108" s="24">
        <f>IF($B1108="","",IF($S1108=WkStart,COUNTIF($S$5:$S1108,WkStart),""))</f>
        <v/>
      </c>
    </row>
    <row r="1109">
      <c r="A1109" s="16">
        <f>IF($B1109="","",ROW()-4)</f>
        <v/>
      </c>
      <c r="B1109" s="17" t="n"/>
      <c r="C1109" s="18" t="n"/>
      <c r="D1109" s="18" t="n"/>
      <c r="E1109" s="19" t="n"/>
      <c r="F1109" s="19" t="n"/>
      <c r="G1109" s="18" t="n"/>
      <c r="H1109" s="18" t="n"/>
      <c r="I1109" s="18" t="n"/>
      <c r="J1109" s="20" t="n"/>
      <c r="K1109" s="21" t="n"/>
      <c r="L1109" s="21" t="n"/>
      <c r="M1109" s="18" t="n"/>
      <c r="N1109" s="22">
        <f>IF($B1109="","",CHOOSE(WEEKDAY($B1109),"الأحد","الاثنين","الثلاثاء","الأربعاء","الخميس","الجمعة","السبت"))</f>
        <v/>
      </c>
      <c r="O1109" s="23">
        <f>IF(OR($K1109="",$L1109=""),"",HYPERLINK("https://maps.google.com/?q="&amp;$K1109&amp;","&amp;$L1109,"عرض الموقع"))</f>
        <v/>
      </c>
      <c r="P1109" s="23">
        <f>IF(OR($B1109="",N($J1109)=0),"",HYPERLINK(PhotoDir&amp;"/"&amp;YEAR($B1109)&amp;"-"&amp;TEXT(MONTH($B1109),"00")&amp;"-"&amp;TEXT(DAY($B1109),"00")&amp;"_"&amp;$D1109,"فتح الصور ("&amp;$J1109&amp;")"))</f>
        <v/>
      </c>
      <c r="Q1109" s="24">
        <f>IF($B1109="","",MONTH($B1109))</f>
        <v/>
      </c>
      <c r="R1109" s="24">
        <f>IF($B1109="","",YEAR($B1109))</f>
        <v/>
      </c>
      <c r="S1109" s="25">
        <f>IF($B1109="","",$B1109-WEEKDAY($B1109,3))</f>
        <v/>
      </c>
      <c r="T1109" s="24">
        <f>IF($B1109="",0,IF(COUNTIFS($B$5:$B1109,$B1109,$D$5:$D1109,$D1109)=1,1,0))</f>
        <v/>
      </c>
      <c r="U1109" s="24">
        <f>IF($B1109="",0,IF(COUNTIFS($B$5:$B1109,$B1109,$C$5:$C1109,$C1109)=1,1,0))</f>
        <v/>
      </c>
      <c r="V1109" s="24">
        <f>IF(OR($B1109="",$G1109="",$G1109="لا توجد مشاهدات"),0,1)</f>
        <v/>
      </c>
      <c r="W1109" s="24">
        <f>IF(AND($B1109&lt;&gt;"",$I1109="تم تحرير مخالفة"),1,0)</f>
        <v/>
      </c>
      <c r="X1109" s="24">
        <f>IF($B1109="","",IF($S1109=WkStart,COUNTIF($S$5:$S1109,WkStart),""))</f>
        <v/>
      </c>
    </row>
    <row r="1110">
      <c r="A1110" s="16">
        <f>IF($B1110="","",ROW()-4)</f>
        <v/>
      </c>
      <c r="B1110" s="17" t="n"/>
      <c r="C1110" s="18" t="n"/>
      <c r="D1110" s="18" t="n"/>
      <c r="E1110" s="19" t="n"/>
      <c r="F1110" s="19" t="n"/>
      <c r="G1110" s="18" t="n"/>
      <c r="H1110" s="18" t="n"/>
      <c r="I1110" s="18" t="n"/>
      <c r="J1110" s="20" t="n"/>
      <c r="K1110" s="21" t="n"/>
      <c r="L1110" s="21" t="n"/>
      <c r="M1110" s="18" t="n"/>
      <c r="N1110" s="22">
        <f>IF($B1110="","",CHOOSE(WEEKDAY($B1110),"الأحد","الاثنين","الثلاثاء","الأربعاء","الخميس","الجمعة","السبت"))</f>
        <v/>
      </c>
      <c r="O1110" s="23">
        <f>IF(OR($K1110="",$L1110=""),"",HYPERLINK("https://maps.google.com/?q="&amp;$K1110&amp;","&amp;$L1110,"عرض الموقع"))</f>
        <v/>
      </c>
      <c r="P1110" s="23">
        <f>IF(OR($B1110="",N($J1110)=0),"",HYPERLINK(PhotoDir&amp;"/"&amp;YEAR($B1110)&amp;"-"&amp;TEXT(MONTH($B1110),"00")&amp;"-"&amp;TEXT(DAY($B1110),"00")&amp;"_"&amp;$D1110,"فتح الصور ("&amp;$J1110&amp;")"))</f>
        <v/>
      </c>
      <c r="Q1110" s="24">
        <f>IF($B1110="","",MONTH($B1110))</f>
        <v/>
      </c>
      <c r="R1110" s="24">
        <f>IF($B1110="","",YEAR($B1110))</f>
        <v/>
      </c>
      <c r="S1110" s="25">
        <f>IF($B1110="","",$B1110-WEEKDAY($B1110,3))</f>
        <v/>
      </c>
      <c r="T1110" s="24">
        <f>IF($B1110="",0,IF(COUNTIFS($B$5:$B1110,$B1110,$D$5:$D1110,$D1110)=1,1,0))</f>
        <v/>
      </c>
      <c r="U1110" s="24">
        <f>IF($B1110="",0,IF(COUNTIFS($B$5:$B1110,$B1110,$C$5:$C1110,$C1110)=1,1,0))</f>
        <v/>
      </c>
      <c r="V1110" s="24">
        <f>IF(OR($B1110="",$G1110="",$G1110="لا توجد مشاهدات"),0,1)</f>
        <v/>
      </c>
      <c r="W1110" s="24">
        <f>IF(AND($B1110&lt;&gt;"",$I1110="تم تحرير مخالفة"),1,0)</f>
        <v/>
      </c>
      <c r="X1110" s="24">
        <f>IF($B1110="","",IF($S1110=WkStart,COUNTIF($S$5:$S1110,WkStart),""))</f>
        <v/>
      </c>
    </row>
    <row r="1111">
      <c r="A1111" s="16">
        <f>IF($B1111="","",ROW()-4)</f>
        <v/>
      </c>
      <c r="B1111" s="17" t="n"/>
      <c r="C1111" s="18" t="n"/>
      <c r="D1111" s="18" t="n"/>
      <c r="E1111" s="19" t="n"/>
      <c r="F1111" s="19" t="n"/>
      <c r="G1111" s="18" t="n"/>
      <c r="H1111" s="18" t="n"/>
      <c r="I1111" s="18" t="n"/>
      <c r="J1111" s="20" t="n"/>
      <c r="K1111" s="21" t="n"/>
      <c r="L1111" s="21" t="n"/>
      <c r="M1111" s="18" t="n"/>
      <c r="N1111" s="22">
        <f>IF($B1111="","",CHOOSE(WEEKDAY($B1111),"الأحد","الاثنين","الثلاثاء","الأربعاء","الخميس","الجمعة","السبت"))</f>
        <v/>
      </c>
      <c r="O1111" s="23">
        <f>IF(OR($K1111="",$L1111=""),"",HYPERLINK("https://maps.google.com/?q="&amp;$K1111&amp;","&amp;$L1111,"عرض الموقع"))</f>
        <v/>
      </c>
      <c r="P1111" s="23">
        <f>IF(OR($B1111="",N($J1111)=0),"",HYPERLINK(PhotoDir&amp;"/"&amp;YEAR($B1111)&amp;"-"&amp;TEXT(MONTH($B1111),"00")&amp;"-"&amp;TEXT(DAY($B1111),"00")&amp;"_"&amp;$D1111,"فتح الصور ("&amp;$J1111&amp;")"))</f>
        <v/>
      </c>
      <c r="Q1111" s="24">
        <f>IF($B1111="","",MONTH($B1111))</f>
        <v/>
      </c>
      <c r="R1111" s="24">
        <f>IF($B1111="","",YEAR($B1111))</f>
        <v/>
      </c>
      <c r="S1111" s="25">
        <f>IF($B1111="","",$B1111-WEEKDAY($B1111,3))</f>
        <v/>
      </c>
      <c r="T1111" s="24">
        <f>IF($B1111="",0,IF(COUNTIFS($B$5:$B1111,$B1111,$D$5:$D1111,$D1111)=1,1,0))</f>
        <v/>
      </c>
      <c r="U1111" s="24">
        <f>IF($B1111="",0,IF(COUNTIFS($B$5:$B1111,$B1111,$C$5:$C1111,$C1111)=1,1,0))</f>
        <v/>
      </c>
      <c r="V1111" s="24">
        <f>IF(OR($B1111="",$G1111="",$G1111="لا توجد مشاهدات"),0,1)</f>
        <v/>
      </c>
      <c r="W1111" s="24">
        <f>IF(AND($B1111&lt;&gt;"",$I1111="تم تحرير مخالفة"),1,0)</f>
        <v/>
      </c>
      <c r="X1111" s="24">
        <f>IF($B1111="","",IF($S1111=WkStart,COUNTIF($S$5:$S1111,WkStart),""))</f>
        <v/>
      </c>
    </row>
    <row r="1112">
      <c r="A1112" s="16">
        <f>IF($B1112="","",ROW()-4)</f>
        <v/>
      </c>
      <c r="B1112" s="17" t="n"/>
      <c r="C1112" s="18" t="n"/>
      <c r="D1112" s="18" t="n"/>
      <c r="E1112" s="19" t="n"/>
      <c r="F1112" s="19" t="n"/>
      <c r="G1112" s="18" t="n"/>
      <c r="H1112" s="18" t="n"/>
      <c r="I1112" s="18" t="n"/>
      <c r="J1112" s="20" t="n"/>
      <c r="K1112" s="21" t="n"/>
      <c r="L1112" s="21" t="n"/>
      <c r="M1112" s="18" t="n"/>
      <c r="N1112" s="22">
        <f>IF($B1112="","",CHOOSE(WEEKDAY($B1112),"الأحد","الاثنين","الثلاثاء","الأربعاء","الخميس","الجمعة","السبت"))</f>
        <v/>
      </c>
      <c r="O1112" s="23">
        <f>IF(OR($K1112="",$L1112=""),"",HYPERLINK("https://maps.google.com/?q="&amp;$K1112&amp;","&amp;$L1112,"عرض الموقع"))</f>
        <v/>
      </c>
      <c r="P1112" s="23">
        <f>IF(OR($B1112="",N($J1112)=0),"",HYPERLINK(PhotoDir&amp;"/"&amp;YEAR($B1112)&amp;"-"&amp;TEXT(MONTH($B1112),"00")&amp;"-"&amp;TEXT(DAY($B1112),"00")&amp;"_"&amp;$D1112,"فتح الصور ("&amp;$J1112&amp;")"))</f>
        <v/>
      </c>
      <c r="Q1112" s="24">
        <f>IF($B1112="","",MONTH($B1112))</f>
        <v/>
      </c>
      <c r="R1112" s="24">
        <f>IF($B1112="","",YEAR($B1112))</f>
        <v/>
      </c>
      <c r="S1112" s="25">
        <f>IF($B1112="","",$B1112-WEEKDAY($B1112,3))</f>
        <v/>
      </c>
      <c r="T1112" s="24">
        <f>IF($B1112="",0,IF(COUNTIFS($B$5:$B1112,$B1112,$D$5:$D1112,$D1112)=1,1,0))</f>
        <v/>
      </c>
      <c r="U1112" s="24">
        <f>IF($B1112="",0,IF(COUNTIFS($B$5:$B1112,$B1112,$C$5:$C1112,$C1112)=1,1,0))</f>
        <v/>
      </c>
      <c r="V1112" s="24">
        <f>IF(OR($B1112="",$G1112="",$G1112="لا توجد مشاهدات"),0,1)</f>
        <v/>
      </c>
      <c r="W1112" s="24">
        <f>IF(AND($B1112&lt;&gt;"",$I1112="تم تحرير مخالفة"),1,0)</f>
        <v/>
      </c>
      <c r="X1112" s="24">
        <f>IF($B1112="","",IF($S1112=WkStart,COUNTIF($S$5:$S1112,WkStart),""))</f>
        <v/>
      </c>
    </row>
    <row r="1113">
      <c r="A1113" s="16">
        <f>IF($B1113="","",ROW()-4)</f>
        <v/>
      </c>
      <c r="B1113" s="17" t="n"/>
      <c r="C1113" s="18" t="n"/>
      <c r="D1113" s="18" t="n"/>
      <c r="E1113" s="19" t="n"/>
      <c r="F1113" s="19" t="n"/>
      <c r="G1113" s="18" t="n"/>
      <c r="H1113" s="18" t="n"/>
      <c r="I1113" s="18" t="n"/>
      <c r="J1113" s="20" t="n"/>
      <c r="K1113" s="21" t="n"/>
      <c r="L1113" s="21" t="n"/>
      <c r="M1113" s="18" t="n"/>
      <c r="N1113" s="22">
        <f>IF($B1113="","",CHOOSE(WEEKDAY($B1113),"الأحد","الاثنين","الثلاثاء","الأربعاء","الخميس","الجمعة","السبت"))</f>
        <v/>
      </c>
      <c r="O1113" s="23">
        <f>IF(OR($K1113="",$L1113=""),"",HYPERLINK("https://maps.google.com/?q="&amp;$K1113&amp;","&amp;$L1113,"عرض الموقع"))</f>
        <v/>
      </c>
      <c r="P1113" s="23">
        <f>IF(OR($B1113="",N($J1113)=0),"",HYPERLINK(PhotoDir&amp;"/"&amp;YEAR($B1113)&amp;"-"&amp;TEXT(MONTH($B1113),"00")&amp;"-"&amp;TEXT(DAY($B1113),"00")&amp;"_"&amp;$D1113,"فتح الصور ("&amp;$J1113&amp;")"))</f>
        <v/>
      </c>
      <c r="Q1113" s="24">
        <f>IF($B1113="","",MONTH($B1113))</f>
        <v/>
      </c>
      <c r="R1113" s="24">
        <f>IF($B1113="","",YEAR($B1113))</f>
        <v/>
      </c>
      <c r="S1113" s="25">
        <f>IF($B1113="","",$B1113-WEEKDAY($B1113,3))</f>
        <v/>
      </c>
      <c r="T1113" s="24">
        <f>IF($B1113="",0,IF(COUNTIFS($B$5:$B1113,$B1113,$D$5:$D1113,$D1113)=1,1,0))</f>
        <v/>
      </c>
      <c r="U1113" s="24">
        <f>IF($B1113="",0,IF(COUNTIFS($B$5:$B1113,$B1113,$C$5:$C1113,$C1113)=1,1,0))</f>
        <v/>
      </c>
      <c r="V1113" s="24">
        <f>IF(OR($B1113="",$G1113="",$G1113="لا توجد مشاهدات"),0,1)</f>
        <v/>
      </c>
      <c r="W1113" s="24">
        <f>IF(AND($B1113&lt;&gt;"",$I1113="تم تحرير مخالفة"),1,0)</f>
        <v/>
      </c>
      <c r="X1113" s="24">
        <f>IF($B1113="","",IF($S1113=WkStart,COUNTIF($S$5:$S1113,WkStart),""))</f>
        <v/>
      </c>
    </row>
    <row r="1114">
      <c r="A1114" s="16">
        <f>IF($B1114="","",ROW()-4)</f>
        <v/>
      </c>
      <c r="B1114" s="17" t="n"/>
      <c r="C1114" s="18" t="n"/>
      <c r="D1114" s="18" t="n"/>
      <c r="E1114" s="19" t="n"/>
      <c r="F1114" s="19" t="n"/>
      <c r="G1114" s="18" t="n"/>
      <c r="H1114" s="18" t="n"/>
      <c r="I1114" s="18" t="n"/>
      <c r="J1114" s="20" t="n"/>
      <c r="K1114" s="21" t="n"/>
      <c r="L1114" s="21" t="n"/>
      <c r="M1114" s="18" t="n"/>
      <c r="N1114" s="22">
        <f>IF($B1114="","",CHOOSE(WEEKDAY($B1114),"الأحد","الاثنين","الثلاثاء","الأربعاء","الخميس","الجمعة","السبت"))</f>
        <v/>
      </c>
      <c r="O1114" s="23">
        <f>IF(OR($K1114="",$L1114=""),"",HYPERLINK("https://maps.google.com/?q="&amp;$K1114&amp;","&amp;$L1114,"عرض الموقع"))</f>
        <v/>
      </c>
      <c r="P1114" s="23">
        <f>IF(OR($B1114="",N($J1114)=0),"",HYPERLINK(PhotoDir&amp;"/"&amp;YEAR($B1114)&amp;"-"&amp;TEXT(MONTH($B1114),"00")&amp;"-"&amp;TEXT(DAY($B1114),"00")&amp;"_"&amp;$D1114,"فتح الصور ("&amp;$J1114&amp;")"))</f>
        <v/>
      </c>
      <c r="Q1114" s="24">
        <f>IF($B1114="","",MONTH($B1114))</f>
        <v/>
      </c>
      <c r="R1114" s="24">
        <f>IF($B1114="","",YEAR($B1114))</f>
        <v/>
      </c>
      <c r="S1114" s="25">
        <f>IF($B1114="","",$B1114-WEEKDAY($B1114,3))</f>
        <v/>
      </c>
      <c r="T1114" s="24">
        <f>IF($B1114="",0,IF(COUNTIFS($B$5:$B1114,$B1114,$D$5:$D1114,$D1114)=1,1,0))</f>
        <v/>
      </c>
      <c r="U1114" s="24">
        <f>IF($B1114="",0,IF(COUNTIFS($B$5:$B1114,$B1114,$C$5:$C1114,$C1114)=1,1,0))</f>
        <v/>
      </c>
      <c r="V1114" s="24">
        <f>IF(OR($B1114="",$G1114="",$G1114="لا توجد مشاهدات"),0,1)</f>
        <v/>
      </c>
      <c r="W1114" s="24">
        <f>IF(AND($B1114&lt;&gt;"",$I1114="تم تحرير مخالفة"),1,0)</f>
        <v/>
      </c>
      <c r="X1114" s="24">
        <f>IF($B1114="","",IF($S1114=WkStart,COUNTIF($S$5:$S1114,WkStart),""))</f>
        <v/>
      </c>
    </row>
    <row r="1115">
      <c r="A1115" s="16">
        <f>IF($B1115="","",ROW()-4)</f>
        <v/>
      </c>
      <c r="B1115" s="17" t="n"/>
      <c r="C1115" s="18" t="n"/>
      <c r="D1115" s="18" t="n"/>
      <c r="E1115" s="19" t="n"/>
      <c r="F1115" s="19" t="n"/>
      <c r="G1115" s="18" t="n"/>
      <c r="H1115" s="18" t="n"/>
      <c r="I1115" s="18" t="n"/>
      <c r="J1115" s="20" t="n"/>
      <c r="K1115" s="21" t="n"/>
      <c r="L1115" s="21" t="n"/>
      <c r="M1115" s="18" t="n"/>
      <c r="N1115" s="22">
        <f>IF($B1115="","",CHOOSE(WEEKDAY($B1115),"الأحد","الاثنين","الثلاثاء","الأربعاء","الخميس","الجمعة","السبت"))</f>
        <v/>
      </c>
      <c r="O1115" s="23">
        <f>IF(OR($K1115="",$L1115=""),"",HYPERLINK("https://maps.google.com/?q="&amp;$K1115&amp;","&amp;$L1115,"عرض الموقع"))</f>
        <v/>
      </c>
      <c r="P1115" s="23">
        <f>IF(OR($B1115="",N($J1115)=0),"",HYPERLINK(PhotoDir&amp;"/"&amp;YEAR($B1115)&amp;"-"&amp;TEXT(MONTH($B1115),"00")&amp;"-"&amp;TEXT(DAY($B1115),"00")&amp;"_"&amp;$D1115,"فتح الصور ("&amp;$J1115&amp;")"))</f>
        <v/>
      </c>
      <c r="Q1115" s="24">
        <f>IF($B1115="","",MONTH($B1115))</f>
        <v/>
      </c>
      <c r="R1115" s="24">
        <f>IF($B1115="","",YEAR($B1115))</f>
        <v/>
      </c>
      <c r="S1115" s="25">
        <f>IF($B1115="","",$B1115-WEEKDAY($B1115,3))</f>
        <v/>
      </c>
      <c r="T1115" s="24">
        <f>IF($B1115="",0,IF(COUNTIFS($B$5:$B1115,$B1115,$D$5:$D1115,$D1115)=1,1,0))</f>
        <v/>
      </c>
      <c r="U1115" s="24">
        <f>IF($B1115="",0,IF(COUNTIFS($B$5:$B1115,$B1115,$C$5:$C1115,$C1115)=1,1,0))</f>
        <v/>
      </c>
      <c r="V1115" s="24">
        <f>IF(OR($B1115="",$G1115="",$G1115="لا توجد مشاهدات"),0,1)</f>
        <v/>
      </c>
      <c r="W1115" s="24">
        <f>IF(AND($B1115&lt;&gt;"",$I1115="تم تحرير مخالفة"),1,0)</f>
        <v/>
      </c>
      <c r="X1115" s="24">
        <f>IF($B1115="","",IF($S1115=WkStart,COUNTIF($S$5:$S1115,WkStart),""))</f>
        <v/>
      </c>
    </row>
    <row r="1116">
      <c r="A1116" s="16">
        <f>IF($B1116="","",ROW()-4)</f>
        <v/>
      </c>
      <c r="B1116" s="17" t="n"/>
      <c r="C1116" s="18" t="n"/>
      <c r="D1116" s="18" t="n"/>
      <c r="E1116" s="19" t="n"/>
      <c r="F1116" s="19" t="n"/>
      <c r="G1116" s="18" t="n"/>
      <c r="H1116" s="18" t="n"/>
      <c r="I1116" s="18" t="n"/>
      <c r="J1116" s="20" t="n"/>
      <c r="K1116" s="21" t="n"/>
      <c r="L1116" s="21" t="n"/>
      <c r="M1116" s="18" t="n"/>
      <c r="N1116" s="22">
        <f>IF($B1116="","",CHOOSE(WEEKDAY($B1116),"الأحد","الاثنين","الثلاثاء","الأربعاء","الخميس","الجمعة","السبت"))</f>
        <v/>
      </c>
      <c r="O1116" s="23">
        <f>IF(OR($K1116="",$L1116=""),"",HYPERLINK("https://maps.google.com/?q="&amp;$K1116&amp;","&amp;$L1116,"عرض الموقع"))</f>
        <v/>
      </c>
      <c r="P1116" s="23">
        <f>IF(OR($B1116="",N($J1116)=0),"",HYPERLINK(PhotoDir&amp;"/"&amp;YEAR($B1116)&amp;"-"&amp;TEXT(MONTH($B1116),"00")&amp;"-"&amp;TEXT(DAY($B1116),"00")&amp;"_"&amp;$D1116,"فتح الصور ("&amp;$J1116&amp;")"))</f>
        <v/>
      </c>
      <c r="Q1116" s="24">
        <f>IF($B1116="","",MONTH($B1116))</f>
        <v/>
      </c>
      <c r="R1116" s="24">
        <f>IF($B1116="","",YEAR($B1116))</f>
        <v/>
      </c>
      <c r="S1116" s="25">
        <f>IF($B1116="","",$B1116-WEEKDAY($B1116,3))</f>
        <v/>
      </c>
      <c r="T1116" s="24">
        <f>IF($B1116="",0,IF(COUNTIFS($B$5:$B1116,$B1116,$D$5:$D1116,$D1116)=1,1,0))</f>
        <v/>
      </c>
      <c r="U1116" s="24">
        <f>IF($B1116="",0,IF(COUNTIFS($B$5:$B1116,$B1116,$C$5:$C1116,$C1116)=1,1,0))</f>
        <v/>
      </c>
      <c r="V1116" s="24">
        <f>IF(OR($B1116="",$G1116="",$G1116="لا توجد مشاهدات"),0,1)</f>
        <v/>
      </c>
      <c r="W1116" s="24">
        <f>IF(AND($B1116&lt;&gt;"",$I1116="تم تحرير مخالفة"),1,0)</f>
        <v/>
      </c>
      <c r="X1116" s="24">
        <f>IF($B1116="","",IF($S1116=WkStart,COUNTIF($S$5:$S1116,WkStart),""))</f>
        <v/>
      </c>
    </row>
    <row r="1117">
      <c r="A1117" s="16">
        <f>IF($B1117="","",ROW()-4)</f>
        <v/>
      </c>
      <c r="B1117" s="17" t="n"/>
      <c r="C1117" s="18" t="n"/>
      <c r="D1117" s="18" t="n"/>
      <c r="E1117" s="19" t="n"/>
      <c r="F1117" s="19" t="n"/>
      <c r="G1117" s="18" t="n"/>
      <c r="H1117" s="18" t="n"/>
      <c r="I1117" s="18" t="n"/>
      <c r="J1117" s="20" t="n"/>
      <c r="K1117" s="21" t="n"/>
      <c r="L1117" s="21" t="n"/>
      <c r="M1117" s="18" t="n"/>
      <c r="N1117" s="22">
        <f>IF($B1117="","",CHOOSE(WEEKDAY($B1117),"الأحد","الاثنين","الثلاثاء","الأربعاء","الخميس","الجمعة","السبت"))</f>
        <v/>
      </c>
      <c r="O1117" s="23">
        <f>IF(OR($K1117="",$L1117=""),"",HYPERLINK("https://maps.google.com/?q="&amp;$K1117&amp;","&amp;$L1117,"عرض الموقع"))</f>
        <v/>
      </c>
      <c r="P1117" s="23">
        <f>IF(OR($B1117="",N($J1117)=0),"",HYPERLINK(PhotoDir&amp;"/"&amp;YEAR($B1117)&amp;"-"&amp;TEXT(MONTH($B1117),"00")&amp;"-"&amp;TEXT(DAY($B1117),"00")&amp;"_"&amp;$D1117,"فتح الصور ("&amp;$J1117&amp;")"))</f>
        <v/>
      </c>
      <c r="Q1117" s="24">
        <f>IF($B1117="","",MONTH($B1117))</f>
        <v/>
      </c>
      <c r="R1117" s="24">
        <f>IF($B1117="","",YEAR($B1117))</f>
        <v/>
      </c>
      <c r="S1117" s="25">
        <f>IF($B1117="","",$B1117-WEEKDAY($B1117,3))</f>
        <v/>
      </c>
      <c r="T1117" s="24">
        <f>IF($B1117="",0,IF(COUNTIFS($B$5:$B1117,$B1117,$D$5:$D1117,$D1117)=1,1,0))</f>
        <v/>
      </c>
      <c r="U1117" s="24">
        <f>IF($B1117="",0,IF(COUNTIFS($B$5:$B1117,$B1117,$C$5:$C1117,$C1117)=1,1,0))</f>
        <v/>
      </c>
      <c r="V1117" s="24">
        <f>IF(OR($B1117="",$G1117="",$G1117="لا توجد مشاهدات"),0,1)</f>
        <v/>
      </c>
      <c r="W1117" s="24">
        <f>IF(AND($B1117&lt;&gt;"",$I1117="تم تحرير مخالفة"),1,0)</f>
        <v/>
      </c>
      <c r="X1117" s="24">
        <f>IF($B1117="","",IF($S1117=WkStart,COUNTIF($S$5:$S1117,WkStart),""))</f>
        <v/>
      </c>
    </row>
    <row r="1118">
      <c r="A1118" s="16">
        <f>IF($B1118="","",ROW()-4)</f>
        <v/>
      </c>
      <c r="B1118" s="17" t="n"/>
      <c r="C1118" s="18" t="n"/>
      <c r="D1118" s="18" t="n"/>
      <c r="E1118" s="19" t="n"/>
      <c r="F1118" s="19" t="n"/>
      <c r="G1118" s="18" t="n"/>
      <c r="H1118" s="18" t="n"/>
      <c r="I1118" s="18" t="n"/>
      <c r="J1118" s="20" t="n"/>
      <c r="K1118" s="21" t="n"/>
      <c r="L1118" s="21" t="n"/>
      <c r="M1118" s="18" t="n"/>
      <c r="N1118" s="22">
        <f>IF($B1118="","",CHOOSE(WEEKDAY($B1118),"الأحد","الاثنين","الثلاثاء","الأربعاء","الخميس","الجمعة","السبت"))</f>
        <v/>
      </c>
      <c r="O1118" s="23">
        <f>IF(OR($K1118="",$L1118=""),"",HYPERLINK("https://maps.google.com/?q="&amp;$K1118&amp;","&amp;$L1118,"عرض الموقع"))</f>
        <v/>
      </c>
      <c r="P1118" s="23">
        <f>IF(OR($B1118="",N($J1118)=0),"",HYPERLINK(PhotoDir&amp;"/"&amp;YEAR($B1118)&amp;"-"&amp;TEXT(MONTH($B1118),"00")&amp;"-"&amp;TEXT(DAY($B1118),"00")&amp;"_"&amp;$D1118,"فتح الصور ("&amp;$J1118&amp;")"))</f>
        <v/>
      </c>
      <c r="Q1118" s="24">
        <f>IF($B1118="","",MONTH($B1118))</f>
        <v/>
      </c>
      <c r="R1118" s="24">
        <f>IF($B1118="","",YEAR($B1118))</f>
        <v/>
      </c>
      <c r="S1118" s="25">
        <f>IF($B1118="","",$B1118-WEEKDAY($B1118,3))</f>
        <v/>
      </c>
      <c r="T1118" s="24">
        <f>IF($B1118="",0,IF(COUNTIFS($B$5:$B1118,$B1118,$D$5:$D1118,$D1118)=1,1,0))</f>
        <v/>
      </c>
      <c r="U1118" s="24">
        <f>IF($B1118="",0,IF(COUNTIFS($B$5:$B1118,$B1118,$C$5:$C1118,$C1118)=1,1,0))</f>
        <v/>
      </c>
      <c r="V1118" s="24">
        <f>IF(OR($B1118="",$G1118="",$G1118="لا توجد مشاهدات"),0,1)</f>
        <v/>
      </c>
      <c r="W1118" s="24">
        <f>IF(AND($B1118&lt;&gt;"",$I1118="تم تحرير مخالفة"),1,0)</f>
        <v/>
      </c>
      <c r="X1118" s="24">
        <f>IF($B1118="","",IF($S1118=WkStart,COUNTIF($S$5:$S1118,WkStart),""))</f>
        <v/>
      </c>
    </row>
    <row r="1119">
      <c r="A1119" s="16">
        <f>IF($B1119="","",ROW()-4)</f>
        <v/>
      </c>
      <c r="B1119" s="17" t="n"/>
      <c r="C1119" s="18" t="n"/>
      <c r="D1119" s="18" t="n"/>
      <c r="E1119" s="19" t="n"/>
      <c r="F1119" s="19" t="n"/>
      <c r="G1119" s="18" t="n"/>
      <c r="H1119" s="18" t="n"/>
      <c r="I1119" s="18" t="n"/>
      <c r="J1119" s="20" t="n"/>
      <c r="K1119" s="21" t="n"/>
      <c r="L1119" s="21" t="n"/>
      <c r="M1119" s="18" t="n"/>
      <c r="N1119" s="22">
        <f>IF($B1119="","",CHOOSE(WEEKDAY($B1119),"الأحد","الاثنين","الثلاثاء","الأربعاء","الخميس","الجمعة","السبت"))</f>
        <v/>
      </c>
      <c r="O1119" s="23">
        <f>IF(OR($K1119="",$L1119=""),"",HYPERLINK("https://maps.google.com/?q="&amp;$K1119&amp;","&amp;$L1119,"عرض الموقع"))</f>
        <v/>
      </c>
      <c r="P1119" s="23">
        <f>IF(OR($B1119="",N($J1119)=0),"",HYPERLINK(PhotoDir&amp;"/"&amp;YEAR($B1119)&amp;"-"&amp;TEXT(MONTH($B1119),"00")&amp;"-"&amp;TEXT(DAY($B1119),"00")&amp;"_"&amp;$D1119,"فتح الصور ("&amp;$J1119&amp;")"))</f>
        <v/>
      </c>
      <c r="Q1119" s="24">
        <f>IF($B1119="","",MONTH($B1119))</f>
        <v/>
      </c>
      <c r="R1119" s="24">
        <f>IF($B1119="","",YEAR($B1119))</f>
        <v/>
      </c>
      <c r="S1119" s="25">
        <f>IF($B1119="","",$B1119-WEEKDAY($B1119,3))</f>
        <v/>
      </c>
      <c r="T1119" s="24">
        <f>IF($B1119="",0,IF(COUNTIFS($B$5:$B1119,$B1119,$D$5:$D1119,$D1119)=1,1,0))</f>
        <v/>
      </c>
      <c r="U1119" s="24">
        <f>IF($B1119="",0,IF(COUNTIFS($B$5:$B1119,$B1119,$C$5:$C1119,$C1119)=1,1,0))</f>
        <v/>
      </c>
      <c r="V1119" s="24">
        <f>IF(OR($B1119="",$G1119="",$G1119="لا توجد مشاهدات"),0,1)</f>
        <v/>
      </c>
      <c r="W1119" s="24">
        <f>IF(AND($B1119&lt;&gt;"",$I1119="تم تحرير مخالفة"),1,0)</f>
        <v/>
      </c>
      <c r="X1119" s="24">
        <f>IF($B1119="","",IF($S1119=WkStart,COUNTIF($S$5:$S1119,WkStart),""))</f>
        <v/>
      </c>
    </row>
    <row r="1120">
      <c r="A1120" s="16">
        <f>IF($B1120="","",ROW()-4)</f>
        <v/>
      </c>
      <c r="B1120" s="17" t="n"/>
      <c r="C1120" s="18" t="n"/>
      <c r="D1120" s="18" t="n"/>
      <c r="E1120" s="19" t="n"/>
      <c r="F1120" s="19" t="n"/>
      <c r="G1120" s="18" t="n"/>
      <c r="H1120" s="18" t="n"/>
      <c r="I1120" s="18" t="n"/>
      <c r="J1120" s="20" t="n"/>
      <c r="K1120" s="21" t="n"/>
      <c r="L1120" s="21" t="n"/>
      <c r="M1120" s="18" t="n"/>
      <c r="N1120" s="22">
        <f>IF($B1120="","",CHOOSE(WEEKDAY($B1120),"الأحد","الاثنين","الثلاثاء","الأربعاء","الخميس","الجمعة","السبت"))</f>
        <v/>
      </c>
      <c r="O1120" s="23">
        <f>IF(OR($K1120="",$L1120=""),"",HYPERLINK("https://maps.google.com/?q="&amp;$K1120&amp;","&amp;$L1120,"عرض الموقع"))</f>
        <v/>
      </c>
      <c r="P1120" s="23">
        <f>IF(OR($B1120="",N($J1120)=0),"",HYPERLINK(PhotoDir&amp;"/"&amp;YEAR($B1120)&amp;"-"&amp;TEXT(MONTH($B1120),"00")&amp;"-"&amp;TEXT(DAY($B1120),"00")&amp;"_"&amp;$D1120,"فتح الصور ("&amp;$J1120&amp;")"))</f>
        <v/>
      </c>
      <c r="Q1120" s="24">
        <f>IF($B1120="","",MONTH($B1120))</f>
        <v/>
      </c>
      <c r="R1120" s="24">
        <f>IF($B1120="","",YEAR($B1120))</f>
        <v/>
      </c>
      <c r="S1120" s="25">
        <f>IF($B1120="","",$B1120-WEEKDAY($B1120,3))</f>
        <v/>
      </c>
      <c r="T1120" s="24">
        <f>IF($B1120="",0,IF(COUNTIFS($B$5:$B1120,$B1120,$D$5:$D1120,$D1120)=1,1,0))</f>
        <v/>
      </c>
      <c r="U1120" s="24">
        <f>IF($B1120="",0,IF(COUNTIFS($B$5:$B1120,$B1120,$C$5:$C1120,$C1120)=1,1,0))</f>
        <v/>
      </c>
      <c r="V1120" s="24">
        <f>IF(OR($B1120="",$G1120="",$G1120="لا توجد مشاهدات"),0,1)</f>
        <v/>
      </c>
      <c r="W1120" s="24">
        <f>IF(AND($B1120&lt;&gt;"",$I1120="تم تحرير مخالفة"),1,0)</f>
        <v/>
      </c>
      <c r="X1120" s="24">
        <f>IF($B1120="","",IF($S1120=WkStart,COUNTIF($S$5:$S1120,WkStart),""))</f>
        <v/>
      </c>
    </row>
    <row r="1121">
      <c r="A1121" s="16">
        <f>IF($B1121="","",ROW()-4)</f>
        <v/>
      </c>
      <c r="B1121" s="17" t="n"/>
      <c r="C1121" s="18" t="n"/>
      <c r="D1121" s="18" t="n"/>
      <c r="E1121" s="19" t="n"/>
      <c r="F1121" s="19" t="n"/>
      <c r="G1121" s="18" t="n"/>
      <c r="H1121" s="18" t="n"/>
      <c r="I1121" s="18" t="n"/>
      <c r="J1121" s="20" t="n"/>
      <c r="K1121" s="21" t="n"/>
      <c r="L1121" s="21" t="n"/>
      <c r="M1121" s="18" t="n"/>
      <c r="N1121" s="22">
        <f>IF($B1121="","",CHOOSE(WEEKDAY($B1121),"الأحد","الاثنين","الثلاثاء","الأربعاء","الخميس","الجمعة","السبت"))</f>
        <v/>
      </c>
      <c r="O1121" s="23">
        <f>IF(OR($K1121="",$L1121=""),"",HYPERLINK("https://maps.google.com/?q="&amp;$K1121&amp;","&amp;$L1121,"عرض الموقع"))</f>
        <v/>
      </c>
      <c r="P1121" s="23">
        <f>IF(OR($B1121="",N($J1121)=0),"",HYPERLINK(PhotoDir&amp;"/"&amp;YEAR($B1121)&amp;"-"&amp;TEXT(MONTH($B1121),"00")&amp;"-"&amp;TEXT(DAY($B1121),"00")&amp;"_"&amp;$D1121,"فتح الصور ("&amp;$J1121&amp;")"))</f>
        <v/>
      </c>
      <c r="Q1121" s="24">
        <f>IF($B1121="","",MONTH($B1121))</f>
        <v/>
      </c>
      <c r="R1121" s="24">
        <f>IF($B1121="","",YEAR($B1121))</f>
        <v/>
      </c>
      <c r="S1121" s="25">
        <f>IF($B1121="","",$B1121-WEEKDAY($B1121,3))</f>
        <v/>
      </c>
      <c r="T1121" s="24">
        <f>IF($B1121="",0,IF(COUNTIFS($B$5:$B1121,$B1121,$D$5:$D1121,$D1121)=1,1,0))</f>
        <v/>
      </c>
      <c r="U1121" s="24">
        <f>IF($B1121="",0,IF(COUNTIFS($B$5:$B1121,$B1121,$C$5:$C1121,$C1121)=1,1,0))</f>
        <v/>
      </c>
      <c r="V1121" s="24">
        <f>IF(OR($B1121="",$G1121="",$G1121="لا توجد مشاهدات"),0,1)</f>
        <v/>
      </c>
      <c r="W1121" s="24">
        <f>IF(AND($B1121&lt;&gt;"",$I1121="تم تحرير مخالفة"),1,0)</f>
        <v/>
      </c>
      <c r="X1121" s="24">
        <f>IF($B1121="","",IF($S1121=WkStart,COUNTIF($S$5:$S1121,WkStart),""))</f>
        <v/>
      </c>
    </row>
    <row r="1122">
      <c r="A1122" s="16">
        <f>IF($B1122="","",ROW()-4)</f>
        <v/>
      </c>
      <c r="B1122" s="17" t="n"/>
      <c r="C1122" s="18" t="n"/>
      <c r="D1122" s="18" t="n"/>
      <c r="E1122" s="19" t="n"/>
      <c r="F1122" s="19" t="n"/>
      <c r="G1122" s="18" t="n"/>
      <c r="H1122" s="18" t="n"/>
      <c r="I1122" s="18" t="n"/>
      <c r="J1122" s="20" t="n"/>
      <c r="K1122" s="21" t="n"/>
      <c r="L1122" s="21" t="n"/>
      <c r="M1122" s="18" t="n"/>
      <c r="N1122" s="22">
        <f>IF($B1122="","",CHOOSE(WEEKDAY($B1122),"الأحد","الاثنين","الثلاثاء","الأربعاء","الخميس","الجمعة","السبت"))</f>
        <v/>
      </c>
      <c r="O1122" s="23">
        <f>IF(OR($K1122="",$L1122=""),"",HYPERLINK("https://maps.google.com/?q="&amp;$K1122&amp;","&amp;$L1122,"عرض الموقع"))</f>
        <v/>
      </c>
      <c r="P1122" s="23">
        <f>IF(OR($B1122="",N($J1122)=0),"",HYPERLINK(PhotoDir&amp;"/"&amp;YEAR($B1122)&amp;"-"&amp;TEXT(MONTH($B1122),"00")&amp;"-"&amp;TEXT(DAY($B1122),"00")&amp;"_"&amp;$D1122,"فتح الصور ("&amp;$J1122&amp;")"))</f>
        <v/>
      </c>
      <c r="Q1122" s="24">
        <f>IF($B1122="","",MONTH($B1122))</f>
        <v/>
      </c>
      <c r="R1122" s="24">
        <f>IF($B1122="","",YEAR($B1122))</f>
        <v/>
      </c>
      <c r="S1122" s="25">
        <f>IF($B1122="","",$B1122-WEEKDAY($B1122,3))</f>
        <v/>
      </c>
      <c r="T1122" s="24">
        <f>IF($B1122="",0,IF(COUNTIFS($B$5:$B1122,$B1122,$D$5:$D1122,$D1122)=1,1,0))</f>
        <v/>
      </c>
      <c r="U1122" s="24">
        <f>IF($B1122="",0,IF(COUNTIFS($B$5:$B1122,$B1122,$C$5:$C1122,$C1122)=1,1,0))</f>
        <v/>
      </c>
      <c r="V1122" s="24">
        <f>IF(OR($B1122="",$G1122="",$G1122="لا توجد مشاهدات"),0,1)</f>
        <v/>
      </c>
      <c r="W1122" s="24">
        <f>IF(AND($B1122&lt;&gt;"",$I1122="تم تحرير مخالفة"),1,0)</f>
        <v/>
      </c>
      <c r="X1122" s="24">
        <f>IF($B1122="","",IF($S1122=WkStart,COUNTIF($S$5:$S1122,WkStart),""))</f>
        <v/>
      </c>
    </row>
    <row r="1123">
      <c r="A1123" s="16">
        <f>IF($B1123="","",ROW()-4)</f>
        <v/>
      </c>
      <c r="B1123" s="17" t="n"/>
      <c r="C1123" s="18" t="n"/>
      <c r="D1123" s="18" t="n"/>
      <c r="E1123" s="19" t="n"/>
      <c r="F1123" s="19" t="n"/>
      <c r="G1123" s="18" t="n"/>
      <c r="H1123" s="18" t="n"/>
      <c r="I1123" s="18" t="n"/>
      <c r="J1123" s="20" t="n"/>
      <c r="K1123" s="21" t="n"/>
      <c r="L1123" s="21" t="n"/>
      <c r="M1123" s="18" t="n"/>
      <c r="N1123" s="22">
        <f>IF($B1123="","",CHOOSE(WEEKDAY($B1123),"الأحد","الاثنين","الثلاثاء","الأربعاء","الخميس","الجمعة","السبت"))</f>
        <v/>
      </c>
      <c r="O1123" s="23">
        <f>IF(OR($K1123="",$L1123=""),"",HYPERLINK("https://maps.google.com/?q="&amp;$K1123&amp;","&amp;$L1123,"عرض الموقع"))</f>
        <v/>
      </c>
      <c r="P1123" s="23">
        <f>IF(OR($B1123="",N($J1123)=0),"",HYPERLINK(PhotoDir&amp;"/"&amp;YEAR($B1123)&amp;"-"&amp;TEXT(MONTH($B1123),"00")&amp;"-"&amp;TEXT(DAY($B1123),"00")&amp;"_"&amp;$D1123,"فتح الصور ("&amp;$J1123&amp;")"))</f>
        <v/>
      </c>
      <c r="Q1123" s="24">
        <f>IF($B1123="","",MONTH($B1123))</f>
        <v/>
      </c>
      <c r="R1123" s="24">
        <f>IF($B1123="","",YEAR($B1123))</f>
        <v/>
      </c>
      <c r="S1123" s="25">
        <f>IF($B1123="","",$B1123-WEEKDAY($B1123,3))</f>
        <v/>
      </c>
      <c r="T1123" s="24">
        <f>IF($B1123="",0,IF(COUNTIFS($B$5:$B1123,$B1123,$D$5:$D1123,$D1123)=1,1,0))</f>
        <v/>
      </c>
      <c r="U1123" s="24">
        <f>IF($B1123="",0,IF(COUNTIFS($B$5:$B1123,$B1123,$C$5:$C1123,$C1123)=1,1,0))</f>
        <v/>
      </c>
      <c r="V1123" s="24">
        <f>IF(OR($B1123="",$G1123="",$G1123="لا توجد مشاهدات"),0,1)</f>
        <v/>
      </c>
      <c r="W1123" s="24">
        <f>IF(AND($B1123&lt;&gt;"",$I1123="تم تحرير مخالفة"),1,0)</f>
        <v/>
      </c>
      <c r="X1123" s="24">
        <f>IF($B1123="","",IF($S1123=WkStart,COUNTIF($S$5:$S1123,WkStart),""))</f>
        <v/>
      </c>
    </row>
    <row r="1124">
      <c r="A1124" s="16">
        <f>IF($B1124="","",ROW()-4)</f>
        <v/>
      </c>
      <c r="B1124" s="17" t="n"/>
      <c r="C1124" s="18" t="n"/>
      <c r="D1124" s="18" t="n"/>
      <c r="E1124" s="19" t="n"/>
      <c r="F1124" s="19" t="n"/>
      <c r="G1124" s="18" t="n"/>
      <c r="H1124" s="18" t="n"/>
      <c r="I1124" s="18" t="n"/>
      <c r="J1124" s="20" t="n"/>
      <c r="K1124" s="21" t="n"/>
      <c r="L1124" s="21" t="n"/>
      <c r="M1124" s="18" t="n"/>
      <c r="N1124" s="22">
        <f>IF($B1124="","",CHOOSE(WEEKDAY($B1124),"الأحد","الاثنين","الثلاثاء","الأربعاء","الخميس","الجمعة","السبت"))</f>
        <v/>
      </c>
      <c r="O1124" s="23">
        <f>IF(OR($K1124="",$L1124=""),"",HYPERLINK("https://maps.google.com/?q="&amp;$K1124&amp;","&amp;$L1124,"عرض الموقع"))</f>
        <v/>
      </c>
      <c r="P1124" s="23">
        <f>IF(OR($B1124="",N($J1124)=0),"",HYPERLINK(PhotoDir&amp;"/"&amp;YEAR($B1124)&amp;"-"&amp;TEXT(MONTH($B1124),"00")&amp;"-"&amp;TEXT(DAY($B1124),"00")&amp;"_"&amp;$D1124,"فتح الصور ("&amp;$J1124&amp;")"))</f>
        <v/>
      </c>
      <c r="Q1124" s="24">
        <f>IF($B1124="","",MONTH($B1124))</f>
        <v/>
      </c>
      <c r="R1124" s="24">
        <f>IF($B1124="","",YEAR($B1124))</f>
        <v/>
      </c>
      <c r="S1124" s="25">
        <f>IF($B1124="","",$B1124-WEEKDAY($B1124,3))</f>
        <v/>
      </c>
      <c r="T1124" s="24">
        <f>IF($B1124="",0,IF(COUNTIFS($B$5:$B1124,$B1124,$D$5:$D1124,$D1124)=1,1,0))</f>
        <v/>
      </c>
      <c r="U1124" s="24">
        <f>IF($B1124="",0,IF(COUNTIFS($B$5:$B1124,$B1124,$C$5:$C1124,$C1124)=1,1,0))</f>
        <v/>
      </c>
      <c r="V1124" s="24">
        <f>IF(OR($B1124="",$G1124="",$G1124="لا توجد مشاهدات"),0,1)</f>
        <v/>
      </c>
      <c r="W1124" s="24">
        <f>IF(AND($B1124&lt;&gt;"",$I1124="تم تحرير مخالفة"),1,0)</f>
        <v/>
      </c>
      <c r="X1124" s="24">
        <f>IF($B1124="","",IF($S1124=WkStart,COUNTIF($S$5:$S1124,WkStart),""))</f>
        <v/>
      </c>
    </row>
    <row r="1125">
      <c r="A1125" s="16">
        <f>IF($B1125="","",ROW()-4)</f>
        <v/>
      </c>
      <c r="B1125" s="17" t="n"/>
      <c r="C1125" s="18" t="n"/>
      <c r="D1125" s="18" t="n"/>
      <c r="E1125" s="19" t="n"/>
      <c r="F1125" s="19" t="n"/>
      <c r="G1125" s="18" t="n"/>
      <c r="H1125" s="18" t="n"/>
      <c r="I1125" s="18" t="n"/>
      <c r="J1125" s="20" t="n"/>
      <c r="K1125" s="21" t="n"/>
      <c r="L1125" s="21" t="n"/>
      <c r="M1125" s="18" t="n"/>
      <c r="N1125" s="22">
        <f>IF($B1125="","",CHOOSE(WEEKDAY($B1125),"الأحد","الاثنين","الثلاثاء","الأربعاء","الخميس","الجمعة","السبت"))</f>
        <v/>
      </c>
      <c r="O1125" s="23">
        <f>IF(OR($K1125="",$L1125=""),"",HYPERLINK("https://maps.google.com/?q="&amp;$K1125&amp;","&amp;$L1125,"عرض الموقع"))</f>
        <v/>
      </c>
      <c r="P1125" s="23">
        <f>IF(OR($B1125="",N($J1125)=0),"",HYPERLINK(PhotoDir&amp;"/"&amp;YEAR($B1125)&amp;"-"&amp;TEXT(MONTH($B1125),"00")&amp;"-"&amp;TEXT(DAY($B1125),"00")&amp;"_"&amp;$D1125,"فتح الصور ("&amp;$J1125&amp;")"))</f>
        <v/>
      </c>
      <c r="Q1125" s="24">
        <f>IF($B1125="","",MONTH($B1125))</f>
        <v/>
      </c>
      <c r="R1125" s="24">
        <f>IF($B1125="","",YEAR($B1125))</f>
        <v/>
      </c>
      <c r="S1125" s="25">
        <f>IF($B1125="","",$B1125-WEEKDAY($B1125,3))</f>
        <v/>
      </c>
      <c r="T1125" s="24">
        <f>IF($B1125="",0,IF(COUNTIFS($B$5:$B1125,$B1125,$D$5:$D1125,$D1125)=1,1,0))</f>
        <v/>
      </c>
      <c r="U1125" s="24">
        <f>IF($B1125="",0,IF(COUNTIFS($B$5:$B1125,$B1125,$C$5:$C1125,$C1125)=1,1,0))</f>
        <v/>
      </c>
      <c r="V1125" s="24">
        <f>IF(OR($B1125="",$G1125="",$G1125="لا توجد مشاهدات"),0,1)</f>
        <v/>
      </c>
      <c r="W1125" s="24">
        <f>IF(AND($B1125&lt;&gt;"",$I1125="تم تحرير مخالفة"),1,0)</f>
        <v/>
      </c>
      <c r="X1125" s="24">
        <f>IF($B1125="","",IF($S1125=WkStart,COUNTIF($S$5:$S1125,WkStart),""))</f>
        <v/>
      </c>
    </row>
    <row r="1126">
      <c r="A1126" s="16">
        <f>IF($B1126="","",ROW()-4)</f>
        <v/>
      </c>
      <c r="B1126" s="17" t="n"/>
      <c r="C1126" s="18" t="n"/>
      <c r="D1126" s="18" t="n"/>
      <c r="E1126" s="19" t="n"/>
      <c r="F1126" s="19" t="n"/>
      <c r="G1126" s="18" t="n"/>
      <c r="H1126" s="18" t="n"/>
      <c r="I1126" s="18" t="n"/>
      <c r="J1126" s="20" t="n"/>
      <c r="K1126" s="21" t="n"/>
      <c r="L1126" s="21" t="n"/>
      <c r="M1126" s="18" t="n"/>
      <c r="N1126" s="22">
        <f>IF($B1126="","",CHOOSE(WEEKDAY($B1126),"الأحد","الاثنين","الثلاثاء","الأربعاء","الخميس","الجمعة","السبت"))</f>
        <v/>
      </c>
      <c r="O1126" s="23">
        <f>IF(OR($K1126="",$L1126=""),"",HYPERLINK("https://maps.google.com/?q="&amp;$K1126&amp;","&amp;$L1126,"عرض الموقع"))</f>
        <v/>
      </c>
      <c r="P1126" s="23">
        <f>IF(OR($B1126="",N($J1126)=0),"",HYPERLINK(PhotoDir&amp;"/"&amp;YEAR($B1126)&amp;"-"&amp;TEXT(MONTH($B1126),"00")&amp;"-"&amp;TEXT(DAY($B1126),"00")&amp;"_"&amp;$D1126,"فتح الصور ("&amp;$J1126&amp;")"))</f>
        <v/>
      </c>
      <c r="Q1126" s="24">
        <f>IF($B1126="","",MONTH($B1126))</f>
        <v/>
      </c>
      <c r="R1126" s="24">
        <f>IF($B1126="","",YEAR($B1126))</f>
        <v/>
      </c>
      <c r="S1126" s="25">
        <f>IF($B1126="","",$B1126-WEEKDAY($B1126,3))</f>
        <v/>
      </c>
      <c r="T1126" s="24">
        <f>IF($B1126="",0,IF(COUNTIFS($B$5:$B1126,$B1126,$D$5:$D1126,$D1126)=1,1,0))</f>
        <v/>
      </c>
      <c r="U1126" s="24">
        <f>IF($B1126="",0,IF(COUNTIFS($B$5:$B1126,$B1126,$C$5:$C1126,$C1126)=1,1,0))</f>
        <v/>
      </c>
      <c r="V1126" s="24">
        <f>IF(OR($B1126="",$G1126="",$G1126="لا توجد مشاهدات"),0,1)</f>
        <v/>
      </c>
      <c r="W1126" s="24">
        <f>IF(AND($B1126&lt;&gt;"",$I1126="تم تحرير مخالفة"),1,0)</f>
        <v/>
      </c>
      <c r="X1126" s="24">
        <f>IF($B1126="","",IF($S1126=WkStart,COUNTIF($S$5:$S1126,WkStart),""))</f>
        <v/>
      </c>
    </row>
    <row r="1127">
      <c r="A1127" s="16">
        <f>IF($B1127="","",ROW()-4)</f>
        <v/>
      </c>
      <c r="B1127" s="17" t="n"/>
      <c r="C1127" s="18" t="n"/>
      <c r="D1127" s="18" t="n"/>
      <c r="E1127" s="19" t="n"/>
      <c r="F1127" s="19" t="n"/>
      <c r="G1127" s="18" t="n"/>
      <c r="H1127" s="18" t="n"/>
      <c r="I1127" s="18" t="n"/>
      <c r="J1127" s="20" t="n"/>
      <c r="K1127" s="21" t="n"/>
      <c r="L1127" s="21" t="n"/>
      <c r="M1127" s="18" t="n"/>
      <c r="N1127" s="22">
        <f>IF($B1127="","",CHOOSE(WEEKDAY($B1127),"الأحد","الاثنين","الثلاثاء","الأربعاء","الخميس","الجمعة","السبت"))</f>
        <v/>
      </c>
      <c r="O1127" s="23">
        <f>IF(OR($K1127="",$L1127=""),"",HYPERLINK("https://maps.google.com/?q="&amp;$K1127&amp;","&amp;$L1127,"عرض الموقع"))</f>
        <v/>
      </c>
      <c r="P1127" s="23">
        <f>IF(OR($B1127="",N($J1127)=0),"",HYPERLINK(PhotoDir&amp;"/"&amp;YEAR($B1127)&amp;"-"&amp;TEXT(MONTH($B1127),"00")&amp;"-"&amp;TEXT(DAY($B1127),"00")&amp;"_"&amp;$D1127,"فتح الصور ("&amp;$J1127&amp;")"))</f>
        <v/>
      </c>
      <c r="Q1127" s="24">
        <f>IF($B1127="","",MONTH($B1127))</f>
        <v/>
      </c>
      <c r="R1127" s="24">
        <f>IF($B1127="","",YEAR($B1127))</f>
        <v/>
      </c>
      <c r="S1127" s="25">
        <f>IF($B1127="","",$B1127-WEEKDAY($B1127,3))</f>
        <v/>
      </c>
      <c r="T1127" s="24">
        <f>IF($B1127="",0,IF(COUNTIFS($B$5:$B1127,$B1127,$D$5:$D1127,$D1127)=1,1,0))</f>
        <v/>
      </c>
      <c r="U1127" s="24">
        <f>IF($B1127="",0,IF(COUNTIFS($B$5:$B1127,$B1127,$C$5:$C1127,$C1127)=1,1,0))</f>
        <v/>
      </c>
      <c r="V1127" s="24">
        <f>IF(OR($B1127="",$G1127="",$G1127="لا توجد مشاهدات"),0,1)</f>
        <v/>
      </c>
      <c r="W1127" s="24">
        <f>IF(AND($B1127&lt;&gt;"",$I1127="تم تحرير مخالفة"),1,0)</f>
        <v/>
      </c>
      <c r="X1127" s="24">
        <f>IF($B1127="","",IF($S1127=WkStart,COUNTIF($S$5:$S1127,WkStart),""))</f>
        <v/>
      </c>
    </row>
    <row r="1128">
      <c r="A1128" s="16">
        <f>IF($B1128="","",ROW()-4)</f>
        <v/>
      </c>
      <c r="B1128" s="17" t="n"/>
      <c r="C1128" s="18" t="n"/>
      <c r="D1128" s="18" t="n"/>
      <c r="E1128" s="19" t="n"/>
      <c r="F1128" s="19" t="n"/>
      <c r="G1128" s="18" t="n"/>
      <c r="H1128" s="18" t="n"/>
      <c r="I1128" s="18" t="n"/>
      <c r="J1128" s="20" t="n"/>
      <c r="K1128" s="21" t="n"/>
      <c r="L1128" s="21" t="n"/>
      <c r="M1128" s="18" t="n"/>
      <c r="N1128" s="22">
        <f>IF($B1128="","",CHOOSE(WEEKDAY($B1128),"الأحد","الاثنين","الثلاثاء","الأربعاء","الخميس","الجمعة","السبت"))</f>
        <v/>
      </c>
      <c r="O1128" s="23">
        <f>IF(OR($K1128="",$L1128=""),"",HYPERLINK("https://maps.google.com/?q="&amp;$K1128&amp;","&amp;$L1128,"عرض الموقع"))</f>
        <v/>
      </c>
      <c r="P1128" s="23">
        <f>IF(OR($B1128="",N($J1128)=0),"",HYPERLINK(PhotoDir&amp;"/"&amp;YEAR($B1128)&amp;"-"&amp;TEXT(MONTH($B1128),"00")&amp;"-"&amp;TEXT(DAY($B1128),"00")&amp;"_"&amp;$D1128,"فتح الصور ("&amp;$J1128&amp;")"))</f>
        <v/>
      </c>
      <c r="Q1128" s="24">
        <f>IF($B1128="","",MONTH($B1128))</f>
        <v/>
      </c>
      <c r="R1128" s="24">
        <f>IF($B1128="","",YEAR($B1128))</f>
        <v/>
      </c>
      <c r="S1128" s="25">
        <f>IF($B1128="","",$B1128-WEEKDAY($B1128,3))</f>
        <v/>
      </c>
      <c r="T1128" s="24">
        <f>IF($B1128="",0,IF(COUNTIFS($B$5:$B1128,$B1128,$D$5:$D1128,$D1128)=1,1,0))</f>
        <v/>
      </c>
      <c r="U1128" s="24">
        <f>IF($B1128="",0,IF(COUNTIFS($B$5:$B1128,$B1128,$C$5:$C1128,$C1128)=1,1,0))</f>
        <v/>
      </c>
      <c r="V1128" s="24">
        <f>IF(OR($B1128="",$G1128="",$G1128="لا توجد مشاهدات"),0,1)</f>
        <v/>
      </c>
      <c r="W1128" s="24">
        <f>IF(AND($B1128&lt;&gt;"",$I1128="تم تحرير مخالفة"),1,0)</f>
        <v/>
      </c>
      <c r="X1128" s="24">
        <f>IF($B1128="","",IF($S1128=WkStart,COUNTIF($S$5:$S1128,WkStart),""))</f>
        <v/>
      </c>
    </row>
    <row r="1129">
      <c r="A1129" s="16">
        <f>IF($B1129="","",ROW()-4)</f>
        <v/>
      </c>
      <c r="B1129" s="17" t="n"/>
      <c r="C1129" s="18" t="n"/>
      <c r="D1129" s="18" t="n"/>
      <c r="E1129" s="19" t="n"/>
      <c r="F1129" s="19" t="n"/>
      <c r="G1129" s="18" t="n"/>
      <c r="H1129" s="18" t="n"/>
      <c r="I1129" s="18" t="n"/>
      <c r="J1129" s="20" t="n"/>
      <c r="K1129" s="21" t="n"/>
      <c r="L1129" s="21" t="n"/>
      <c r="M1129" s="18" t="n"/>
      <c r="N1129" s="22">
        <f>IF($B1129="","",CHOOSE(WEEKDAY($B1129),"الأحد","الاثنين","الثلاثاء","الأربعاء","الخميس","الجمعة","السبت"))</f>
        <v/>
      </c>
      <c r="O1129" s="23">
        <f>IF(OR($K1129="",$L1129=""),"",HYPERLINK("https://maps.google.com/?q="&amp;$K1129&amp;","&amp;$L1129,"عرض الموقع"))</f>
        <v/>
      </c>
      <c r="P1129" s="23">
        <f>IF(OR($B1129="",N($J1129)=0),"",HYPERLINK(PhotoDir&amp;"/"&amp;YEAR($B1129)&amp;"-"&amp;TEXT(MONTH($B1129),"00")&amp;"-"&amp;TEXT(DAY($B1129),"00")&amp;"_"&amp;$D1129,"فتح الصور ("&amp;$J1129&amp;")"))</f>
        <v/>
      </c>
      <c r="Q1129" s="24">
        <f>IF($B1129="","",MONTH($B1129))</f>
        <v/>
      </c>
      <c r="R1129" s="24">
        <f>IF($B1129="","",YEAR($B1129))</f>
        <v/>
      </c>
      <c r="S1129" s="25">
        <f>IF($B1129="","",$B1129-WEEKDAY($B1129,3))</f>
        <v/>
      </c>
      <c r="T1129" s="24">
        <f>IF($B1129="",0,IF(COUNTIFS($B$5:$B1129,$B1129,$D$5:$D1129,$D1129)=1,1,0))</f>
        <v/>
      </c>
      <c r="U1129" s="24">
        <f>IF($B1129="",0,IF(COUNTIFS($B$5:$B1129,$B1129,$C$5:$C1129,$C1129)=1,1,0))</f>
        <v/>
      </c>
      <c r="V1129" s="24">
        <f>IF(OR($B1129="",$G1129="",$G1129="لا توجد مشاهدات"),0,1)</f>
        <v/>
      </c>
      <c r="W1129" s="24">
        <f>IF(AND($B1129&lt;&gt;"",$I1129="تم تحرير مخالفة"),1,0)</f>
        <v/>
      </c>
      <c r="X1129" s="24">
        <f>IF($B1129="","",IF($S1129=WkStart,COUNTIF($S$5:$S1129,WkStart),""))</f>
        <v/>
      </c>
    </row>
    <row r="1130">
      <c r="A1130" s="16">
        <f>IF($B1130="","",ROW()-4)</f>
        <v/>
      </c>
      <c r="B1130" s="17" t="n"/>
      <c r="C1130" s="18" t="n"/>
      <c r="D1130" s="18" t="n"/>
      <c r="E1130" s="19" t="n"/>
      <c r="F1130" s="19" t="n"/>
      <c r="G1130" s="18" t="n"/>
      <c r="H1130" s="18" t="n"/>
      <c r="I1130" s="18" t="n"/>
      <c r="J1130" s="20" t="n"/>
      <c r="K1130" s="21" t="n"/>
      <c r="L1130" s="21" t="n"/>
      <c r="M1130" s="18" t="n"/>
      <c r="N1130" s="22">
        <f>IF($B1130="","",CHOOSE(WEEKDAY($B1130),"الأحد","الاثنين","الثلاثاء","الأربعاء","الخميس","الجمعة","السبت"))</f>
        <v/>
      </c>
      <c r="O1130" s="23">
        <f>IF(OR($K1130="",$L1130=""),"",HYPERLINK("https://maps.google.com/?q="&amp;$K1130&amp;","&amp;$L1130,"عرض الموقع"))</f>
        <v/>
      </c>
      <c r="P1130" s="23">
        <f>IF(OR($B1130="",N($J1130)=0),"",HYPERLINK(PhotoDir&amp;"/"&amp;YEAR($B1130)&amp;"-"&amp;TEXT(MONTH($B1130),"00")&amp;"-"&amp;TEXT(DAY($B1130),"00")&amp;"_"&amp;$D1130,"فتح الصور ("&amp;$J1130&amp;")"))</f>
        <v/>
      </c>
      <c r="Q1130" s="24">
        <f>IF($B1130="","",MONTH($B1130))</f>
        <v/>
      </c>
      <c r="R1130" s="24">
        <f>IF($B1130="","",YEAR($B1130))</f>
        <v/>
      </c>
      <c r="S1130" s="25">
        <f>IF($B1130="","",$B1130-WEEKDAY($B1130,3))</f>
        <v/>
      </c>
      <c r="T1130" s="24">
        <f>IF($B1130="",0,IF(COUNTIFS($B$5:$B1130,$B1130,$D$5:$D1130,$D1130)=1,1,0))</f>
        <v/>
      </c>
      <c r="U1130" s="24">
        <f>IF($B1130="",0,IF(COUNTIFS($B$5:$B1130,$B1130,$C$5:$C1130,$C1130)=1,1,0))</f>
        <v/>
      </c>
      <c r="V1130" s="24">
        <f>IF(OR($B1130="",$G1130="",$G1130="لا توجد مشاهدات"),0,1)</f>
        <v/>
      </c>
      <c r="W1130" s="24">
        <f>IF(AND($B1130&lt;&gt;"",$I1130="تم تحرير مخالفة"),1,0)</f>
        <v/>
      </c>
      <c r="X1130" s="24">
        <f>IF($B1130="","",IF($S1130=WkStart,COUNTIF($S$5:$S1130,WkStart),""))</f>
        <v/>
      </c>
    </row>
    <row r="1131">
      <c r="A1131" s="16">
        <f>IF($B1131="","",ROW()-4)</f>
        <v/>
      </c>
      <c r="B1131" s="17" t="n"/>
      <c r="C1131" s="18" t="n"/>
      <c r="D1131" s="18" t="n"/>
      <c r="E1131" s="19" t="n"/>
      <c r="F1131" s="19" t="n"/>
      <c r="G1131" s="18" t="n"/>
      <c r="H1131" s="18" t="n"/>
      <c r="I1131" s="18" t="n"/>
      <c r="J1131" s="20" t="n"/>
      <c r="K1131" s="21" t="n"/>
      <c r="L1131" s="21" t="n"/>
      <c r="M1131" s="18" t="n"/>
      <c r="N1131" s="22">
        <f>IF($B1131="","",CHOOSE(WEEKDAY($B1131),"الأحد","الاثنين","الثلاثاء","الأربعاء","الخميس","الجمعة","السبت"))</f>
        <v/>
      </c>
      <c r="O1131" s="23">
        <f>IF(OR($K1131="",$L1131=""),"",HYPERLINK("https://maps.google.com/?q="&amp;$K1131&amp;","&amp;$L1131,"عرض الموقع"))</f>
        <v/>
      </c>
      <c r="P1131" s="23">
        <f>IF(OR($B1131="",N($J1131)=0),"",HYPERLINK(PhotoDir&amp;"/"&amp;YEAR($B1131)&amp;"-"&amp;TEXT(MONTH($B1131),"00")&amp;"-"&amp;TEXT(DAY($B1131),"00")&amp;"_"&amp;$D1131,"فتح الصور ("&amp;$J1131&amp;")"))</f>
        <v/>
      </c>
      <c r="Q1131" s="24">
        <f>IF($B1131="","",MONTH($B1131))</f>
        <v/>
      </c>
      <c r="R1131" s="24">
        <f>IF($B1131="","",YEAR($B1131))</f>
        <v/>
      </c>
      <c r="S1131" s="25">
        <f>IF($B1131="","",$B1131-WEEKDAY($B1131,3))</f>
        <v/>
      </c>
      <c r="T1131" s="24">
        <f>IF($B1131="",0,IF(COUNTIFS($B$5:$B1131,$B1131,$D$5:$D1131,$D1131)=1,1,0))</f>
        <v/>
      </c>
      <c r="U1131" s="24">
        <f>IF($B1131="",0,IF(COUNTIFS($B$5:$B1131,$B1131,$C$5:$C1131,$C1131)=1,1,0))</f>
        <v/>
      </c>
      <c r="V1131" s="24">
        <f>IF(OR($B1131="",$G1131="",$G1131="لا توجد مشاهدات"),0,1)</f>
        <v/>
      </c>
      <c r="W1131" s="24">
        <f>IF(AND($B1131&lt;&gt;"",$I1131="تم تحرير مخالفة"),1,0)</f>
        <v/>
      </c>
      <c r="X1131" s="24">
        <f>IF($B1131="","",IF($S1131=WkStart,COUNTIF($S$5:$S1131,WkStart),""))</f>
        <v/>
      </c>
    </row>
    <row r="1132">
      <c r="A1132" s="16">
        <f>IF($B1132="","",ROW()-4)</f>
        <v/>
      </c>
      <c r="B1132" s="17" t="n"/>
      <c r="C1132" s="18" t="n"/>
      <c r="D1132" s="18" t="n"/>
      <c r="E1132" s="19" t="n"/>
      <c r="F1132" s="19" t="n"/>
      <c r="G1132" s="18" t="n"/>
      <c r="H1132" s="18" t="n"/>
      <c r="I1132" s="18" t="n"/>
      <c r="J1132" s="20" t="n"/>
      <c r="K1132" s="21" t="n"/>
      <c r="L1132" s="21" t="n"/>
      <c r="M1132" s="18" t="n"/>
      <c r="N1132" s="22">
        <f>IF($B1132="","",CHOOSE(WEEKDAY($B1132),"الأحد","الاثنين","الثلاثاء","الأربعاء","الخميس","الجمعة","السبت"))</f>
        <v/>
      </c>
      <c r="O1132" s="23">
        <f>IF(OR($K1132="",$L1132=""),"",HYPERLINK("https://maps.google.com/?q="&amp;$K1132&amp;","&amp;$L1132,"عرض الموقع"))</f>
        <v/>
      </c>
      <c r="P1132" s="23">
        <f>IF(OR($B1132="",N($J1132)=0),"",HYPERLINK(PhotoDir&amp;"/"&amp;YEAR($B1132)&amp;"-"&amp;TEXT(MONTH($B1132),"00")&amp;"-"&amp;TEXT(DAY($B1132),"00")&amp;"_"&amp;$D1132,"فتح الصور ("&amp;$J1132&amp;")"))</f>
        <v/>
      </c>
      <c r="Q1132" s="24">
        <f>IF($B1132="","",MONTH($B1132))</f>
        <v/>
      </c>
      <c r="R1132" s="24">
        <f>IF($B1132="","",YEAR($B1132))</f>
        <v/>
      </c>
      <c r="S1132" s="25">
        <f>IF($B1132="","",$B1132-WEEKDAY($B1132,3))</f>
        <v/>
      </c>
      <c r="T1132" s="24">
        <f>IF($B1132="",0,IF(COUNTIFS($B$5:$B1132,$B1132,$D$5:$D1132,$D1132)=1,1,0))</f>
        <v/>
      </c>
      <c r="U1132" s="24">
        <f>IF($B1132="",0,IF(COUNTIFS($B$5:$B1132,$B1132,$C$5:$C1132,$C1132)=1,1,0))</f>
        <v/>
      </c>
      <c r="V1132" s="24">
        <f>IF(OR($B1132="",$G1132="",$G1132="لا توجد مشاهدات"),0,1)</f>
        <v/>
      </c>
      <c r="W1132" s="24">
        <f>IF(AND($B1132&lt;&gt;"",$I1132="تم تحرير مخالفة"),1,0)</f>
        <v/>
      </c>
      <c r="X1132" s="24">
        <f>IF($B1132="","",IF($S1132=WkStart,COUNTIF($S$5:$S1132,WkStart),""))</f>
        <v/>
      </c>
    </row>
    <row r="1133">
      <c r="A1133" s="16">
        <f>IF($B1133="","",ROW()-4)</f>
        <v/>
      </c>
      <c r="B1133" s="17" t="n"/>
      <c r="C1133" s="18" t="n"/>
      <c r="D1133" s="18" t="n"/>
      <c r="E1133" s="19" t="n"/>
      <c r="F1133" s="19" t="n"/>
      <c r="G1133" s="18" t="n"/>
      <c r="H1133" s="18" t="n"/>
      <c r="I1133" s="18" t="n"/>
      <c r="J1133" s="20" t="n"/>
      <c r="K1133" s="21" t="n"/>
      <c r="L1133" s="21" t="n"/>
      <c r="M1133" s="18" t="n"/>
      <c r="N1133" s="22">
        <f>IF($B1133="","",CHOOSE(WEEKDAY($B1133),"الأحد","الاثنين","الثلاثاء","الأربعاء","الخميس","الجمعة","السبت"))</f>
        <v/>
      </c>
      <c r="O1133" s="23">
        <f>IF(OR($K1133="",$L1133=""),"",HYPERLINK("https://maps.google.com/?q="&amp;$K1133&amp;","&amp;$L1133,"عرض الموقع"))</f>
        <v/>
      </c>
      <c r="P1133" s="23">
        <f>IF(OR($B1133="",N($J1133)=0),"",HYPERLINK(PhotoDir&amp;"/"&amp;YEAR($B1133)&amp;"-"&amp;TEXT(MONTH($B1133),"00")&amp;"-"&amp;TEXT(DAY($B1133),"00")&amp;"_"&amp;$D1133,"فتح الصور ("&amp;$J1133&amp;")"))</f>
        <v/>
      </c>
      <c r="Q1133" s="24">
        <f>IF($B1133="","",MONTH($B1133))</f>
        <v/>
      </c>
      <c r="R1133" s="24">
        <f>IF($B1133="","",YEAR($B1133))</f>
        <v/>
      </c>
      <c r="S1133" s="25">
        <f>IF($B1133="","",$B1133-WEEKDAY($B1133,3))</f>
        <v/>
      </c>
      <c r="T1133" s="24">
        <f>IF($B1133="",0,IF(COUNTIFS($B$5:$B1133,$B1133,$D$5:$D1133,$D1133)=1,1,0))</f>
        <v/>
      </c>
      <c r="U1133" s="24">
        <f>IF($B1133="",0,IF(COUNTIFS($B$5:$B1133,$B1133,$C$5:$C1133,$C1133)=1,1,0))</f>
        <v/>
      </c>
      <c r="V1133" s="24">
        <f>IF(OR($B1133="",$G1133="",$G1133="لا توجد مشاهدات"),0,1)</f>
        <v/>
      </c>
      <c r="W1133" s="24">
        <f>IF(AND($B1133&lt;&gt;"",$I1133="تم تحرير مخالفة"),1,0)</f>
        <v/>
      </c>
      <c r="X1133" s="24">
        <f>IF($B1133="","",IF($S1133=WkStart,COUNTIF($S$5:$S1133,WkStart),""))</f>
        <v/>
      </c>
    </row>
    <row r="1134">
      <c r="A1134" s="16">
        <f>IF($B1134="","",ROW()-4)</f>
        <v/>
      </c>
      <c r="B1134" s="17" t="n"/>
      <c r="C1134" s="18" t="n"/>
      <c r="D1134" s="18" t="n"/>
      <c r="E1134" s="19" t="n"/>
      <c r="F1134" s="19" t="n"/>
      <c r="G1134" s="18" t="n"/>
      <c r="H1134" s="18" t="n"/>
      <c r="I1134" s="18" t="n"/>
      <c r="J1134" s="20" t="n"/>
      <c r="K1134" s="21" t="n"/>
      <c r="L1134" s="21" t="n"/>
      <c r="M1134" s="18" t="n"/>
      <c r="N1134" s="22">
        <f>IF($B1134="","",CHOOSE(WEEKDAY($B1134),"الأحد","الاثنين","الثلاثاء","الأربعاء","الخميس","الجمعة","السبت"))</f>
        <v/>
      </c>
      <c r="O1134" s="23">
        <f>IF(OR($K1134="",$L1134=""),"",HYPERLINK("https://maps.google.com/?q="&amp;$K1134&amp;","&amp;$L1134,"عرض الموقع"))</f>
        <v/>
      </c>
      <c r="P1134" s="23">
        <f>IF(OR($B1134="",N($J1134)=0),"",HYPERLINK(PhotoDir&amp;"/"&amp;YEAR($B1134)&amp;"-"&amp;TEXT(MONTH($B1134),"00")&amp;"-"&amp;TEXT(DAY($B1134),"00")&amp;"_"&amp;$D1134,"فتح الصور ("&amp;$J1134&amp;")"))</f>
        <v/>
      </c>
      <c r="Q1134" s="24">
        <f>IF($B1134="","",MONTH($B1134))</f>
        <v/>
      </c>
      <c r="R1134" s="24">
        <f>IF($B1134="","",YEAR($B1134))</f>
        <v/>
      </c>
      <c r="S1134" s="25">
        <f>IF($B1134="","",$B1134-WEEKDAY($B1134,3))</f>
        <v/>
      </c>
      <c r="T1134" s="24">
        <f>IF($B1134="",0,IF(COUNTIFS($B$5:$B1134,$B1134,$D$5:$D1134,$D1134)=1,1,0))</f>
        <v/>
      </c>
      <c r="U1134" s="24">
        <f>IF($B1134="",0,IF(COUNTIFS($B$5:$B1134,$B1134,$C$5:$C1134,$C1134)=1,1,0))</f>
        <v/>
      </c>
      <c r="V1134" s="24">
        <f>IF(OR($B1134="",$G1134="",$G1134="لا توجد مشاهدات"),0,1)</f>
        <v/>
      </c>
      <c r="W1134" s="24">
        <f>IF(AND($B1134&lt;&gt;"",$I1134="تم تحرير مخالفة"),1,0)</f>
        <v/>
      </c>
      <c r="X1134" s="24">
        <f>IF($B1134="","",IF($S1134=WkStart,COUNTIF($S$5:$S1134,WkStart),""))</f>
        <v/>
      </c>
    </row>
    <row r="1135">
      <c r="A1135" s="16">
        <f>IF($B1135="","",ROW()-4)</f>
        <v/>
      </c>
      <c r="B1135" s="17" t="n"/>
      <c r="C1135" s="18" t="n"/>
      <c r="D1135" s="18" t="n"/>
      <c r="E1135" s="19" t="n"/>
      <c r="F1135" s="19" t="n"/>
      <c r="G1135" s="18" t="n"/>
      <c r="H1135" s="18" t="n"/>
      <c r="I1135" s="18" t="n"/>
      <c r="J1135" s="20" t="n"/>
      <c r="K1135" s="21" t="n"/>
      <c r="L1135" s="21" t="n"/>
      <c r="M1135" s="18" t="n"/>
      <c r="N1135" s="22">
        <f>IF($B1135="","",CHOOSE(WEEKDAY($B1135),"الأحد","الاثنين","الثلاثاء","الأربعاء","الخميس","الجمعة","السبت"))</f>
        <v/>
      </c>
      <c r="O1135" s="23">
        <f>IF(OR($K1135="",$L1135=""),"",HYPERLINK("https://maps.google.com/?q="&amp;$K1135&amp;","&amp;$L1135,"عرض الموقع"))</f>
        <v/>
      </c>
      <c r="P1135" s="23">
        <f>IF(OR($B1135="",N($J1135)=0),"",HYPERLINK(PhotoDir&amp;"/"&amp;YEAR($B1135)&amp;"-"&amp;TEXT(MONTH($B1135),"00")&amp;"-"&amp;TEXT(DAY($B1135),"00")&amp;"_"&amp;$D1135,"فتح الصور ("&amp;$J1135&amp;")"))</f>
        <v/>
      </c>
      <c r="Q1135" s="24">
        <f>IF($B1135="","",MONTH($B1135))</f>
        <v/>
      </c>
      <c r="R1135" s="24">
        <f>IF($B1135="","",YEAR($B1135))</f>
        <v/>
      </c>
      <c r="S1135" s="25">
        <f>IF($B1135="","",$B1135-WEEKDAY($B1135,3))</f>
        <v/>
      </c>
      <c r="T1135" s="24">
        <f>IF($B1135="",0,IF(COUNTIFS($B$5:$B1135,$B1135,$D$5:$D1135,$D1135)=1,1,0))</f>
        <v/>
      </c>
      <c r="U1135" s="24">
        <f>IF($B1135="",0,IF(COUNTIFS($B$5:$B1135,$B1135,$C$5:$C1135,$C1135)=1,1,0))</f>
        <v/>
      </c>
      <c r="V1135" s="24">
        <f>IF(OR($B1135="",$G1135="",$G1135="لا توجد مشاهدات"),0,1)</f>
        <v/>
      </c>
      <c r="W1135" s="24">
        <f>IF(AND($B1135&lt;&gt;"",$I1135="تم تحرير مخالفة"),1,0)</f>
        <v/>
      </c>
      <c r="X1135" s="24">
        <f>IF($B1135="","",IF($S1135=WkStart,COUNTIF($S$5:$S1135,WkStart),""))</f>
        <v/>
      </c>
    </row>
    <row r="1136">
      <c r="A1136" s="16">
        <f>IF($B1136="","",ROW()-4)</f>
        <v/>
      </c>
      <c r="B1136" s="17" t="n"/>
      <c r="C1136" s="18" t="n"/>
      <c r="D1136" s="18" t="n"/>
      <c r="E1136" s="19" t="n"/>
      <c r="F1136" s="19" t="n"/>
      <c r="G1136" s="18" t="n"/>
      <c r="H1136" s="18" t="n"/>
      <c r="I1136" s="18" t="n"/>
      <c r="J1136" s="20" t="n"/>
      <c r="K1136" s="21" t="n"/>
      <c r="L1136" s="21" t="n"/>
      <c r="M1136" s="18" t="n"/>
      <c r="N1136" s="22">
        <f>IF($B1136="","",CHOOSE(WEEKDAY($B1136),"الأحد","الاثنين","الثلاثاء","الأربعاء","الخميس","الجمعة","السبت"))</f>
        <v/>
      </c>
      <c r="O1136" s="23">
        <f>IF(OR($K1136="",$L1136=""),"",HYPERLINK("https://maps.google.com/?q="&amp;$K1136&amp;","&amp;$L1136,"عرض الموقع"))</f>
        <v/>
      </c>
      <c r="P1136" s="23">
        <f>IF(OR($B1136="",N($J1136)=0),"",HYPERLINK(PhotoDir&amp;"/"&amp;YEAR($B1136)&amp;"-"&amp;TEXT(MONTH($B1136),"00")&amp;"-"&amp;TEXT(DAY($B1136),"00")&amp;"_"&amp;$D1136,"فتح الصور ("&amp;$J1136&amp;")"))</f>
        <v/>
      </c>
      <c r="Q1136" s="24">
        <f>IF($B1136="","",MONTH($B1136))</f>
        <v/>
      </c>
      <c r="R1136" s="24">
        <f>IF($B1136="","",YEAR($B1136))</f>
        <v/>
      </c>
      <c r="S1136" s="25">
        <f>IF($B1136="","",$B1136-WEEKDAY($B1136,3))</f>
        <v/>
      </c>
      <c r="T1136" s="24">
        <f>IF($B1136="",0,IF(COUNTIFS($B$5:$B1136,$B1136,$D$5:$D1136,$D1136)=1,1,0))</f>
        <v/>
      </c>
      <c r="U1136" s="24">
        <f>IF($B1136="",0,IF(COUNTIFS($B$5:$B1136,$B1136,$C$5:$C1136,$C1136)=1,1,0))</f>
        <v/>
      </c>
      <c r="V1136" s="24">
        <f>IF(OR($B1136="",$G1136="",$G1136="لا توجد مشاهدات"),0,1)</f>
        <v/>
      </c>
      <c r="W1136" s="24">
        <f>IF(AND($B1136&lt;&gt;"",$I1136="تم تحرير مخالفة"),1,0)</f>
        <v/>
      </c>
      <c r="X1136" s="24">
        <f>IF($B1136="","",IF($S1136=WkStart,COUNTIF($S$5:$S1136,WkStart),""))</f>
        <v/>
      </c>
    </row>
    <row r="1137">
      <c r="A1137" s="16">
        <f>IF($B1137="","",ROW()-4)</f>
        <v/>
      </c>
      <c r="B1137" s="17" t="n"/>
      <c r="C1137" s="18" t="n"/>
      <c r="D1137" s="18" t="n"/>
      <c r="E1137" s="19" t="n"/>
      <c r="F1137" s="19" t="n"/>
      <c r="G1137" s="18" t="n"/>
      <c r="H1137" s="18" t="n"/>
      <c r="I1137" s="18" t="n"/>
      <c r="J1137" s="20" t="n"/>
      <c r="K1137" s="21" t="n"/>
      <c r="L1137" s="21" t="n"/>
      <c r="M1137" s="18" t="n"/>
      <c r="N1137" s="22">
        <f>IF($B1137="","",CHOOSE(WEEKDAY($B1137),"الأحد","الاثنين","الثلاثاء","الأربعاء","الخميس","الجمعة","السبت"))</f>
        <v/>
      </c>
      <c r="O1137" s="23">
        <f>IF(OR($K1137="",$L1137=""),"",HYPERLINK("https://maps.google.com/?q="&amp;$K1137&amp;","&amp;$L1137,"عرض الموقع"))</f>
        <v/>
      </c>
      <c r="P1137" s="23">
        <f>IF(OR($B1137="",N($J1137)=0),"",HYPERLINK(PhotoDir&amp;"/"&amp;YEAR($B1137)&amp;"-"&amp;TEXT(MONTH($B1137),"00")&amp;"-"&amp;TEXT(DAY($B1137),"00")&amp;"_"&amp;$D1137,"فتح الصور ("&amp;$J1137&amp;")"))</f>
        <v/>
      </c>
      <c r="Q1137" s="24">
        <f>IF($B1137="","",MONTH($B1137))</f>
        <v/>
      </c>
      <c r="R1137" s="24">
        <f>IF($B1137="","",YEAR($B1137))</f>
        <v/>
      </c>
      <c r="S1137" s="25">
        <f>IF($B1137="","",$B1137-WEEKDAY($B1137,3))</f>
        <v/>
      </c>
      <c r="T1137" s="24">
        <f>IF($B1137="",0,IF(COUNTIFS($B$5:$B1137,$B1137,$D$5:$D1137,$D1137)=1,1,0))</f>
        <v/>
      </c>
      <c r="U1137" s="24">
        <f>IF($B1137="",0,IF(COUNTIFS($B$5:$B1137,$B1137,$C$5:$C1137,$C1137)=1,1,0))</f>
        <v/>
      </c>
      <c r="V1137" s="24">
        <f>IF(OR($B1137="",$G1137="",$G1137="لا توجد مشاهدات"),0,1)</f>
        <v/>
      </c>
      <c r="W1137" s="24">
        <f>IF(AND($B1137&lt;&gt;"",$I1137="تم تحرير مخالفة"),1,0)</f>
        <v/>
      </c>
      <c r="X1137" s="24">
        <f>IF($B1137="","",IF($S1137=WkStart,COUNTIF($S$5:$S1137,WkStart),""))</f>
        <v/>
      </c>
    </row>
    <row r="1138">
      <c r="A1138" s="16">
        <f>IF($B1138="","",ROW()-4)</f>
        <v/>
      </c>
      <c r="B1138" s="17" t="n"/>
      <c r="C1138" s="18" t="n"/>
      <c r="D1138" s="18" t="n"/>
      <c r="E1138" s="19" t="n"/>
      <c r="F1138" s="19" t="n"/>
      <c r="G1138" s="18" t="n"/>
      <c r="H1138" s="18" t="n"/>
      <c r="I1138" s="18" t="n"/>
      <c r="J1138" s="20" t="n"/>
      <c r="K1138" s="21" t="n"/>
      <c r="L1138" s="21" t="n"/>
      <c r="M1138" s="18" t="n"/>
      <c r="N1138" s="22">
        <f>IF($B1138="","",CHOOSE(WEEKDAY($B1138),"الأحد","الاثنين","الثلاثاء","الأربعاء","الخميس","الجمعة","السبت"))</f>
        <v/>
      </c>
      <c r="O1138" s="23">
        <f>IF(OR($K1138="",$L1138=""),"",HYPERLINK("https://maps.google.com/?q="&amp;$K1138&amp;","&amp;$L1138,"عرض الموقع"))</f>
        <v/>
      </c>
      <c r="P1138" s="23">
        <f>IF(OR($B1138="",N($J1138)=0),"",HYPERLINK(PhotoDir&amp;"/"&amp;YEAR($B1138)&amp;"-"&amp;TEXT(MONTH($B1138),"00")&amp;"-"&amp;TEXT(DAY($B1138),"00")&amp;"_"&amp;$D1138,"فتح الصور ("&amp;$J1138&amp;")"))</f>
        <v/>
      </c>
      <c r="Q1138" s="24">
        <f>IF($B1138="","",MONTH($B1138))</f>
        <v/>
      </c>
      <c r="R1138" s="24">
        <f>IF($B1138="","",YEAR($B1138))</f>
        <v/>
      </c>
      <c r="S1138" s="25">
        <f>IF($B1138="","",$B1138-WEEKDAY($B1138,3))</f>
        <v/>
      </c>
      <c r="T1138" s="24">
        <f>IF($B1138="",0,IF(COUNTIFS($B$5:$B1138,$B1138,$D$5:$D1138,$D1138)=1,1,0))</f>
        <v/>
      </c>
      <c r="U1138" s="24">
        <f>IF($B1138="",0,IF(COUNTIFS($B$5:$B1138,$B1138,$C$5:$C1138,$C1138)=1,1,0))</f>
        <v/>
      </c>
      <c r="V1138" s="24">
        <f>IF(OR($B1138="",$G1138="",$G1138="لا توجد مشاهدات"),0,1)</f>
        <v/>
      </c>
      <c r="W1138" s="24">
        <f>IF(AND($B1138&lt;&gt;"",$I1138="تم تحرير مخالفة"),1,0)</f>
        <v/>
      </c>
      <c r="X1138" s="24">
        <f>IF($B1138="","",IF($S1138=WkStart,COUNTIF($S$5:$S1138,WkStart),""))</f>
        <v/>
      </c>
    </row>
    <row r="1139">
      <c r="A1139" s="16">
        <f>IF($B1139="","",ROW()-4)</f>
        <v/>
      </c>
      <c r="B1139" s="17" t="n"/>
      <c r="C1139" s="18" t="n"/>
      <c r="D1139" s="18" t="n"/>
      <c r="E1139" s="19" t="n"/>
      <c r="F1139" s="19" t="n"/>
      <c r="G1139" s="18" t="n"/>
      <c r="H1139" s="18" t="n"/>
      <c r="I1139" s="18" t="n"/>
      <c r="J1139" s="20" t="n"/>
      <c r="K1139" s="21" t="n"/>
      <c r="L1139" s="21" t="n"/>
      <c r="M1139" s="18" t="n"/>
      <c r="N1139" s="22">
        <f>IF($B1139="","",CHOOSE(WEEKDAY($B1139),"الأحد","الاثنين","الثلاثاء","الأربعاء","الخميس","الجمعة","السبت"))</f>
        <v/>
      </c>
      <c r="O1139" s="23">
        <f>IF(OR($K1139="",$L1139=""),"",HYPERLINK("https://maps.google.com/?q="&amp;$K1139&amp;","&amp;$L1139,"عرض الموقع"))</f>
        <v/>
      </c>
      <c r="P1139" s="23">
        <f>IF(OR($B1139="",N($J1139)=0),"",HYPERLINK(PhotoDir&amp;"/"&amp;YEAR($B1139)&amp;"-"&amp;TEXT(MONTH($B1139),"00")&amp;"-"&amp;TEXT(DAY($B1139),"00")&amp;"_"&amp;$D1139,"فتح الصور ("&amp;$J1139&amp;")"))</f>
        <v/>
      </c>
      <c r="Q1139" s="24">
        <f>IF($B1139="","",MONTH($B1139))</f>
        <v/>
      </c>
      <c r="R1139" s="24">
        <f>IF($B1139="","",YEAR($B1139))</f>
        <v/>
      </c>
      <c r="S1139" s="25">
        <f>IF($B1139="","",$B1139-WEEKDAY($B1139,3))</f>
        <v/>
      </c>
      <c r="T1139" s="24">
        <f>IF($B1139="",0,IF(COUNTIFS($B$5:$B1139,$B1139,$D$5:$D1139,$D1139)=1,1,0))</f>
        <v/>
      </c>
      <c r="U1139" s="24">
        <f>IF($B1139="",0,IF(COUNTIFS($B$5:$B1139,$B1139,$C$5:$C1139,$C1139)=1,1,0))</f>
        <v/>
      </c>
      <c r="V1139" s="24">
        <f>IF(OR($B1139="",$G1139="",$G1139="لا توجد مشاهدات"),0,1)</f>
        <v/>
      </c>
      <c r="W1139" s="24">
        <f>IF(AND($B1139&lt;&gt;"",$I1139="تم تحرير مخالفة"),1,0)</f>
        <v/>
      </c>
      <c r="X1139" s="24">
        <f>IF($B1139="","",IF($S1139=WkStart,COUNTIF($S$5:$S1139,WkStart),""))</f>
        <v/>
      </c>
    </row>
    <row r="1140">
      <c r="A1140" s="16">
        <f>IF($B1140="","",ROW()-4)</f>
        <v/>
      </c>
      <c r="B1140" s="17" t="n"/>
      <c r="C1140" s="18" t="n"/>
      <c r="D1140" s="18" t="n"/>
      <c r="E1140" s="19" t="n"/>
      <c r="F1140" s="19" t="n"/>
      <c r="G1140" s="18" t="n"/>
      <c r="H1140" s="18" t="n"/>
      <c r="I1140" s="18" t="n"/>
      <c r="J1140" s="20" t="n"/>
      <c r="K1140" s="21" t="n"/>
      <c r="L1140" s="21" t="n"/>
      <c r="M1140" s="18" t="n"/>
      <c r="N1140" s="22">
        <f>IF($B1140="","",CHOOSE(WEEKDAY($B1140),"الأحد","الاثنين","الثلاثاء","الأربعاء","الخميس","الجمعة","السبت"))</f>
        <v/>
      </c>
      <c r="O1140" s="23">
        <f>IF(OR($K1140="",$L1140=""),"",HYPERLINK("https://maps.google.com/?q="&amp;$K1140&amp;","&amp;$L1140,"عرض الموقع"))</f>
        <v/>
      </c>
      <c r="P1140" s="23">
        <f>IF(OR($B1140="",N($J1140)=0),"",HYPERLINK(PhotoDir&amp;"/"&amp;YEAR($B1140)&amp;"-"&amp;TEXT(MONTH($B1140),"00")&amp;"-"&amp;TEXT(DAY($B1140),"00")&amp;"_"&amp;$D1140,"فتح الصور ("&amp;$J1140&amp;")"))</f>
        <v/>
      </c>
      <c r="Q1140" s="24">
        <f>IF($B1140="","",MONTH($B1140))</f>
        <v/>
      </c>
      <c r="R1140" s="24">
        <f>IF($B1140="","",YEAR($B1140))</f>
        <v/>
      </c>
      <c r="S1140" s="25">
        <f>IF($B1140="","",$B1140-WEEKDAY($B1140,3))</f>
        <v/>
      </c>
      <c r="T1140" s="24">
        <f>IF($B1140="",0,IF(COUNTIFS($B$5:$B1140,$B1140,$D$5:$D1140,$D1140)=1,1,0))</f>
        <v/>
      </c>
      <c r="U1140" s="24">
        <f>IF($B1140="",0,IF(COUNTIFS($B$5:$B1140,$B1140,$C$5:$C1140,$C1140)=1,1,0))</f>
        <v/>
      </c>
      <c r="V1140" s="24">
        <f>IF(OR($B1140="",$G1140="",$G1140="لا توجد مشاهدات"),0,1)</f>
        <v/>
      </c>
      <c r="W1140" s="24">
        <f>IF(AND($B1140&lt;&gt;"",$I1140="تم تحرير مخالفة"),1,0)</f>
        <v/>
      </c>
      <c r="X1140" s="24">
        <f>IF($B1140="","",IF($S1140=WkStart,COUNTIF($S$5:$S1140,WkStart),""))</f>
        <v/>
      </c>
    </row>
    <row r="1141">
      <c r="A1141" s="16">
        <f>IF($B1141="","",ROW()-4)</f>
        <v/>
      </c>
      <c r="B1141" s="17" t="n"/>
      <c r="C1141" s="18" t="n"/>
      <c r="D1141" s="18" t="n"/>
      <c r="E1141" s="19" t="n"/>
      <c r="F1141" s="19" t="n"/>
      <c r="G1141" s="18" t="n"/>
      <c r="H1141" s="18" t="n"/>
      <c r="I1141" s="18" t="n"/>
      <c r="J1141" s="20" t="n"/>
      <c r="K1141" s="21" t="n"/>
      <c r="L1141" s="21" t="n"/>
      <c r="M1141" s="18" t="n"/>
      <c r="N1141" s="22">
        <f>IF($B1141="","",CHOOSE(WEEKDAY($B1141),"الأحد","الاثنين","الثلاثاء","الأربعاء","الخميس","الجمعة","السبت"))</f>
        <v/>
      </c>
      <c r="O1141" s="23">
        <f>IF(OR($K1141="",$L1141=""),"",HYPERLINK("https://maps.google.com/?q="&amp;$K1141&amp;","&amp;$L1141,"عرض الموقع"))</f>
        <v/>
      </c>
      <c r="P1141" s="23">
        <f>IF(OR($B1141="",N($J1141)=0),"",HYPERLINK(PhotoDir&amp;"/"&amp;YEAR($B1141)&amp;"-"&amp;TEXT(MONTH($B1141),"00")&amp;"-"&amp;TEXT(DAY($B1141),"00")&amp;"_"&amp;$D1141,"فتح الصور ("&amp;$J1141&amp;")"))</f>
        <v/>
      </c>
      <c r="Q1141" s="24">
        <f>IF($B1141="","",MONTH($B1141))</f>
        <v/>
      </c>
      <c r="R1141" s="24">
        <f>IF($B1141="","",YEAR($B1141))</f>
        <v/>
      </c>
      <c r="S1141" s="25">
        <f>IF($B1141="","",$B1141-WEEKDAY($B1141,3))</f>
        <v/>
      </c>
      <c r="T1141" s="24">
        <f>IF($B1141="",0,IF(COUNTIFS($B$5:$B1141,$B1141,$D$5:$D1141,$D1141)=1,1,0))</f>
        <v/>
      </c>
      <c r="U1141" s="24">
        <f>IF($B1141="",0,IF(COUNTIFS($B$5:$B1141,$B1141,$C$5:$C1141,$C1141)=1,1,0))</f>
        <v/>
      </c>
      <c r="V1141" s="24">
        <f>IF(OR($B1141="",$G1141="",$G1141="لا توجد مشاهدات"),0,1)</f>
        <v/>
      </c>
      <c r="W1141" s="24">
        <f>IF(AND($B1141&lt;&gt;"",$I1141="تم تحرير مخالفة"),1,0)</f>
        <v/>
      </c>
      <c r="X1141" s="24">
        <f>IF($B1141="","",IF($S1141=WkStart,COUNTIF($S$5:$S1141,WkStart),""))</f>
        <v/>
      </c>
    </row>
    <row r="1142">
      <c r="A1142" s="16">
        <f>IF($B1142="","",ROW()-4)</f>
        <v/>
      </c>
      <c r="B1142" s="17" t="n"/>
      <c r="C1142" s="18" t="n"/>
      <c r="D1142" s="18" t="n"/>
      <c r="E1142" s="19" t="n"/>
      <c r="F1142" s="19" t="n"/>
      <c r="G1142" s="18" t="n"/>
      <c r="H1142" s="18" t="n"/>
      <c r="I1142" s="18" t="n"/>
      <c r="J1142" s="20" t="n"/>
      <c r="K1142" s="21" t="n"/>
      <c r="L1142" s="21" t="n"/>
      <c r="M1142" s="18" t="n"/>
      <c r="N1142" s="22">
        <f>IF($B1142="","",CHOOSE(WEEKDAY($B1142),"الأحد","الاثنين","الثلاثاء","الأربعاء","الخميس","الجمعة","السبت"))</f>
        <v/>
      </c>
      <c r="O1142" s="23">
        <f>IF(OR($K1142="",$L1142=""),"",HYPERLINK("https://maps.google.com/?q="&amp;$K1142&amp;","&amp;$L1142,"عرض الموقع"))</f>
        <v/>
      </c>
      <c r="P1142" s="23">
        <f>IF(OR($B1142="",N($J1142)=0),"",HYPERLINK(PhotoDir&amp;"/"&amp;YEAR($B1142)&amp;"-"&amp;TEXT(MONTH($B1142),"00")&amp;"-"&amp;TEXT(DAY($B1142),"00")&amp;"_"&amp;$D1142,"فتح الصور ("&amp;$J1142&amp;")"))</f>
        <v/>
      </c>
      <c r="Q1142" s="24">
        <f>IF($B1142="","",MONTH($B1142))</f>
        <v/>
      </c>
      <c r="R1142" s="24">
        <f>IF($B1142="","",YEAR($B1142))</f>
        <v/>
      </c>
      <c r="S1142" s="25">
        <f>IF($B1142="","",$B1142-WEEKDAY($B1142,3))</f>
        <v/>
      </c>
      <c r="T1142" s="24">
        <f>IF($B1142="",0,IF(COUNTIFS($B$5:$B1142,$B1142,$D$5:$D1142,$D1142)=1,1,0))</f>
        <v/>
      </c>
      <c r="U1142" s="24">
        <f>IF($B1142="",0,IF(COUNTIFS($B$5:$B1142,$B1142,$C$5:$C1142,$C1142)=1,1,0))</f>
        <v/>
      </c>
      <c r="V1142" s="24">
        <f>IF(OR($B1142="",$G1142="",$G1142="لا توجد مشاهدات"),0,1)</f>
        <v/>
      </c>
      <c r="W1142" s="24">
        <f>IF(AND($B1142&lt;&gt;"",$I1142="تم تحرير مخالفة"),1,0)</f>
        <v/>
      </c>
      <c r="X1142" s="24">
        <f>IF($B1142="","",IF($S1142=WkStart,COUNTIF($S$5:$S1142,WkStart),""))</f>
        <v/>
      </c>
    </row>
    <row r="1143">
      <c r="A1143" s="16">
        <f>IF($B1143="","",ROW()-4)</f>
        <v/>
      </c>
      <c r="B1143" s="17" t="n"/>
      <c r="C1143" s="18" t="n"/>
      <c r="D1143" s="18" t="n"/>
      <c r="E1143" s="19" t="n"/>
      <c r="F1143" s="19" t="n"/>
      <c r="G1143" s="18" t="n"/>
      <c r="H1143" s="18" t="n"/>
      <c r="I1143" s="18" t="n"/>
      <c r="J1143" s="20" t="n"/>
      <c r="K1143" s="21" t="n"/>
      <c r="L1143" s="21" t="n"/>
      <c r="M1143" s="18" t="n"/>
      <c r="N1143" s="22">
        <f>IF($B1143="","",CHOOSE(WEEKDAY($B1143),"الأحد","الاثنين","الثلاثاء","الأربعاء","الخميس","الجمعة","السبت"))</f>
        <v/>
      </c>
      <c r="O1143" s="23">
        <f>IF(OR($K1143="",$L1143=""),"",HYPERLINK("https://maps.google.com/?q="&amp;$K1143&amp;","&amp;$L1143,"عرض الموقع"))</f>
        <v/>
      </c>
      <c r="P1143" s="23">
        <f>IF(OR($B1143="",N($J1143)=0),"",HYPERLINK(PhotoDir&amp;"/"&amp;YEAR($B1143)&amp;"-"&amp;TEXT(MONTH($B1143),"00")&amp;"-"&amp;TEXT(DAY($B1143),"00")&amp;"_"&amp;$D1143,"فتح الصور ("&amp;$J1143&amp;")"))</f>
        <v/>
      </c>
      <c r="Q1143" s="24">
        <f>IF($B1143="","",MONTH($B1143))</f>
        <v/>
      </c>
      <c r="R1143" s="24">
        <f>IF($B1143="","",YEAR($B1143))</f>
        <v/>
      </c>
      <c r="S1143" s="25">
        <f>IF($B1143="","",$B1143-WEEKDAY($B1143,3))</f>
        <v/>
      </c>
      <c r="T1143" s="24">
        <f>IF($B1143="",0,IF(COUNTIFS($B$5:$B1143,$B1143,$D$5:$D1143,$D1143)=1,1,0))</f>
        <v/>
      </c>
      <c r="U1143" s="24">
        <f>IF($B1143="",0,IF(COUNTIFS($B$5:$B1143,$B1143,$C$5:$C1143,$C1143)=1,1,0))</f>
        <v/>
      </c>
      <c r="V1143" s="24">
        <f>IF(OR($B1143="",$G1143="",$G1143="لا توجد مشاهدات"),0,1)</f>
        <v/>
      </c>
      <c r="W1143" s="24">
        <f>IF(AND($B1143&lt;&gt;"",$I1143="تم تحرير مخالفة"),1,0)</f>
        <v/>
      </c>
      <c r="X1143" s="24">
        <f>IF($B1143="","",IF($S1143=WkStart,COUNTIF($S$5:$S1143,WkStart),""))</f>
        <v/>
      </c>
    </row>
    <row r="1144">
      <c r="A1144" s="16">
        <f>IF($B1144="","",ROW()-4)</f>
        <v/>
      </c>
      <c r="B1144" s="17" t="n"/>
      <c r="C1144" s="18" t="n"/>
      <c r="D1144" s="18" t="n"/>
      <c r="E1144" s="19" t="n"/>
      <c r="F1144" s="19" t="n"/>
      <c r="G1144" s="18" t="n"/>
      <c r="H1144" s="18" t="n"/>
      <c r="I1144" s="18" t="n"/>
      <c r="J1144" s="20" t="n"/>
      <c r="K1144" s="21" t="n"/>
      <c r="L1144" s="21" t="n"/>
      <c r="M1144" s="18" t="n"/>
      <c r="N1144" s="22">
        <f>IF($B1144="","",CHOOSE(WEEKDAY($B1144),"الأحد","الاثنين","الثلاثاء","الأربعاء","الخميس","الجمعة","السبت"))</f>
        <v/>
      </c>
      <c r="O1144" s="23">
        <f>IF(OR($K1144="",$L1144=""),"",HYPERLINK("https://maps.google.com/?q="&amp;$K1144&amp;","&amp;$L1144,"عرض الموقع"))</f>
        <v/>
      </c>
      <c r="P1144" s="23">
        <f>IF(OR($B1144="",N($J1144)=0),"",HYPERLINK(PhotoDir&amp;"/"&amp;YEAR($B1144)&amp;"-"&amp;TEXT(MONTH($B1144),"00")&amp;"-"&amp;TEXT(DAY($B1144),"00")&amp;"_"&amp;$D1144,"فتح الصور ("&amp;$J1144&amp;")"))</f>
        <v/>
      </c>
      <c r="Q1144" s="24">
        <f>IF($B1144="","",MONTH($B1144))</f>
        <v/>
      </c>
      <c r="R1144" s="24">
        <f>IF($B1144="","",YEAR($B1144))</f>
        <v/>
      </c>
      <c r="S1144" s="25">
        <f>IF($B1144="","",$B1144-WEEKDAY($B1144,3))</f>
        <v/>
      </c>
      <c r="T1144" s="24">
        <f>IF($B1144="",0,IF(COUNTIFS($B$5:$B1144,$B1144,$D$5:$D1144,$D1144)=1,1,0))</f>
        <v/>
      </c>
      <c r="U1144" s="24">
        <f>IF($B1144="",0,IF(COUNTIFS($B$5:$B1144,$B1144,$C$5:$C1144,$C1144)=1,1,0))</f>
        <v/>
      </c>
      <c r="V1144" s="24">
        <f>IF(OR($B1144="",$G1144="",$G1144="لا توجد مشاهدات"),0,1)</f>
        <v/>
      </c>
      <c r="W1144" s="24">
        <f>IF(AND($B1144&lt;&gt;"",$I1144="تم تحرير مخالفة"),1,0)</f>
        <v/>
      </c>
      <c r="X1144" s="24">
        <f>IF($B1144="","",IF($S1144=WkStart,COUNTIF($S$5:$S1144,WkStart),""))</f>
        <v/>
      </c>
    </row>
    <row r="1145">
      <c r="A1145" s="16">
        <f>IF($B1145="","",ROW()-4)</f>
        <v/>
      </c>
      <c r="B1145" s="17" t="n"/>
      <c r="C1145" s="18" t="n"/>
      <c r="D1145" s="18" t="n"/>
      <c r="E1145" s="19" t="n"/>
      <c r="F1145" s="19" t="n"/>
      <c r="G1145" s="18" t="n"/>
      <c r="H1145" s="18" t="n"/>
      <c r="I1145" s="18" t="n"/>
      <c r="J1145" s="20" t="n"/>
      <c r="K1145" s="21" t="n"/>
      <c r="L1145" s="21" t="n"/>
      <c r="M1145" s="18" t="n"/>
      <c r="N1145" s="22">
        <f>IF($B1145="","",CHOOSE(WEEKDAY($B1145),"الأحد","الاثنين","الثلاثاء","الأربعاء","الخميس","الجمعة","السبت"))</f>
        <v/>
      </c>
      <c r="O1145" s="23">
        <f>IF(OR($K1145="",$L1145=""),"",HYPERLINK("https://maps.google.com/?q="&amp;$K1145&amp;","&amp;$L1145,"عرض الموقع"))</f>
        <v/>
      </c>
      <c r="P1145" s="23">
        <f>IF(OR($B1145="",N($J1145)=0),"",HYPERLINK(PhotoDir&amp;"/"&amp;YEAR($B1145)&amp;"-"&amp;TEXT(MONTH($B1145),"00")&amp;"-"&amp;TEXT(DAY($B1145),"00")&amp;"_"&amp;$D1145,"فتح الصور ("&amp;$J1145&amp;")"))</f>
        <v/>
      </c>
      <c r="Q1145" s="24">
        <f>IF($B1145="","",MONTH($B1145))</f>
        <v/>
      </c>
      <c r="R1145" s="24">
        <f>IF($B1145="","",YEAR($B1145))</f>
        <v/>
      </c>
      <c r="S1145" s="25">
        <f>IF($B1145="","",$B1145-WEEKDAY($B1145,3))</f>
        <v/>
      </c>
      <c r="T1145" s="24">
        <f>IF($B1145="",0,IF(COUNTIFS($B$5:$B1145,$B1145,$D$5:$D1145,$D1145)=1,1,0))</f>
        <v/>
      </c>
      <c r="U1145" s="24">
        <f>IF($B1145="",0,IF(COUNTIFS($B$5:$B1145,$B1145,$C$5:$C1145,$C1145)=1,1,0))</f>
        <v/>
      </c>
      <c r="V1145" s="24">
        <f>IF(OR($B1145="",$G1145="",$G1145="لا توجد مشاهدات"),0,1)</f>
        <v/>
      </c>
      <c r="W1145" s="24">
        <f>IF(AND($B1145&lt;&gt;"",$I1145="تم تحرير مخالفة"),1,0)</f>
        <v/>
      </c>
      <c r="X1145" s="24">
        <f>IF($B1145="","",IF($S1145=WkStart,COUNTIF($S$5:$S1145,WkStart),""))</f>
        <v/>
      </c>
    </row>
    <row r="1146">
      <c r="A1146" s="16">
        <f>IF($B1146="","",ROW()-4)</f>
        <v/>
      </c>
      <c r="B1146" s="17" t="n"/>
      <c r="C1146" s="18" t="n"/>
      <c r="D1146" s="18" t="n"/>
      <c r="E1146" s="19" t="n"/>
      <c r="F1146" s="19" t="n"/>
      <c r="G1146" s="18" t="n"/>
      <c r="H1146" s="18" t="n"/>
      <c r="I1146" s="18" t="n"/>
      <c r="J1146" s="20" t="n"/>
      <c r="K1146" s="21" t="n"/>
      <c r="L1146" s="21" t="n"/>
      <c r="M1146" s="18" t="n"/>
      <c r="N1146" s="22">
        <f>IF($B1146="","",CHOOSE(WEEKDAY($B1146),"الأحد","الاثنين","الثلاثاء","الأربعاء","الخميس","الجمعة","السبت"))</f>
        <v/>
      </c>
      <c r="O1146" s="23">
        <f>IF(OR($K1146="",$L1146=""),"",HYPERLINK("https://maps.google.com/?q="&amp;$K1146&amp;","&amp;$L1146,"عرض الموقع"))</f>
        <v/>
      </c>
      <c r="P1146" s="23">
        <f>IF(OR($B1146="",N($J1146)=0),"",HYPERLINK(PhotoDir&amp;"/"&amp;YEAR($B1146)&amp;"-"&amp;TEXT(MONTH($B1146),"00")&amp;"-"&amp;TEXT(DAY($B1146),"00")&amp;"_"&amp;$D1146,"فتح الصور ("&amp;$J1146&amp;")"))</f>
        <v/>
      </c>
      <c r="Q1146" s="24">
        <f>IF($B1146="","",MONTH($B1146))</f>
        <v/>
      </c>
      <c r="R1146" s="24">
        <f>IF($B1146="","",YEAR($B1146))</f>
        <v/>
      </c>
      <c r="S1146" s="25">
        <f>IF($B1146="","",$B1146-WEEKDAY($B1146,3))</f>
        <v/>
      </c>
      <c r="T1146" s="24">
        <f>IF($B1146="",0,IF(COUNTIFS($B$5:$B1146,$B1146,$D$5:$D1146,$D1146)=1,1,0))</f>
        <v/>
      </c>
      <c r="U1146" s="24">
        <f>IF($B1146="",0,IF(COUNTIFS($B$5:$B1146,$B1146,$C$5:$C1146,$C1146)=1,1,0))</f>
        <v/>
      </c>
      <c r="V1146" s="24">
        <f>IF(OR($B1146="",$G1146="",$G1146="لا توجد مشاهدات"),0,1)</f>
        <v/>
      </c>
      <c r="W1146" s="24">
        <f>IF(AND($B1146&lt;&gt;"",$I1146="تم تحرير مخالفة"),1,0)</f>
        <v/>
      </c>
      <c r="X1146" s="24">
        <f>IF($B1146="","",IF($S1146=WkStart,COUNTIF($S$5:$S1146,WkStart),""))</f>
        <v/>
      </c>
    </row>
    <row r="1147">
      <c r="A1147" s="16">
        <f>IF($B1147="","",ROW()-4)</f>
        <v/>
      </c>
      <c r="B1147" s="17" t="n"/>
      <c r="C1147" s="18" t="n"/>
      <c r="D1147" s="18" t="n"/>
      <c r="E1147" s="19" t="n"/>
      <c r="F1147" s="19" t="n"/>
      <c r="G1147" s="18" t="n"/>
      <c r="H1147" s="18" t="n"/>
      <c r="I1147" s="18" t="n"/>
      <c r="J1147" s="20" t="n"/>
      <c r="K1147" s="21" t="n"/>
      <c r="L1147" s="21" t="n"/>
      <c r="M1147" s="18" t="n"/>
      <c r="N1147" s="22">
        <f>IF($B1147="","",CHOOSE(WEEKDAY($B1147),"الأحد","الاثنين","الثلاثاء","الأربعاء","الخميس","الجمعة","السبت"))</f>
        <v/>
      </c>
      <c r="O1147" s="23">
        <f>IF(OR($K1147="",$L1147=""),"",HYPERLINK("https://maps.google.com/?q="&amp;$K1147&amp;","&amp;$L1147,"عرض الموقع"))</f>
        <v/>
      </c>
      <c r="P1147" s="23">
        <f>IF(OR($B1147="",N($J1147)=0),"",HYPERLINK(PhotoDir&amp;"/"&amp;YEAR($B1147)&amp;"-"&amp;TEXT(MONTH($B1147),"00")&amp;"-"&amp;TEXT(DAY($B1147),"00")&amp;"_"&amp;$D1147,"فتح الصور ("&amp;$J1147&amp;")"))</f>
        <v/>
      </c>
      <c r="Q1147" s="24">
        <f>IF($B1147="","",MONTH($B1147))</f>
        <v/>
      </c>
      <c r="R1147" s="24">
        <f>IF($B1147="","",YEAR($B1147))</f>
        <v/>
      </c>
      <c r="S1147" s="25">
        <f>IF($B1147="","",$B1147-WEEKDAY($B1147,3))</f>
        <v/>
      </c>
      <c r="T1147" s="24">
        <f>IF($B1147="",0,IF(COUNTIFS($B$5:$B1147,$B1147,$D$5:$D1147,$D1147)=1,1,0))</f>
        <v/>
      </c>
      <c r="U1147" s="24">
        <f>IF($B1147="",0,IF(COUNTIFS($B$5:$B1147,$B1147,$C$5:$C1147,$C1147)=1,1,0))</f>
        <v/>
      </c>
      <c r="V1147" s="24">
        <f>IF(OR($B1147="",$G1147="",$G1147="لا توجد مشاهدات"),0,1)</f>
        <v/>
      </c>
      <c r="W1147" s="24">
        <f>IF(AND($B1147&lt;&gt;"",$I1147="تم تحرير مخالفة"),1,0)</f>
        <v/>
      </c>
      <c r="X1147" s="24">
        <f>IF($B1147="","",IF($S1147=WkStart,COUNTIF($S$5:$S1147,WkStart),""))</f>
        <v/>
      </c>
    </row>
    <row r="1148">
      <c r="A1148" s="16">
        <f>IF($B1148="","",ROW()-4)</f>
        <v/>
      </c>
      <c r="B1148" s="17" t="n"/>
      <c r="C1148" s="18" t="n"/>
      <c r="D1148" s="18" t="n"/>
      <c r="E1148" s="19" t="n"/>
      <c r="F1148" s="19" t="n"/>
      <c r="G1148" s="18" t="n"/>
      <c r="H1148" s="18" t="n"/>
      <c r="I1148" s="18" t="n"/>
      <c r="J1148" s="20" t="n"/>
      <c r="K1148" s="21" t="n"/>
      <c r="L1148" s="21" t="n"/>
      <c r="M1148" s="18" t="n"/>
      <c r="N1148" s="22">
        <f>IF($B1148="","",CHOOSE(WEEKDAY($B1148),"الأحد","الاثنين","الثلاثاء","الأربعاء","الخميس","الجمعة","السبت"))</f>
        <v/>
      </c>
      <c r="O1148" s="23">
        <f>IF(OR($K1148="",$L1148=""),"",HYPERLINK("https://maps.google.com/?q="&amp;$K1148&amp;","&amp;$L1148,"عرض الموقع"))</f>
        <v/>
      </c>
      <c r="P1148" s="23">
        <f>IF(OR($B1148="",N($J1148)=0),"",HYPERLINK(PhotoDir&amp;"/"&amp;YEAR($B1148)&amp;"-"&amp;TEXT(MONTH($B1148),"00")&amp;"-"&amp;TEXT(DAY($B1148),"00")&amp;"_"&amp;$D1148,"فتح الصور ("&amp;$J1148&amp;")"))</f>
        <v/>
      </c>
      <c r="Q1148" s="24">
        <f>IF($B1148="","",MONTH($B1148))</f>
        <v/>
      </c>
      <c r="R1148" s="24">
        <f>IF($B1148="","",YEAR($B1148))</f>
        <v/>
      </c>
      <c r="S1148" s="25">
        <f>IF($B1148="","",$B1148-WEEKDAY($B1148,3))</f>
        <v/>
      </c>
      <c r="T1148" s="24">
        <f>IF($B1148="",0,IF(COUNTIFS($B$5:$B1148,$B1148,$D$5:$D1148,$D1148)=1,1,0))</f>
        <v/>
      </c>
      <c r="U1148" s="24">
        <f>IF($B1148="",0,IF(COUNTIFS($B$5:$B1148,$B1148,$C$5:$C1148,$C1148)=1,1,0))</f>
        <v/>
      </c>
      <c r="V1148" s="24">
        <f>IF(OR($B1148="",$G1148="",$G1148="لا توجد مشاهدات"),0,1)</f>
        <v/>
      </c>
      <c r="W1148" s="24">
        <f>IF(AND($B1148&lt;&gt;"",$I1148="تم تحرير مخالفة"),1,0)</f>
        <v/>
      </c>
      <c r="X1148" s="24">
        <f>IF($B1148="","",IF($S1148=WkStart,COUNTIF($S$5:$S1148,WkStart),""))</f>
        <v/>
      </c>
    </row>
    <row r="1149">
      <c r="A1149" s="16">
        <f>IF($B1149="","",ROW()-4)</f>
        <v/>
      </c>
      <c r="B1149" s="17" t="n"/>
      <c r="C1149" s="18" t="n"/>
      <c r="D1149" s="18" t="n"/>
      <c r="E1149" s="19" t="n"/>
      <c r="F1149" s="19" t="n"/>
      <c r="G1149" s="18" t="n"/>
      <c r="H1149" s="18" t="n"/>
      <c r="I1149" s="18" t="n"/>
      <c r="J1149" s="20" t="n"/>
      <c r="K1149" s="21" t="n"/>
      <c r="L1149" s="21" t="n"/>
      <c r="M1149" s="18" t="n"/>
      <c r="N1149" s="22">
        <f>IF($B1149="","",CHOOSE(WEEKDAY($B1149),"الأحد","الاثنين","الثلاثاء","الأربعاء","الخميس","الجمعة","السبت"))</f>
        <v/>
      </c>
      <c r="O1149" s="23">
        <f>IF(OR($K1149="",$L1149=""),"",HYPERLINK("https://maps.google.com/?q="&amp;$K1149&amp;","&amp;$L1149,"عرض الموقع"))</f>
        <v/>
      </c>
      <c r="P1149" s="23">
        <f>IF(OR($B1149="",N($J1149)=0),"",HYPERLINK(PhotoDir&amp;"/"&amp;YEAR($B1149)&amp;"-"&amp;TEXT(MONTH($B1149),"00")&amp;"-"&amp;TEXT(DAY($B1149),"00")&amp;"_"&amp;$D1149,"فتح الصور ("&amp;$J1149&amp;")"))</f>
        <v/>
      </c>
      <c r="Q1149" s="24">
        <f>IF($B1149="","",MONTH($B1149))</f>
        <v/>
      </c>
      <c r="R1149" s="24">
        <f>IF($B1149="","",YEAR($B1149))</f>
        <v/>
      </c>
      <c r="S1149" s="25">
        <f>IF($B1149="","",$B1149-WEEKDAY($B1149,3))</f>
        <v/>
      </c>
      <c r="T1149" s="24">
        <f>IF($B1149="",0,IF(COUNTIFS($B$5:$B1149,$B1149,$D$5:$D1149,$D1149)=1,1,0))</f>
        <v/>
      </c>
      <c r="U1149" s="24">
        <f>IF($B1149="",0,IF(COUNTIFS($B$5:$B1149,$B1149,$C$5:$C1149,$C1149)=1,1,0))</f>
        <v/>
      </c>
      <c r="V1149" s="24">
        <f>IF(OR($B1149="",$G1149="",$G1149="لا توجد مشاهدات"),0,1)</f>
        <v/>
      </c>
      <c r="W1149" s="24">
        <f>IF(AND($B1149&lt;&gt;"",$I1149="تم تحرير مخالفة"),1,0)</f>
        <v/>
      </c>
      <c r="X1149" s="24">
        <f>IF($B1149="","",IF($S1149=WkStart,COUNTIF($S$5:$S1149,WkStart),""))</f>
        <v/>
      </c>
    </row>
    <row r="1150">
      <c r="A1150" s="16">
        <f>IF($B1150="","",ROW()-4)</f>
        <v/>
      </c>
      <c r="B1150" s="17" t="n"/>
      <c r="C1150" s="18" t="n"/>
      <c r="D1150" s="18" t="n"/>
      <c r="E1150" s="19" t="n"/>
      <c r="F1150" s="19" t="n"/>
      <c r="G1150" s="18" t="n"/>
      <c r="H1150" s="18" t="n"/>
      <c r="I1150" s="18" t="n"/>
      <c r="J1150" s="20" t="n"/>
      <c r="K1150" s="21" t="n"/>
      <c r="L1150" s="21" t="n"/>
      <c r="M1150" s="18" t="n"/>
      <c r="N1150" s="22">
        <f>IF($B1150="","",CHOOSE(WEEKDAY($B1150),"الأحد","الاثنين","الثلاثاء","الأربعاء","الخميس","الجمعة","السبت"))</f>
        <v/>
      </c>
      <c r="O1150" s="23">
        <f>IF(OR($K1150="",$L1150=""),"",HYPERLINK("https://maps.google.com/?q="&amp;$K1150&amp;","&amp;$L1150,"عرض الموقع"))</f>
        <v/>
      </c>
      <c r="P1150" s="23">
        <f>IF(OR($B1150="",N($J1150)=0),"",HYPERLINK(PhotoDir&amp;"/"&amp;YEAR($B1150)&amp;"-"&amp;TEXT(MONTH($B1150),"00")&amp;"-"&amp;TEXT(DAY($B1150),"00")&amp;"_"&amp;$D1150,"فتح الصور ("&amp;$J1150&amp;")"))</f>
        <v/>
      </c>
      <c r="Q1150" s="24">
        <f>IF($B1150="","",MONTH($B1150))</f>
        <v/>
      </c>
      <c r="R1150" s="24">
        <f>IF($B1150="","",YEAR($B1150))</f>
        <v/>
      </c>
      <c r="S1150" s="25">
        <f>IF($B1150="","",$B1150-WEEKDAY($B1150,3))</f>
        <v/>
      </c>
      <c r="T1150" s="24">
        <f>IF($B1150="",0,IF(COUNTIFS($B$5:$B1150,$B1150,$D$5:$D1150,$D1150)=1,1,0))</f>
        <v/>
      </c>
      <c r="U1150" s="24">
        <f>IF($B1150="",0,IF(COUNTIFS($B$5:$B1150,$B1150,$C$5:$C1150,$C1150)=1,1,0))</f>
        <v/>
      </c>
      <c r="V1150" s="24">
        <f>IF(OR($B1150="",$G1150="",$G1150="لا توجد مشاهدات"),0,1)</f>
        <v/>
      </c>
      <c r="W1150" s="24">
        <f>IF(AND($B1150&lt;&gt;"",$I1150="تم تحرير مخالفة"),1,0)</f>
        <v/>
      </c>
      <c r="X1150" s="24">
        <f>IF($B1150="","",IF($S1150=WkStart,COUNTIF($S$5:$S1150,WkStart),""))</f>
        <v/>
      </c>
    </row>
    <row r="1151">
      <c r="A1151" s="16">
        <f>IF($B1151="","",ROW()-4)</f>
        <v/>
      </c>
      <c r="B1151" s="17" t="n"/>
      <c r="C1151" s="18" t="n"/>
      <c r="D1151" s="18" t="n"/>
      <c r="E1151" s="19" t="n"/>
      <c r="F1151" s="19" t="n"/>
      <c r="G1151" s="18" t="n"/>
      <c r="H1151" s="18" t="n"/>
      <c r="I1151" s="18" t="n"/>
      <c r="J1151" s="20" t="n"/>
      <c r="K1151" s="21" t="n"/>
      <c r="L1151" s="21" t="n"/>
      <c r="M1151" s="18" t="n"/>
      <c r="N1151" s="22">
        <f>IF($B1151="","",CHOOSE(WEEKDAY($B1151),"الأحد","الاثنين","الثلاثاء","الأربعاء","الخميس","الجمعة","السبت"))</f>
        <v/>
      </c>
      <c r="O1151" s="23">
        <f>IF(OR($K1151="",$L1151=""),"",HYPERLINK("https://maps.google.com/?q="&amp;$K1151&amp;","&amp;$L1151,"عرض الموقع"))</f>
        <v/>
      </c>
      <c r="P1151" s="23">
        <f>IF(OR($B1151="",N($J1151)=0),"",HYPERLINK(PhotoDir&amp;"/"&amp;YEAR($B1151)&amp;"-"&amp;TEXT(MONTH($B1151),"00")&amp;"-"&amp;TEXT(DAY($B1151),"00")&amp;"_"&amp;$D1151,"فتح الصور ("&amp;$J1151&amp;")"))</f>
        <v/>
      </c>
      <c r="Q1151" s="24">
        <f>IF($B1151="","",MONTH($B1151))</f>
        <v/>
      </c>
      <c r="R1151" s="24">
        <f>IF($B1151="","",YEAR($B1151))</f>
        <v/>
      </c>
      <c r="S1151" s="25">
        <f>IF($B1151="","",$B1151-WEEKDAY($B1151,3))</f>
        <v/>
      </c>
      <c r="T1151" s="24">
        <f>IF($B1151="",0,IF(COUNTIFS($B$5:$B1151,$B1151,$D$5:$D1151,$D1151)=1,1,0))</f>
        <v/>
      </c>
      <c r="U1151" s="24">
        <f>IF($B1151="",0,IF(COUNTIFS($B$5:$B1151,$B1151,$C$5:$C1151,$C1151)=1,1,0))</f>
        <v/>
      </c>
      <c r="V1151" s="24">
        <f>IF(OR($B1151="",$G1151="",$G1151="لا توجد مشاهدات"),0,1)</f>
        <v/>
      </c>
      <c r="W1151" s="24">
        <f>IF(AND($B1151&lt;&gt;"",$I1151="تم تحرير مخالفة"),1,0)</f>
        <v/>
      </c>
      <c r="X1151" s="24">
        <f>IF($B1151="","",IF($S1151=WkStart,COUNTIF($S$5:$S1151,WkStart),""))</f>
        <v/>
      </c>
    </row>
    <row r="1152">
      <c r="A1152" s="16">
        <f>IF($B1152="","",ROW()-4)</f>
        <v/>
      </c>
      <c r="B1152" s="17" t="n"/>
      <c r="C1152" s="18" t="n"/>
      <c r="D1152" s="18" t="n"/>
      <c r="E1152" s="19" t="n"/>
      <c r="F1152" s="19" t="n"/>
      <c r="G1152" s="18" t="n"/>
      <c r="H1152" s="18" t="n"/>
      <c r="I1152" s="18" t="n"/>
      <c r="J1152" s="20" t="n"/>
      <c r="K1152" s="21" t="n"/>
      <c r="L1152" s="21" t="n"/>
      <c r="M1152" s="18" t="n"/>
      <c r="N1152" s="22">
        <f>IF($B1152="","",CHOOSE(WEEKDAY($B1152),"الأحد","الاثنين","الثلاثاء","الأربعاء","الخميس","الجمعة","السبت"))</f>
        <v/>
      </c>
      <c r="O1152" s="23">
        <f>IF(OR($K1152="",$L1152=""),"",HYPERLINK("https://maps.google.com/?q="&amp;$K1152&amp;","&amp;$L1152,"عرض الموقع"))</f>
        <v/>
      </c>
      <c r="P1152" s="23">
        <f>IF(OR($B1152="",N($J1152)=0),"",HYPERLINK(PhotoDir&amp;"/"&amp;YEAR($B1152)&amp;"-"&amp;TEXT(MONTH($B1152),"00")&amp;"-"&amp;TEXT(DAY($B1152),"00")&amp;"_"&amp;$D1152,"فتح الصور ("&amp;$J1152&amp;")"))</f>
        <v/>
      </c>
      <c r="Q1152" s="24">
        <f>IF($B1152="","",MONTH($B1152))</f>
        <v/>
      </c>
      <c r="R1152" s="24">
        <f>IF($B1152="","",YEAR($B1152))</f>
        <v/>
      </c>
      <c r="S1152" s="25">
        <f>IF($B1152="","",$B1152-WEEKDAY($B1152,3))</f>
        <v/>
      </c>
      <c r="T1152" s="24">
        <f>IF($B1152="",0,IF(COUNTIFS($B$5:$B1152,$B1152,$D$5:$D1152,$D1152)=1,1,0))</f>
        <v/>
      </c>
      <c r="U1152" s="24">
        <f>IF($B1152="",0,IF(COUNTIFS($B$5:$B1152,$B1152,$C$5:$C1152,$C1152)=1,1,0))</f>
        <v/>
      </c>
      <c r="V1152" s="24">
        <f>IF(OR($B1152="",$G1152="",$G1152="لا توجد مشاهدات"),0,1)</f>
        <v/>
      </c>
      <c r="W1152" s="24">
        <f>IF(AND($B1152&lt;&gt;"",$I1152="تم تحرير مخالفة"),1,0)</f>
        <v/>
      </c>
      <c r="X1152" s="24">
        <f>IF($B1152="","",IF($S1152=WkStart,COUNTIF($S$5:$S1152,WkStart),""))</f>
        <v/>
      </c>
    </row>
    <row r="1153">
      <c r="A1153" s="16">
        <f>IF($B1153="","",ROW()-4)</f>
        <v/>
      </c>
      <c r="B1153" s="17" t="n"/>
      <c r="C1153" s="18" t="n"/>
      <c r="D1153" s="18" t="n"/>
      <c r="E1153" s="19" t="n"/>
      <c r="F1153" s="19" t="n"/>
      <c r="G1153" s="18" t="n"/>
      <c r="H1153" s="18" t="n"/>
      <c r="I1153" s="18" t="n"/>
      <c r="J1153" s="20" t="n"/>
      <c r="K1153" s="21" t="n"/>
      <c r="L1153" s="21" t="n"/>
      <c r="M1153" s="18" t="n"/>
      <c r="N1153" s="22">
        <f>IF($B1153="","",CHOOSE(WEEKDAY($B1153),"الأحد","الاثنين","الثلاثاء","الأربعاء","الخميس","الجمعة","السبت"))</f>
        <v/>
      </c>
      <c r="O1153" s="23">
        <f>IF(OR($K1153="",$L1153=""),"",HYPERLINK("https://maps.google.com/?q="&amp;$K1153&amp;","&amp;$L1153,"عرض الموقع"))</f>
        <v/>
      </c>
      <c r="P1153" s="23">
        <f>IF(OR($B1153="",N($J1153)=0),"",HYPERLINK(PhotoDir&amp;"/"&amp;YEAR($B1153)&amp;"-"&amp;TEXT(MONTH($B1153),"00")&amp;"-"&amp;TEXT(DAY($B1153),"00")&amp;"_"&amp;$D1153,"فتح الصور ("&amp;$J1153&amp;")"))</f>
        <v/>
      </c>
      <c r="Q1153" s="24">
        <f>IF($B1153="","",MONTH($B1153))</f>
        <v/>
      </c>
      <c r="R1153" s="24">
        <f>IF($B1153="","",YEAR($B1153))</f>
        <v/>
      </c>
      <c r="S1153" s="25">
        <f>IF($B1153="","",$B1153-WEEKDAY($B1153,3))</f>
        <v/>
      </c>
      <c r="T1153" s="24">
        <f>IF($B1153="",0,IF(COUNTIFS($B$5:$B1153,$B1153,$D$5:$D1153,$D1153)=1,1,0))</f>
        <v/>
      </c>
      <c r="U1153" s="24">
        <f>IF($B1153="",0,IF(COUNTIFS($B$5:$B1153,$B1153,$C$5:$C1153,$C1153)=1,1,0))</f>
        <v/>
      </c>
      <c r="V1153" s="24">
        <f>IF(OR($B1153="",$G1153="",$G1153="لا توجد مشاهدات"),0,1)</f>
        <v/>
      </c>
      <c r="W1153" s="24">
        <f>IF(AND($B1153&lt;&gt;"",$I1153="تم تحرير مخالفة"),1,0)</f>
        <v/>
      </c>
      <c r="X1153" s="24">
        <f>IF($B1153="","",IF($S1153=WkStart,COUNTIF($S$5:$S1153,WkStart),""))</f>
        <v/>
      </c>
    </row>
    <row r="1154">
      <c r="A1154" s="16">
        <f>IF($B1154="","",ROW()-4)</f>
        <v/>
      </c>
      <c r="B1154" s="17" t="n"/>
      <c r="C1154" s="18" t="n"/>
      <c r="D1154" s="18" t="n"/>
      <c r="E1154" s="19" t="n"/>
      <c r="F1154" s="19" t="n"/>
      <c r="G1154" s="18" t="n"/>
      <c r="H1154" s="18" t="n"/>
      <c r="I1154" s="18" t="n"/>
      <c r="J1154" s="20" t="n"/>
      <c r="K1154" s="21" t="n"/>
      <c r="L1154" s="21" t="n"/>
      <c r="M1154" s="18" t="n"/>
      <c r="N1154" s="22">
        <f>IF($B1154="","",CHOOSE(WEEKDAY($B1154),"الأحد","الاثنين","الثلاثاء","الأربعاء","الخميس","الجمعة","السبت"))</f>
        <v/>
      </c>
      <c r="O1154" s="23">
        <f>IF(OR($K1154="",$L1154=""),"",HYPERLINK("https://maps.google.com/?q="&amp;$K1154&amp;","&amp;$L1154,"عرض الموقع"))</f>
        <v/>
      </c>
      <c r="P1154" s="23">
        <f>IF(OR($B1154="",N($J1154)=0),"",HYPERLINK(PhotoDir&amp;"/"&amp;YEAR($B1154)&amp;"-"&amp;TEXT(MONTH($B1154),"00")&amp;"-"&amp;TEXT(DAY($B1154),"00")&amp;"_"&amp;$D1154,"فتح الصور ("&amp;$J1154&amp;")"))</f>
        <v/>
      </c>
      <c r="Q1154" s="24">
        <f>IF($B1154="","",MONTH($B1154))</f>
        <v/>
      </c>
      <c r="R1154" s="24">
        <f>IF($B1154="","",YEAR($B1154))</f>
        <v/>
      </c>
      <c r="S1154" s="25">
        <f>IF($B1154="","",$B1154-WEEKDAY($B1154,3))</f>
        <v/>
      </c>
      <c r="T1154" s="24">
        <f>IF($B1154="",0,IF(COUNTIFS($B$5:$B1154,$B1154,$D$5:$D1154,$D1154)=1,1,0))</f>
        <v/>
      </c>
      <c r="U1154" s="24">
        <f>IF($B1154="",0,IF(COUNTIFS($B$5:$B1154,$B1154,$C$5:$C1154,$C1154)=1,1,0))</f>
        <v/>
      </c>
      <c r="V1154" s="24">
        <f>IF(OR($B1154="",$G1154="",$G1154="لا توجد مشاهدات"),0,1)</f>
        <v/>
      </c>
      <c r="W1154" s="24">
        <f>IF(AND($B1154&lt;&gt;"",$I1154="تم تحرير مخالفة"),1,0)</f>
        <v/>
      </c>
      <c r="X1154" s="24">
        <f>IF($B1154="","",IF($S1154=WkStart,COUNTIF($S$5:$S1154,WkStart),""))</f>
        <v/>
      </c>
    </row>
    <row r="1155">
      <c r="A1155" s="16">
        <f>IF($B1155="","",ROW()-4)</f>
        <v/>
      </c>
      <c r="B1155" s="17" t="n"/>
      <c r="C1155" s="18" t="n"/>
      <c r="D1155" s="18" t="n"/>
      <c r="E1155" s="19" t="n"/>
      <c r="F1155" s="19" t="n"/>
      <c r="G1155" s="18" t="n"/>
      <c r="H1155" s="18" t="n"/>
      <c r="I1155" s="18" t="n"/>
      <c r="J1155" s="20" t="n"/>
      <c r="K1155" s="21" t="n"/>
      <c r="L1155" s="21" t="n"/>
      <c r="M1155" s="18" t="n"/>
      <c r="N1155" s="22">
        <f>IF($B1155="","",CHOOSE(WEEKDAY($B1155),"الأحد","الاثنين","الثلاثاء","الأربعاء","الخميس","الجمعة","السبت"))</f>
        <v/>
      </c>
      <c r="O1155" s="23">
        <f>IF(OR($K1155="",$L1155=""),"",HYPERLINK("https://maps.google.com/?q="&amp;$K1155&amp;","&amp;$L1155,"عرض الموقع"))</f>
        <v/>
      </c>
      <c r="P1155" s="23">
        <f>IF(OR($B1155="",N($J1155)=0),"",HYPERLINK(PhotoDir&amp;"/"&amp;YEAR($B1155)&amp;"-"&amp;TEXT(MONTH($B1155),"00")&amp;"-"&amp;TEXT(DAY($B1155),"00")&amp;"_"&amp;$D1155,"فتح الصور ("&amp;$J1155&amp;")"))</f>
        <v/>
      </c>
      <c r="Q1155" s="24">
        <f>IF($B1155="","",MONTH($B1155))</f>
        <v/>
      </c>
      <c r="R1155" s="24">
        <f>IF($B1155="","",YEAR($B1155))</f>
        <v/>
      </c>
      <c r="S1155" s="25">
        <f>IF($B1155="","",$B1155-WEEKDAY($B1155,3))</f>
        <v/>
      </c>
      <c r="T1155" s="24">
        <f>IF($B1155="",0,IF(COUNTIFS($B$5:$B1155,$B1155,$D$5:$D1155,$D1155)=1,1,0))</f>
        <v/>
      </c>
      <c r="U1155" s="24">
        <f>IF($B1155="",0,IF(COUNTIFS($B$5:$B1155,$B1155,$C$5:$C1155,$C1155)=1,1,0))</f>
        <v/>
      </c>
      <c r="V1155" s="24">
        <f>IF(OR($B1155="",$G1155="",$G1155="لا توجد مشاهدات"),0,1)</f>
        <v/>
      </c>
      <c r="W1155" s="24">
        <f>IF(AND($B1155&lt;&gt;"",$I1155="تم تحرير مخالفة"),1,0)</f>
        <v/>
      </c>
      <c r="X1155" s="24">
        <f>IF($B1155="","",IF($S1155=WkStart,COUNTIF($S$5:$S1155,WkStart),""))</f>
        <v/>
      </c>
    </row>
    <row r="1156">
      <c r="A1156" s="16">
        <f>IF($B1156="","",ROW()-4)</f>
        <v/>
      </c>
      <c r="B1156" s="17" t="n"/>
      <c r="C1156" s="18" t="n"/>
      <c r="D1156" s="18" t="n"/>
      <c r="E1156" s="19" t="n"/>
      <c r="F1156" s="19" t="n"/>
      <c r="G1156" s="18" t="n"/>
      <c r="H1156" s="18" t="n"/>
      <c r="I1156" s="18" t="n"/>
      <c r="J1156" s="20" t="n"/>
      <c r="K1156" s="21" t="n"/>
      <c r="L1156" s="21" t="n"/>
      <c r="M1156" s="18" t="n"/>
      <c r="N1156" s="22">
        <f>IF($B1156="","",CHOOSE(WEEKDAY($B1156),"الأحد","الاثنين","الثلاثاء","الأربعاء","الخميس","الجمعة","السبت"))</f>
        <v/>
      </c>
      <c r="O1156" s="23">
        <f>IF(OR($K1156="",$L1156=""),"",HYPERLINK("https://maps.google.com/?q="&amp;$K1156&amp;","&amp;$L1156,"عرض الموقع"))</f>
        <v/>
      </c>
      <c r="P1156" s="23">
        <f>IF(OR($B1156="",N($J1156)=0),"",HYPERLINK(PhotoDir&amp;"/"&amp;YEAR($B1156)&amp;"-"&amp;TEXT(MONTH($B1156),"00")&amp;"-"&amp;TEXT(DAY($B1156),"00")&amp;"_"&amp;$D1156,"فتح الصور ("&amp;$J1156&amp;")"))</f>
        <v/>
      </c>
      <c r="Q1156" s="24">
        <f>IF($B1156="","",MONTH($B1156))</f>
        <v/>
      </c>
      <c r="R1156" s="24">
        <f>IF($B1156="","",YEAR($B1156))</f>
        <v/>
      </c>
      <c r="S1156" s="25">
        <f>IF($B1156="","",$B1156-WEEKDAY($B1156,3))</f>
        <v/>
      </c>
      <c r="T1156" s="24">
        <f>IF($B1156="",0,IF(COUNTIFS($B$5:$B1156,$B1156,$D$5:$D1156,$D1156)=1,1,0))</f>
        <v/>
      </c>
      <c r="U1156" s="24">
        <f>IF($B1156="",0,IF(COUNTIFS($B$5:$B1156,$B1156,$C$5:$C1156,$C1156)=1,1,0))</f>
        <v/>
      </c>
      <c r="V1156" s="24">
        <f>IF(OR($B1156="",$G1156="",$G1156="لا توجد مشاهدات"),0,1)</f>
        <v/>
      </c>
      <c r="W1156" s="24">
        <f>IF(AND($B1156&lt;&gt;"",$I1156="تم تحرير مخالفة"),1,0)</f>
        <v/>
      </c>
      <c r="X1156" s="24">
        <f>IF($B1156="","",IF($S1156=WkStart,COUNTIF($S$5:$S1156,WkStart),""))</f>
        <v/>
      </c>
    </row>
    <row r="1157">
      <c r="A1157" s="16">
        <f>IF($B1157="","",ROW()-4)</f>
        <v/>
      </c>
      <c r="B1157" s="17" t="n"/>
      <c r="C1157" s="18" t="n"/>
      <c r="D1157" s="18" t="n"/>
      <c r="E1157" s="19" t="n"/>
      <c r="F1157" s="19" t="n"/>
      <c r="G1157" s="18" t="n"/>
      <c r="H1157" s="18" t="n"/>
      <c r="I1157" s="18" t="n"/>
      <c r="J1157" s="20" t="n"/>
      <c r="K1157" s="21" t="n"/>
      <c r="L1157" s="21" t="n"/>
      <c r="M1157" s="18" t="n"/>
      <c r="N1157" s="22">
        <f>IF($B1157="","",CHOOSE(WEEKDAY($B1157),"الأحد","الاثنين","الثلاثاء","الأربعاء","الخميس","الجمعة","السبت"))</f>
        <v/>
      </c>
      <c r="O1157" s="23">
        <f>IF(OR($K1157="",$L1157=""),"",HYPERLINK("https://maps.google.com/?q="&amp;$K1157&amp;","&amp;$L1157,"عرض الموقع"))</f>
        <v/>
      </c>
      <c r="P1157" s="23">
        <f>IF(OR($B1157="",N($J1157)=0),"",HYPERLINK(PhotoDir&amp;"/"&amp;YEAR($B1157)&amp;"-"&amp;TEXT(MONTH($B1157),"00")&amp;"-"&amp;TEXT(DAY($B1157),"00")&amp;"_"&amp;$D1157,"فتح الصور ("&amp;$J1157&amp;")"))</f>
        <v/>
      </c>
      <c r="Q1157" s="24">
        <f>IF($B1157="","",MONTH($B1157))</f>
        <v/>
      </c>
      <c r="R1157" s="24">
        <f>IF($B1157="","",YEAR($B1157))</f>
        <v/>
      </c>
      <c r="S1157" s="25">
        <f>IF($B1157="","",$B1157-WEEKDAY($B1157,3))</f>
        <v/>
      </c>
      <c r="T1157" s="24">
        <f>IF($B1157="",0,IF(COUNTIFS($B$5:$B1157,$B1157,$D$5:$D1157,$D1157)=1,1,0))</f>
        <v/>
      </c>
      <c r="U1157" s="24">
        <f>IF($B1157="",0,IF(COUNTIFS($B$5:$B1157,$B1157,$C$5:$C1157,$C1157)=1,1,0))</f>
        <v/>
      </c>
      <c r="V1157" s="24">
        <f>IF(OR($B1157="",$G1157="",$G1157="لا توجد مشاهدات"),0,1)</f>
        <v/>
      </c>
      <c r="W1157" s="24">
        <f>IF(AND($B1157&lt;&gt;"",$I1157="تم تحرير مخالفة"),1,0)</f>
        <v/>
      </c>
      <c r="X1157" s="24">
        <f>IF($B1157="","",IF($S1157=WkStart,COUNTIF($S$5:$S1157,WkStart),""))</f>
        <v/>
      </c>
    </row>
    <row r="1158">
      <c r="A1158" s="16">
        <f>IF($B1158="","",ROW()-4)</f>
        <v/>
      </c>
      <c r="B1158" s="17" t="n"/>
      <c r="C1158" s="18" t="n"/>
      <c r="D1158" s="18" t="n"/>
      <c r="E1158" s="19" t="n"/>
      <c r="F1158" s="19" t="n"/>
      <c r="G1158" s="18" t="n"/>
      <c r="H1158" s="18" t="n"/>
      <c r="I1158" s="18" t="n"/>
      <c r="J1158" s="20" t="n"/>
      <c r="K1158" s="21" t="n"/>
      <c r="L1158" s="21" t="n"/>
      <c r="M1158" s="18" t="n"/>
      <c r="N1158" s="22">
        <f>IF($B1158="","",CHOOSE(WEEKDAY($B1158),"الأحد","الاثنين","الثلاثاء","الأربعاء","الخميس","الجمعة","السبت"))</f>
        <v/>
      </c>
      <c r="O1158" s="23">
        <f>IF(OR($K1158="",$L1158=""),"",HYPERLINK("https://maps.google.com/?q="&amp;$K1158&amp;","&amp;$L1158,"عرض الموقع"))</f>
        <v/>
      </c>
      <c r="P1158" s="23">
        <f>IF(OR($B1158="",N($J1158)=0),"",HYPERLINK(PhotoDir&amp;"/"&amp;YEAR($B1158)&amp;"-"&amp;TEXT(MONTH($B1158),"00")&amp;"-"&amp;TEXT(DAY($B1158),"00")&amp;"_"&amp;$D1158,"فتح الصور ("&amp;$J1158&amp;")"))</f>
        <v/>
      </c>
      <c r="Q1158" s="24">
        <f>IF($B1158="","",MONTH($B1158))</f>
        <v/>
      </c>
      <c r="R1158" s="24">
        <f>IF($B1158="","",YEAR($B1158))</f>
        <v/>
      </c>
      <c r="S1158" s="25">
        <f>IF($B1158="","",$B1158-WEEKDAY($B1158,3))</f>
        <v/>
      </c>
      <c r="T1158" s="24">
        <f>IF($B1158="",0,IF(COUNTIFS($B$5:$B1158,$B1158,$D$5:$D1158,$D1158)=1,1,0))</f>
        <v/>
      </c>
      <c r="U1158" s="24">
        <f>IF($B1158="",0,IF(COUNTIFS($B$5:$B1158,$B1158,$C$5:$C1158,$C1158)=1,1,0))</f>
        <v/>
      </c>
      <c r="V1158" s="24">
        <f>IF(OR($B1158="",$G1158="",$G1158="لا توجد مشاهدات"),0,1)</f>
        <v/>
      </c>
      <c r="W1158" s="24">
        <f>IF(AND($B1158&lt;&gt;"",$I1158="تم تحرير مخالفة"),1,0)</f>
        <v/>
      </c>
      <c r="X1158" s="24">
        <f>IF($B1158="","",IF($S1158=WkStart,COUNTIF($S$5:$S1158,WkStart),""))</f>
        <v/>
      </c>
    </row>
    <row r="1159">
      <c r="A1159" s="16">
        <f>IF($B1159="","",ROW()-4)</f>
        <v/>
      </c>
      <c r="B1159" s="17" t="n"/>
      <c r="C1159" s="18" t="n"/>
      <c r="D1159" s="18" t="n"/>
      <c r="E1159" s="19" t="n"/>
      <c r="F1159" s="19" t="n"/>
      <c r="G1159" s="18" t="n"/>
      <c r="H1159" s="18" t="n"/>
      <c r="I1159" s="18" t="n"/>
      <c r="J1159" s="20" t="n"/>
      <c r="K1159" s="21" t="n"/>
      <c r="L1159" s="21" t="n"/>
      <c r="M1159" s="18" t="n"/>
      <c r="N1159" s="22">
        <f>IF($B1159="","",CHOOSE(WEEKDAY($B1159),"الأحد","الاثنين","الثلاثاء","الأربعاء","الخميس","الجمعة","السبت"))</f>
        <v/>
      </c>
      <c r="O1159" s="23">
        <f>IF(OR($K1159="",$L1159=""),"",HYPERLINK("https://maps.google.com/?q="&amp;$K1159&amp;","&amp;$L1159,"عرض الموقع"))</f>
        <v/>
      </c>
      <c r="P1159" s="23">
        <f>IF(OR($B1159="",N($J1159)=0),"",HYPERLINK(PhotoDir&amp;"/"&amp;YEAR($B1159)&amp;"-"&amp;TEXT(MONTH($B1159),"00")&amp;"-"&amp;TEXT(DAY($B1159),"00")&amp;"_"&amp;$D1159,"فتح الصور ("&amp;$J1159&amp;")"))</f>
        <v/>
      </c>
      <c r="Q1159" s="24">
        <f>IF($B1159="","",MONTH($B1159))</f>
        <v/>
      </c>
      <c r="R1159" s="24">
        <f>IF($B1159="","",YEAR($B1159))</f>
        <v/>
      </c>
      <c r="S1159" s="25">
        <f>IF($B1159="","",$B1159-WEEKDAY($B1159,3))</f>
        <v/>
      </c>
      <c r="T1159" s="24">
        <f>IF($B1159="",0,IF(COUNTIFS($B$5:$B1159,$B1159,$D$5:$D1159,$D1159)=1,1,0))</f>
        <v/>
      </c>
      <c r="U1159" s="24">
        <f>IF($B1159="",0,IF(COUNTIFS($B$5:$B1159,$B1159,$C$5:$C1159,$C1159)=1,1,0))</f>
        <v/>
      </c>
      <c r="V1159" s="24">
        <f>IF(OR($B1159="",$G1159="",$G1159="لا توجد مشاهدات"),0,1)</f>
        <v/>
      </c>
      <c r="W1159" s="24">
        <f>IF(AND($B1159&lt;&gt;"",$I1159="تم تحرير مخالفة"),1,0)</f>
        <v/>
      </c>
      <c r="X1159" s="24">
        <f>IF($B1159="","",IF($S1159=WkStart,COUNTIF($S$5:$S1159,WkStart),""))</f>
        <v/>
      </c>
    </row>
    <row r="1160">
      <c r="A1160" s="16">
        <f>IF($B1160="","",ROW()-4)</f>
        <v/>
      </c>
      <c r="B1160" s="17" t="n"/>
      <c r="C1160" s="18" t="n"/>
      <c r="D1160" s="18" t="n"/>
      <c r="E1160" s="19" t="n"/>
      <c r="F1160" s="19" t="n"/>
      <c r="G1160" s="18" t="n"/>
      <c r="H1160" s="18" t="n"/>
      <c r="I1160" s="18" t="n"/>
      <c r="J1160" s="20" t="n"/>
      <c r="K1160" s="21" t="n"/>
      <c r="L1160" s="21" t="n"/>
      <c r="M1160" s="18" t="n"/>
      <c r="N1160" s="22">
        <f>IF($B1160="","",CHOOSE(WEEKDAY($B1160),"الأحد","الاثنين","الثلاثاء","الأربعاء","الخميس","الجمعة","السبت"))</f>
        <v/>
      </c>
      <c r="O1160" s="23">
        <f>IF(OR($K1160="",$L1160=""),"",HYPERLINK("https://maps.google.com/?q="&amp;$K1160&amp;","&amp;$L1160,"عرض الموقع"))</f>
        <v/>
      </c>
      <c r="P1160" s="23">
        <f>IF(OR($B1160="",N($J1160)=0),"",HYPERLINK(PhotoDir&amp;"/"&amp;YEAR($B1160)&amp;"-"&amp;TEXT(MONTH($B1160),"00")&amp;"-"&amp;TEXT(DAY($B1160),"00")&amp;"_"&amp;$D1160,"فتح الصور ("&amp;$J1160&amp;")"))</f>
        <v/>
      </c>
      <c r="Q1160" s="24">
        <f>IF($B1160="","",MONTH($B1160))</f>
        <v/>
      </c>
      <c r="R1160" s="24">
        <f>IF($B1160="","",YEAR($B1160))</f>
        <v/>
      </c>
      <c r="S1160" s="25">
        <f>IF($B1160="","",$B1160-WEEKDAY($B1160,3))</f>
        <v/>
      </c>
      <c r="T1160" s="24">
        <f>IF($B1160="",0,IF(COUNTIFS($B$5:$B1160,$B1160,$D$5:$D1160,$D1160)=1,1,0))</f>
        <v/>
      </c>
      <c r="U1160" s="24">
        <f>IF($B1160="",0,IF(COUNTIFS($B$5:$B1160,$B1160,$C$5:$C1160,$C1160)=1,1,0))</f>
        <v/>
      </c>
      <c r="V1160" s="24">
        <f>IF(OR($B1160="",$G1160="",$G1160="لا توجد مشاهدات"),0,1)</f>
        <v/>
      </c>
      <c r="W1160" s="24">
        <f>IF(AND($B1160&lt;&gt;"",$I1160="تم تحرير مخالفة"),1,0)</f>
        <v/>
      </c>
      <c r="X1160" s="24">
        <f>IF($B1160="","",IF($S1160=WkStart,COUNTIF($S$5:$S1160,WkStart),""))</f>
        <v/>
      </c>
    </row>
    <row r="1161">
      <c r="A1161" s="16">
        <f>IF($B1161="","",ROW()-4)</f>
        <v/>
      </c>
      <c r="B1161" s="17" t="n"/>
      <c r="C1161" s="18" t="n"/>
      <c r="D1161" s="18" t="n"/>
      <c r="E1161" s="19" t="n"/>
      <c r="F1161" s="19" t="n"/>
      <c r="G1161" s="18" t="n"/>
      <c r="H1161" s="18" t="n"/>
      <c r="I1161" s="18" t="n"/>
      <c r="J1161" s="20" t="n"/>
      <c r="K1161" s="21" t="n"/>
      <c r="L1161" s="21" t="n"/>
      <c r="M1161" s="18" t="n"/>
      <c r="N1161" s="22">
        <f>IF($B1161="","",CHOOSE(WEEKDAY($B1161),"الأحد","الاثنين","الثلاثاء","الأربعاء","الخميس","الجمعة","السبت"))</f>
        <v/>
      </c>
      <c r="O1161" s="23">
        <f>IF(OR($K1161="",$L1161=""),"",HYPERLINK("https://maps.google.com/?q="&amp;$K1161&amp;","&amp;$L1161,"عرض الموقع"))</f>
        <v/>
      </c>
      <c r="P1161" s="23">
        <f>IF(OR($B1161="",N($J1161)=0),"",HYPERLINK(PhotoDir&amp;"/"&amp;YEAR($B1161)&amp;"-"&amp;TEXT(MONTH($B1161),"00")&amp;"-"&amp;TEXT(DAY($B1161),"00")&amp;"_"&amp;$D1161,"فتح الصور ("&amp;$J1161&amp;")"))</f>
        <v/>
      </c>
      <c r="Q1161" s="24">
        <f>IF($B1161="","",MONTH($B1161))</f>
        <v/>
      </c>
      <c r="R1161" s="24">
        <f>IF($B1161="","",YEAR($B1161))</f>
        <v/>
      </c>
      <c r="S1161" s="25">
        <f>IF($B1161="","",$B1161-WEEKDAY($B1161,3))</f>
        <v/>
      </c>
      <c r="T1161" s="24">
        <f>IF($B1161="",0,IF(COUNTIFS($B$5:$B1161,$B1161,$D$5:$D1161,$D1161)=1,1,0))</f>
        <v/>
      </c>
      <c r="U1161" s="24">
        <f>IF($B1161="",0,IF(COUNTIFS($B$5:$B1161,$B1161,$C$5:$C1161,$C1161)=1,1,0))</f>
        <v/>
      </c>
      <c r="V1161" s="24">
        <f>IF(OR($B1161="",$G1161="",$G1161="لا توجد مشاهدات"),0,1)</f>
        <v/>
      </c>
      <c r="W1161" s="24">
        <f>IF(AND($B1161&lt;&gt;"",$I1161="تم تحرير مخالفة"),1,0)</f>
        <v/>
      </c>
      <c r="X1161" s="24">
        <f>IF($B1161="","",IF($S1161=WkStart,COUNTIF($S$5:$S1161,WkStart),""))</f>
        <v/>
      </c>
    </row>
    <row r="1162">
      <c r="A1162" s="16">
        <f>IF($B1162="","",ROW()-4)</f>
        <v/>
      </c>
      <c r="B1162" s="17" t="n"/>
      <c r="C1162" s="18" t="n"/>
      <c r="D1162" s="18" t="n"/>
      <c r="E1162" s="19" t="n"/>
      <c r="F1162" s="19" t="n"/>
      <c r="G1162" s="18" t="n"/>
      <c r="H1162" s="18" t="n"/>
      <c r="I1162" s="18" t="n"/>
      <c r="J1162" s="20" t="n"/>
      <c r="K1162" s="21" t="n"/>
      <c r="L1162" s="21" t="n"/>
      <c r="M1162" s="18" t="n"/>
      <c r="N1162" s="22">
        <f>IF($B1162="","",CHOOSE(WEEKDAY($B1162),"الأحد","الاثنين","الثلاثاء","الأربعاء","الخميس","الجمعة","السبت"))</f>
        <v/>
      </c>
      <c r="O1162" s="23">
        <f>IF(OR($K1162="",$L1162=""),"",HYPERLINK("https://maps.google.com/?q="&amp;$K1162&amp;","&amp;$L1162,"عرض الموقع"))</f>
        <v/>
      </c>
      <c r="P1162" s="23">
        <f>IF(OR($B1162="",N($J1162)=0),"",HYPERLINK(PhotoDir&amp;"/"&amp;YEAR($B1162)&amp;"-"&amp;TEXT(MONTH($B1162),"00")&amp;"-"&amp;TEXT(DAY($B1162),"00")&amp;"_"&amp;$D1162,"فتح الصور ("&amp;$J1162&amp;")"))</f>
        <v/>
      </c>
      <c r="Q1162" s="24">
        <f>IF($B1162="","",MONTH($B1162))</f>
        <v/>
      </c>
      <c r="R1162" s="24">
        <f>IF($B1162="","",YEAR($B1162))</f>
        <v/>
      </c>
      <c r="S1162" s="25">
        <f>IF($B1162="","",$B1162-WEEKDAY($B1162,3))</f>
        <v/>
      </c>
      <c r="T1162" s="24">
        <f>IF($B1162="",0,IF(COUNTIFS($B$5:$B1162,$B1162,$D$5:$D1162,$D1162)=1,1,0))</f>
        <v/>
      </c>
      <c r="U1162" s="24">
        <f>IF($B1162="",0,IF(COUNTIFS($B$5:$B1162,$B1162,$C$5:$C1162,$C1162)=1,1,0))</f>
        <v/>
      </c>
      <c r="V1162" s="24">
        <f>IF(OR($B1162="",$G1162="",$G1162="لا توجد مشاهدات"),0,1)</f>
        <v/>
      </c>
      <c r="W1162" s="24">
        <f>IF(AND($B1162&lt;&gt;"",$I1162="تم تحرير مخالفة"),1,0)</f>
        <v/>
      </c>
      <c r="X1162" s="24">
        <f>IF($B1162="","",IF($S1162=WkStart,COUNTIF($S$5:$S1162,WkStart),""))</f>
        <v/>
      </c>
    </row>
    <row r="1163">
      <c r="A1163" s="16">
        <f>IF($B1163="","",ROW()-4)</f>
        <v/>
      </c>
      <c r="B1163" s="17" t="n"/>
      <c r="C1163" s="18" t="n"/>
      <c r="D1163" s="18" t="n"/>
      <c r="E1163" s="19" t="n"/>
      <c r="F1163" s="19" t="n"/>
      <c r="G1163" s="18" t="n"/>
      <c r="H1163" s="18" t="n"/>
      <c r="I1163" s="18" t="n"/>
      <c r="J1163" s="20" t="n"/>
      <c r="K1163" s="21" t="n"/>
      <c r="L1163" s="21" t="n"/>
      <c r="M1163" s="18" t="n"/>
      <c r="N1163" s="22">
        <f>IF($B1163="","",CHOOSE(WEEKDAY($B1163),"الأحد","الاثنين","الثلاثاء","الأربعاء","الخميس","الجمعة","السبت"))</f>
        <v/>
      </c>
      <c r="O1163" s="23">
        <f>IF(OR($K1163="",$L1163=""),"",HYPERLINK("https://maps.google.com/?q="&amp;$K1163&amp;","&amp;$L1163,"عرض الموقع"))</f>
        <v/>
      </c>
      <c r="P1163" s="23">
        <f>IF(OR($B1163="",N($J1163)=0),"",HYPERLINK(PhotoDir&amp;"/"&amp;YEAR($B1163)&amp;"-"&amp;TEXT(MONTH($B1163),"00")&amp;"-"&amp;TEXT(DAY($B1163),"00")&amp;"_"&amp;$D1163,"فتح الصور ("&amp;$J1163&amp;")"))</f>
        <v/>
      </c>
      <c r="Q1163" s="24">
        <f>IF($B1163="","",MONTH($B1163))</f>
        <v/>
      </c>
      <c r="R1163" s="24">
        <f>IF($B1163="","",YEAR($B1163))</f>
        <v/>
      </c>
      <c r="S1163" s="25">
        <f>IF($B1163="","",$B1163-WEEKDAY($B1163,3))</f>
        <v/>
      </c>
      <c r="T1163" s="24">
        <f>IF($B1163="",0,IF(COUNTIFS($B$5:$B1163,$B1163,$D$5:$D1163,$D1163)=1,1,0))</f>
        <v/>
      </c>
      <c r="U1163" s="24">
        <f>IF($B1163="",0,IF(COUNTIFS($B$5:$B1163,$B1163,$C$5:$C1163,$C1163)=1,1,0))</f>
        <v/>
      </c>
      <c r="V1163" s="24">
        <f>IF(OR($B1163="",$G1163="",$G1163="لا توجد مشاهدات"),0,1)</f>
        <v/>
      </c>
      <c r="W1163" s="24">
        <f>IF(AND($B1163&lt;&gt;"",$I1163="تم تحرير مخالفة"),1,0)</f>
        <v/>
      </c>
      <c r="X1163" s="24">
        <f>IF($B1163="","",IF($S1163=WkStart,COUNTIF($S$5:$S1163,WkStart),""))</f>
        <v/>
      </c>
    </row>
    <row r="1164">
      <c r="A1164" s="16">
        <f>IF($B1164="","",ROW()-4)</f>
        <v/>
      </c>
      <c r="B1164" s="17" t="n"/>
      <c r="C1164" s="18" t="n"/>
      <c r="D1164" s="18" t="n"/>
      <c r="E1164" s="19" t="n"/>
      <c r="F1164" s="19" t="n"/>
      <c r="G1164" s="18" t="n"/>
      <c r="H1164" s="18" t="n"/>
      <c r="I1164" s="18" t="n"/>
      <c r="J1164" s="20" t="n"/>
      <c r="K1164" s="21" t="n"/>
      <c r="L1164" s="21" t="n"/>
      <c r="M1164" s="18" t="n"/>
      <c r="N1164" s="22">
        <f>IF($B1164="","",CHOOSE(WEEKDAY($B1164),"الأحد","الاثنين","الثلاثاء","الأربعاء","الخميس","الجمعة","السبت"))</f>
        <v/>
      </c>
      <c r="O1164" s="23">
        <f>IF(OR($K1164="",$L1164=""),"",HYPERLINK("https://maps.google.com/?q="&amp;$K1164&amp;","&amp;$L1164,"عرض الموقع"))</f>
        <v/>
      </c>
      <c r="P1164" s="23">
        <f>IF(OR($B1164="",N($J1164)=0),"",HYPERLINK(PhotoDir&amp;"/"&amp;YEAR($B1164)&amp;"-"&amp;TEXT(MONTH($B1164),"00")&amp;"-"&amp;TEXT(DAY($B1164),"00")&amp;"_"&amp;$D1164,"فتح الصور ("&amp;$J1164&amp;")"))</f>
        <v/>
      </c>
      <c r="Q1164" s="24">
        <f>IF($B1164="","",MONTH($B1164))</f>
        <v/>
      </c>
      <c r="R1164" s="24">
        <f>IF($B1164="","",YEAR($B1164))</f>
        <v/>
      </c>
      <c r="S1164" s="25">
        <f>IF($B1164="","",$B1164-WEEKDAY($B1164,3))</f>
        <v/>
      </c>
      <c r="T1164" s="24">
        <f>IF($B1164="",0,IF(COUNTIFS($B$5:$B1164,$B1164,$D$5:$D1164,$D1164)=1,1,0))</f>
        <v/>
      </c>
      <c r="U1164" s="24">
        <f>IF($B1164="",0,IF(COUNTIFS($B$5:$B1164,$B1164,$C$5:$C1164,$C1164)=1,1,0))</f>
        <v/>
      </c>
      <c r="V1164" s="24">
        <f>IF(OR($B1164="",$G1164="",$G1164="لا توجد مشاهدات"),0,1)</f>
        <v/>
      </c>
      <c r="W1164" s="24">
        <f>IF(AND($B1164&lt;&gt;"",$I1164="تم تحرير مخالفة"),1,0)</f>
        <v/>
      </c>
      <c r="X1164" s="24">
        <f>IF($B1164="","",IF($S1164=WkStart,COUNTIF($S$5:$S1164,WkStart),""))</f>
        <v/>
      </c>
    </row>
    <row r="1165">
      <c r="A1165" s="16">
        <f>IF($B1165="","",ROW()-4)</f>
        <v/>
      </c>
      <c r="B1165" s="17" t="n"/>
      <c r="C1165" s="18" t="n"/>
      <c r="D1165" s="18" t="n"/>
      <c r="E1165" s="19" t="n"/>
      <c r="F1165" s="19" t="n"/>
      <c r="G1165" s="18" t="n"/>
      <c r="H1165" s="18" t="n"/>
      <c r="I1165" s="18" t="n"/>
      <c r="J1165" s="20" t="n"/>
      <c r="K1165" s="21" t="n"/>
      <c r="L1165" s="21" t="n"/>
      <c r="M1165" s="18" t="n"/>
      <c r="N1165" s="22">
        <f>IF($B1165="","",CHOOSE(WEEKDAY($B1165),"الأحد","الاثنين","الثلاثاء","الأربعاء","الخميس","الجمعة","السبت"))</f>
        <v/>
      </c>
      <c r="O1165" s="23">
        <f>IF(OR($K1165="",$L1165=""),"",HYPERLINK("https://maps.google.com/?q="&amp;$K1165&amp;","&amp;$L1165,"عرض الموقع"))</f>
        <v/>
      </c>
      <c r="P1165" s="23">
        <f>IF(OR($B1165="",N($J1165)=0),"",HYPERLINK(PhotoDir&amp;"/"&amp;YEAR($B1165)&amp;"-"&amp;TEXT(MONTH($B1165),"00")&amp;"-"&amp;TEXT(DAY($B1165),"00")&amp;"_"&amp;$D1165,"فتح الصور ("&amp;$J1165&amp;")"))</f>
        <v/>
      </c>
      <c r="Q1165" s="24">
        <f>IF($B1165="","",MONTH($B1165))</f>
        <v/>
      </c>
      <c r="R1165" s="24">
        <f>IF($B1165="","",YEAR($B1165))</f>
        <v/>
      </c>
      <c r="S1165" s="25">
        <f>IF($B1165="","",$B1165-WEEKDAY($B1165,3))</f>
        <v/>
      </c>
      <c r="T1165" s="24">
        <f>IF($B1165="",0,IF(COUNTIFS($B$5:$B1165,$B1165,$D$5:$D1165,$D1165)=1,1,0))</f>
        <v/>
      </c>
      <c r="U1165" s="24">
        <f>IF($B1165="",0,IF(COUNTIFS($B$5:$B1165,$B1165,$C$5:$C1165,$C1165)=1,1,0))</f>
        <v/>
      </c>
      <c r="V1165" s="24">
        <f>IF(OR($B1165="",$G1165="",$G1165="لا توجد مشاهدات"),0,1)</f>
        <v/>
      </c>
      <c r="W1165" s="24">
        <f>IF(AND($B1165&lt;&gt;"",$I1165="تم تحرير مخالفة"),1,0)</f>
        <v/>
      </c>
      <c r="X1165" s="24">
        <f>IF($B1165="","",IF($S1165=WkStart,COUNTIF($S$5:$S1165,WkStart),""))</f>
        <v/>
      </c>
    </row>
    <row r="1166">
      <c r="A1166" s="16">
        <f>IF($B1166="","",ROW()-4)</f>
        <v/>
      </c>
      <c r="B1166" s="17" t="n"/>
      <c r="C1166" s="18" t="n"/>
      <c r="D1166" s="18" t="n"/>
      <c r="E1166" s="19" t="n"/>
      <c r="F1166" s="19" t="n"/>
      <c r="G1166" s="18" t="n"/>
      <c r="H1166" s="18" t="n"/>
      <c r="I1166" s="18" t="n"/>
      <c r="J1166" s="20" t="n"/>
      <c r="K1166" s="21" t="n"/>
      <c r="L1166" s="21" t="n"/>
      <c r="M1166" s="18" t="n"/>
      <c r="N1166" s="22">
        <f>IF($B1166="","",CHOOSE(WEEKDAY($B1166),"الأحد","الاثنين","الثلاثاء","الأربعاء","الخميس","الجمعة","السبت"))</f>
        <v/>
      </c>
      <c r="O1166" s="23">
        <f>IF(OR($K1166="",$L1166=""),"",HYPERLINK("https://maps.google.com/?q="&amp;$K1166&amp;","&amp;$L1166,"عرض الموقع"))</f>
        <v/>
      </c>
      <c r="P1166" s="23">
        <f>IF(OR($B1166="",N($J1166)=0),"",HYPERLINK(PhotoDir&amp;"/"&amp;YEAR($B1166)&amp;"-"&amp;TEXT(MONTH($B1166),"00")&amp;"-"&amp;TEXT(DAY($B1166),"00")&amp;"_"&amp;$D1166,"فتح الصور ("&amp;$J1166&amp;")"))</f>
        <v/>
      </c>
      <c r="Q1166" s="24">
        <f>IF($B1166="","",MONTH($B1166))</f>
        <v/>
      </c>
      <c r="R1166" s="24">
        <f>IF($B1166="","",YEAR($B1166))</f>
        <v/>
      </c>
      <c r="S1166" s="25">
        <f>IF($B1166="","",$B1166-WEEKDAY($B1166,3))</f>
        <v/>
      </c>
      <c r="T1166" s="24">
        <f>IF($B1166="",0,IF(COUNTIFS($B$5:$B1166,$B1166,$D$5:$D1166,$D1166)=1,1,0))</f>
        <v/>
      </c>
      <c r="U1166" s="24">
        <f>IF($B1166="",0,IF(COUNTIFS($B$5:$B1166,$B1166,$C$5:$C1166,$C1166)=1,1,0))</f>
        <v/>
      </c>
      <c r="V1166" s="24">
        <f>IF(OR($B1166="",$G1166="",$G1166="لا توجد مشاهدات"),0,1)</f>
        <v/>
      </c>
      <c r="W1166" s="24">
        <f>IF(AND($B1166&lt;&gt;"",$I1166="تم تحرير مخالفة"),1,0)</f>
        <v/>
      </c>
      <c r="X1166" s="24">
        <f>IF($B1166="","",IF($S1166=WkStart,COUNTIF($S$5:$S1166,WkStart),""))</f>
        <v/>
      </c>
    </row>
    <row r="1167">
      <c r="A1167" s="16">
        <f>IF($B1167="","",ROW()-4)</f>
        <v/>
      </c>
      <c r="B1167" s="17" t="n"/>
      <c r="C1167" s="18" t="n"/>
      <c r="D1167" s="18" t="n"/>
      <c r="E1167" s="19" t="n"/>
      <c r="F1167" s="19" t="n"/>
      <c r="G1167" s="18" t="n"/>
      <c r="H1167" s="18" t="n"/>
      <c r="I1167" s="18" t="n"/>
      <c r="J1167" s="20" t="n"/>
      <c r="K1167" s="21" t="n"/>
      <c r="L1167" s="21" t="n"/>
      <c r="M1167" s="18" t="n"/>
      <c r="N1167" s="22">
        <f>IF($B1167="","",CHOOSE(WEEKDAY($B1167),"الأحد","الاثنين","الثلاثاء","الأربعاء","الخميس","الجمعة","السبت"))</f>
        <v/>
      </c>
      <c r="O1167" s="23">
        <f>IF(OR($K1167="",$L1167=""),"",HYPERLINK("https://maps.google.com/?q="&amp;$K1167&amp;","&amp;$L1167,"عرض الموقع"))</f>
        <v/>
      </c>
      <c r="P1167" s="23">
        <f>IF(OR($B1167="",N($J1167)=0),"",HYPERLINK(PhotoDir&amp;"/"&amp;YEAR($B1167)&amp;"-"&amp;TEXT(MONTH($B1167),"00")&amp;"-"&amp;TEXT(DAY($B1167),"00")&amp;"_"&amp;$D1167,"فتح الصور ("&amp;$J1167&amp;")"))</f>
        <v/>
      </c>
      <c r="Q1167" s="24">
        <f>IF($B1167="","",MONTH($B1167))</f>
        <v/>
      </c>
      <c r="R1167" s="24">
        <f>IF($B1167="","",YEAR($B1167))</f>
        <v/>
      </c>
      <c r="S1167" s="25">
        <f>IF($B1167="","",$B1167-WEEKDAY($B1167,3))</f>
        <v/>
      </c>
      <c r="T1167" s="24">
        <f>IF($B1167="",0,IF(COUNTIFS($B$5:$B1167,$B1167,$D$5:$D1167,$D1167)=1,1,0))</f>
        <v/>
      </c>
      <c r="U1167" s="24">
        <f>IF($B1167="",0,IF(COUNTIFS($B$5:$B1167,$B1167,$C$5:$C1167,$C1167)=1,1,0))</f>
        <v/>
      </c>
      <c r="V1167" s="24">
        <f>IF(OR($B1167="",$G1167="",$G1167="لا توجد مشاهدات"),0,1)</f>
        <v/>
      </c>
      <c r="W1167" s="24">
        <f>IF(AND($B1167&lt;&gt;"",$I1167="تم تحرير مخالفة"),1,0)</f>
        <v/>
      </c>
      <c r="X1167" s="24">
        <f>IF($B1167="","",IF($S1167=WkStart,COUNTIF($S$5:$S1167,WkStart),""))</f>
        <v/>
      </c>
    </row>
    <row r="1168">
      <c r="A1168" s="16">
        <f>IF($B1168="","",ROW()-4)</f>
        <v/>
      </c>
      <c r="B1168" s="17" t="n"/>
      <c r="C1168" s="18" t="n"/>
      <c r="D1168" s="18" t="n"/>
      <c r="E1168" s="19" t="n"/>
      <c r="F1168" s="19" t="n"/>
      <c r="G1168" s="18" t="n"/>
      <c r="H1168" s="18" t="n"/>
      <c r="I1168" s="18" t="n"/>
      <c r="J1168" s="20" t="n"/>
      <c r="K1168" s="21" t="n"/>
      <c r="L1168" s="21" t="n"/>
      <c r="M1168" s="18" t="n"/>
      <c r="N1168" s="22">
        <f>IF($B1168="","",CHOOSE(WEEKDAY($B1168),"الأحد","الاثنين","الثلاثاء","الأربعاء","الخميس","الجمعة","السبت"))</f>
        <v/>
      </c>
      <c r="O1168" s="23">
        <f>IF(OR($K1168="",$L1168=""),"",HYPERLINK("https://maps.google.com/?q="&amp;$K1168&amp;","&amp;$L1168,"عرض الموقع"))</f>
        <v/>
      </c>
      <c r="P1168" s="23">
        <f>IF(OR($B1168="",N($J1168)=0),"",HYPERLINK(PhotoDir&amp;"/"&amp;YEAR($B1168)&amp;"-"&amp;TEXT(MONTH($B1168),"00")&amp;"-"&amp;TEXT(DAY($B1168),"00")&amp;"_"&amp;$D1168,"فتح الصور ("&amp;$J1168&amp;")"))</f>
        <v/>
      </c>
      <c r="Q1168" s="24">
        <f>IF($B1168="","",MONTH($B1168))</f>
        <v/>
      </c>
      <c r="R1168" s="24">
        <f>IF($B1168="","",YEAR($B1168))</f>
        <v/>
      </c>
      <c r="S1168" s="25">
        <f>IF($B1168="","",$B1168-WEEKDAY($B1168,3))</f>
        <v/>
      </c>
      <c r="T1168" s="24">
        <f>IF($B1168="",0,IF(COUNTIFS($B$5:$B1168,$B1168,$D$5:$D1168,$D1168)=1,1,0))</f>
        <v/>
      </c>
      <c r="U1168" s="24">
        <f>IF($B1168="",0,IF(COUNTIFS($B$5:$B1168,$B1168,$C$5:$C1168,$C1168)=1,1,0))</f>
        <v/>
      </c>
      <c r="V1168" s="24">
        <f>IF(OR($B1168="",$G1168="",$G1168="لا توجد مشاهدات"),0,1)</f>
        <v/>
      </c>
      <c r="W1168" s="24">
        <f>IF(AND($B1168&lt;&gt;"",$I1168="تم تحرير مخالفة"),1,0)</f>
        <v/>
      </c>
      <c r="X1168" s="24">
        <f>IF($B1168="","",IF($S1168=WkStart,COUNTIF($S$5:$S1168,WkStart),""))</f>
        <v/>
      </c>
    </row>
    <row r="1169">
      <c r="A1169" s="16">
        <f>IF($B1169="","",ROW()-4)</f>
        <v/>
      </c>
      <c r="B1169" s="17" t="n"/>
      <c r="C1169" s="18" t="n"/>
      <c r="D1169" s="18" t="n"/>
      <c r="E1169" s="19" t="n"/>
      <c r="F1169" s="19" t="n"/>
      <c r="G1169" s="18" t="n"/>
      <c r="H1169" s="18" t="n"/>
      <c r="I1169" s="18" t="n"/>
      <c r="J1169" s="20" t="n"/>
      <c r="K1169" s="21" t="n"/>
      <c r="L1169" s="21" t="n"/>
      <c r="M1169" s="18" t="n"/>
      <c r="N1169" s="22">
        <f>IF($B1169="","",CHOOSE(WEEKDAY($B1169),"الأحد","الاثنين","الثلاثاء","الأربعاء","الخميس","الجمعة","السبت"))</f>
        <v/>
      </c>
      <c r="O1169" s="23">
        <f>IF(OR($K1169="",$L1169=""),"",HYPERLINK("https://maps.google.com/?q="&amp;$K1169&amp;","&amp;$L1169,"عرض الموقع"))</f>
        <v/>
      </c>
      <c r="P1169" s="23">
        <f>IF(OR($B1169="",N($J1169)=0),"",HYPERLINK(PhotoDir&amp;"/"&amp;YEAR($B1169)&amp;"-"&amp;TEXT(MONTH($B1169),"00")&amp;"-"&amp;TEXT(DAY($B1169),"00")&amp;"_"&amp;$D1169,"فتح الصور ("&amp;$J1169&amp;")"))</f>
        <v/>
      </c>
      <c r="Q1169" s="24">
        <f>IF($B1169="","",MONTH($B1169))</f>
        <v/>
      </c>
      <c r="R1169" s="24">
        <f>IF($B1169="","",YEAR($B1169))</f>
        <v/>
      </c>
      <c r="S1169" s="25">
        <f>IF($B1169="","",$B1169-WEEKDAY($B1169,3))</f>
        <v/>
      </c>
      <c r="T1169" s="24">
        <f>IF($B1169="",0,IF(COUNTIFS($B$5:$B1169,$B1169,$D$5:$D1169,$D1169)=1,1,0))</f>
        <v/>
      </c>
      <c r="U1169" s="24">
        <f>IF($B1169="",0,IF(COUNTIFS($B$5:$B1169,$B1169,$C$5:$C1169,$C1169)=1,1,0))</f>
        <v/>
      </c>
      <c r="V1169" s="24">
        <f>IF(OR($B1169="",$G1169="",$G1169="لا توجد مشاهدات"),0,1)</f>
        <v/>
      </c>
      <c r="W1169" s="24">
        <f>IF(AND($B1169&lt;&gt;"",$I1169="تم تحرير مخالفة"),1,0)</f>
        <v/>
      </c>
      <c r="X1169" s="24">
        <f>IF($B1169="","",IF($S1169=WkStart,COUNTIF($S$5:$S1169,WkStart),""))</f>
        <v/>
      </c>
    </row>
    <row r="1170">
      <c r="A1170" s="16">
        <f>IF($B1170="","",ROW()-4)</f>
        <v/>
      </c>
      <c r="B1170" s="17" t="n"/>
      <c r="C1170" s="18" t="n"/>
      <c r="D1170" s="18" t="n"/>
      <c r="E1170" s="19" t="n"/>
      <c r="F1170" s="19" t="n"/>
      <c r="G1170" s="18" t="n"/>
      <c r="H1170" s="18" t="n"/>
      <c r="I1170" s="18" t="n"/>
      <c r="J1170" s="20" t="n"/>
      <c r="K1170" s="21" t="n"/>
      <c r="L1170" s="21" t="n"/>
      <c r="M1170" s="18" t="n"/>
      <c r="N1170" s="22">
        <f>IF($B1170="","",CHOOSE(WEEKDAY($B1170),"الأحد","الاثنين","الثلاثاء","الأربعاء","الخميس","الجمعة","السبت"))</f>
        <v/>
      </c>
      <c r="O1170" s="23">
        <f>IF(OR($K1170="",$L1170=""),"",HYPERLINK("https://maps.google.com/?q="&amp;$K1170&amp;","&amp;$L1170,"عرض الموقع"))</f>
        <v/>
      </c>
      <c r="P1170" s="23">
        <f>IF(OR($B1170="",N($J1170)=0),"",HYPERLINK(PhotoDir&amp;"/"&amp;YEAR($B1170)&amp;"-"&amp;TEXT(MONTH($B1170),"00")&amp;"-"&amp;TEXT(DAY($B1170),"00")&amp;"_"&amp;$D1170,"فتح الصور ("&amp;$J1170&amp;")"))</f>
        <v/>
      </c>
      <c r="Q1170" s="24">
        <f>IF($B1170="","",MONTH($B1170))</f>
        <v/>
      </c>
      <c r="R1170" s="24">
        <f>IF($B1170="","",YEAR($B1170))</f>
        <v/>
      </c>
      <c r="S1170" s="25">
        <f>IF($B1170="","",$B1170-WEEKDAY($B1170,3))</f>
        <v/>
      </c>
      <c r="T1170" s="24">
        <f>IF($B1170="",0,IF(COUNTIFS($B$5:$B1170,$B1170,$D$5:$D1170,$D1170)=1,1,0))</f>
        <v/>
      </c>
      <c r="U1170" s="24">
        <f>IF($B1170="",0,IF(COUNTIFS($B$5:$B1170,$B1170,$C$5:$C1170,$C1170)=1,1,0))</f>
        <v/>
      </c>
      <c r="V1170" s="24">
        <f>IF(OR($B1170="",$G1170="",$G1170="لا توجد مشاهدات"),0,1)</f>
        <v/>
      </c>
      <c r="W1170" s="24">
        <f>IF(AND($B1170&lt;&gt;"",$I1170="تم تحرير مخالفة"),1,0)</f>
        <v/>
      </c>
      <c r="X1170" s="24">
        <f>IF($B1170="","",IF($S1170=WkStart,COUNTIF($S$5:$S1170,WkStart),""))</f>
        <v/>
      </c>
    </row>
    <row r="1171">
      <c r="A1171" s="16">
        <f>IF($B1171="","",ROW()-4)</f>
        <v/>
      </c>
      <c r="B1171" s="17" t="n"/>
      <c r="C1171" s="18" t="n"/>
      <c r="D1171" s="18" t="n"/>
      <c r="E1171" s="19" t="n"/>
      <c r="F1171" s="19" t="n"/>
      <c r="G1171" s="18" t="n"/>
      <c r="H1171" s="18" t="n"/>
      <c r="I1171" s="18" t="n"/>
      <c r="J1171" s="20" t="n"/>
      <c r="K1171" s="21" t="n"/>
      <c r="L1171" s="21" t="n"/>
      <c r="M1171" s="18" t="n"/>
      <c r="N1171" s="22">
        <f>IF($B1171="","",CHOOSE(WEEKDAY($B1171),"الأحد","الاثنين","الثلاثاء","الأربعاء","الخميس","الجمعة","السبت"))</f>
        <v/>
      </c>
      <c r="O1171" s="23">
        <f>IF(OR($K1171="",$L1171=""),"",HYPERLINK("https://maps.google.com/?q="&amp;$K1171&amp;","&amp;$L1171,"عرض الموقع"))</f>
        <v/>
      </c>
      <c r="P1171" s="23">
        <f>IF(OR($B1171="",N($J1171)=0),"",HYPERLINK(PhotoDir&amp;"/"&amp;YEAR($B1171)&amp;"-"&amp;TEXT(MONTH($B1171),"00")&amp;"-"&amp;TEXT(DAY($B1171),"00")&amp;"_"&amp;$D1171,"فتح الصور ("&amp;$J1171&amp;")"))</f>
        <v/>
      </c>
      <c r="Q1171" s="24">
        <f>IF($B1171="","",MONTH($B1171))</f>
        <v/>
      </c>
      <c r="R1171" s="24">
        <f>IF($B1171="","",YEAR($B1171))</f>
        <v/>
      </c>
      <c r="S1171" s="25">
        <f>IF($B1171="","",$B1171-WEEKDAY($B1171,3))</f>
        <v/>
      </c>
      <c r="T1171" s="24">
        <f>IF($B1171="",0,IF(COUNTIFS($B$5:$B1171,$B1171,$D$5:$D1171,$D1171)=1,1,0))</f>
        <v/>
      </c>
      <c r="U1171" s="24">
        <f>IF($B1171="",0,IF(COUNTIFS($B$5:$B1171,$B1171,$C$5:$C1171,$C1171)=1,1,0))</f>
        <v/>
      </c>
      <c r="V1171" s="24">
        <f>IF(OR($B1171="",$G1171="",$G1171="لا توجد مشاهدات"),0,1)</f>
        <v/>
      </c>
      <c r="W1171" s="24">
        <f>IF(AND($B1171&lt;&gt;"",$I1171="تم تحرير مخالفة"),1,0)</f>
        <v/>
      </c>
      <c r="X1171" s="24">
        <f>IF($B1171="","",IF($S1171=WkStart,COUNTIF($S$5:$S1171,WkStart),""))</f>
        <v/>
      </c>
    </row>
    <row r="1172">
      <c r="A1172" s="16">
        <f>IF($B1172="","",ROW()-4)</f>
        <v/>
      </c>
      <c r="B1172" s="17" t="n"/>
      <c r="C1172" s="18" t="n"/>
      <c r="D1172" s="18" t="n"/>
      <c r="E1172" s="19" t="n"/>
      <c r="F1172" s="19" t="n"/>
      <c r="G1172" s="18" t="n"/>
      <c r="H1172" s="18" t="n"/>
      <c r="I1172" s="18" t="n"/>
      <c r="J1172" s="20" t="n"/>
      <c r="K1172" s="21" t="n"/>
      <c r="L1172" s="21" t="n"/>
      <c r="M1172" s="18" t="n"/>
      <c r="N1172" s="22">
        <f>IF($B1172="","",CHOOSE(WEEKDAY($B1172),"الأحد","الاثنين","الثلاثاء","الأربعاء","الخميس","الجمعة","السبت"))</f>
        <v/>
      </c>
      <c r="O1172" s="23">
        <f>IF(OR($K1172="",$L1172=""),"",HYPERLINK("https://maps.google.com/?q="&amp;$K1172&amp;","&amp;$L1172,"عرض الموقع"))</f>
        <v/>
      </c>
      <c r="P1172" s="23">
        <f>IF(OR($B1172="",N($J1172)=0),"",HYPERLINK(PhotoDir&amp;"/"&amp;YEAR($B1172)&amp;"-"&amp;TEXT(MONTH($B1172),"00")&amp;"-"&amp;TEXT(DAY($B1172),"00")&amp;"_"&amp;$D1172,"فتح الصور ("&amp;$J1172&amp;")"))</f>
        <v/>
      </c>
      <c r="Q1172" s="24">
        <f>IF($B1172="","",MONTH($B1172))</f>
        <v/>
      </c>
      <c r="R1172" s="24">
        <f>IF($B1172="","",YEAR($B1172))</f>
        <v/>
      </c>
      <c r="S1172" s="25">
        <f>IF($B1172="","",$B1172-WEEKDAY($B1172,3))</f>
        <v/>
      </c>
      <c r="T1172" s="24">
        <f>IF($B1172="",0,IF(COUNTIFS($B$5:$B1172,$B1172,$D$5:$D1172,$D1172)=1,1,0))</f>
        <v/>
      </c>
      <c r="U1172" s="24">
        <f>IF($B1172="",0,IF(COUNTIFS($B$5:$B1172,$B1172,$C$5:$C1172,$C1172)=1,1,0))</f>
        <v/>
      </c>
      <c r="V1172" s="24">
        <f>IF(OR($B1172="",$G1172="",$G1172="لا توجد مشاهدات"),0,1)</f>
        <v/>
      </c>
      <c r="W1172" s="24">
        <f>IF(AND($B1172&lt;&gt;"",$I1172="تم تحرير مخالفة"),1,0)</f>
        <v/>
      </c>
      <c r="X1172" s="24">
        <f>IF($B1172="","",IF($S1172=WkStart,COUNTIF($S$5:$S1172,WkStart),""))</f>
        <v/>
      </c>
    </row>
    <row r="1173">
      <c r="A1173" s="16">
        <f>IF($B1173="","",ROW()-4)</f>
        <v/>
      </c>
      <c r="B1173" s="17" t="n"/>
      <c r="C1173" s="18" t="n"/>
      <c r="D1173" s="18" t="n"/>
      <c r="E1173" s="19" t="n"/>
      <c r="F1173" s="19" t="n"/>
      <c r="G1173" s="18" t="n"/>
      <c r="H1173" s="18" t="n"/>
      <c r="I1173" s="18" t="n"/>
      <c r="J1173" s="20" t="n"/>
      <c r="K1173" s="21" t="n"/>
      <c r="L1173" s="21" t="n"/>
      <c r="M1173" s="18" t="n"/>
      <c r="N1173" s="22">
        <f>IF($B1173="","",CHOOSE(WEEKDAY($B1173),"الأحد","الاثنين","الثلاثاء","الأربعاء","الخميس","الجمعة","السبت"))</f>
        <v/>
      </c>
      <c r="O1173" s="23">
        <f>IF(OR($K1173="",$L1173=""),"",HYPERLINK("https://maps.google.com/?q="&amp;$K1173&amp;","&amp;$L1173,"عرض الموقع"))</f>
        <v/>
      </c>
      <c r="P1173" s="23">
        <f>IF(OR($B1173="",N($J1173)=0),"",HYPERLINK(PhotoDir&amp;"/"&amp;YEAR($B1173)&amp;"-"&amp;TEXT(MONTH($B1173),"00")&amp;"-"&amp;TEXT(DAY($B1173),"00")&amp;"_"&amp;$D1173,"فتح الصور ("&amp;$J1173&amp;")"))</f>
        <v/>
      </c>
      <c r="Q1173" s="24">
        <f>IF($B1173="","",MONTH($B1173))</f>
        <v/>
      </c>
      <c r="R1173" s="24">
        <f>IF($B1173="","",YEAR($B1173))</f>
        <v/>
      </c>
      <c r="S1173" s="25">
        <f>IF($B1173="","",$B1173-WEEKDAY($B1173,3))</f>
        <v/>
      </c>
      <c r="T1173" s="24">
        <f>IF($B1173="",0,IF(COUNTIFS($B$5:$B1173,$B1173,$D$5:$D1173,$D1173)=1,1,0))</f>
        <v/>
      </c>
      <c r="U1173" s="24">
        <f>IF($B1173="",0,IF(COUNTIFS($B$5:$B1173,$B1173,$C$5:$C1173,$C1173)=1,1,0))</f>
        <v/>
      </c>
      <c r="V1173" s="24">
        <f>IF(OR($B1173="",$G1173="",$G1173="لا توجد مشاهدات"),0,1)</f>
        <v/>
      </c>
      <c r="W1173" s="24">
        <f>IF(AND($B1173&lt;&gt;"",$I1173="تم تحرير مخالفة"),1,0)</f>
        <v/>
      </c>
      <c r="X1173" s="24">
        <f>IF($B1173="","",IF($S1173=WkStart,COUNTIF($S$5:$S1173,WkStart),""))</f>
        <v/>
      </c>
    </row>
    <row r="1174">
      <c r="A1174" s="16">
        <f>IF($B1174="","",ROW()-4)</f>
        <v/>
      </c>
      <c r="B1174" s="17" t="n"/>
      <c r="C1174" s="18" t="n"/>
      <c r="D1174" s="18" t="n"/>
      <c r="E1174" s="19" t="n"/>
      <c r="F1174" s="19" t="n"/>
      <c r="G1174" s="18" t="n"/>
      <c r="H1174" s="18" t="n"/>
      <c r="I1174" s="18" t="n"/>
      <c r="J1174" s="20" t="n"/>
      <c r="K1174" s="21" t="n"/>
      <c r="L1174" s="21" t="n"/>
      <c r="M1174" s="18" t="n"/>
      <c r="N1174" s="22">
        <f>IF($B1174="","",CHOOSE(WEEKDAY($B1174),"الأحد","الاثنين","الثلاثاء","الأربعاء","الخميس","الجمعة","السبت"))</f>
        <v/>
      </c>
      <c r="O1174" s="23">
        <f>IF(OR($K1174="",$L1174=""),"",HYPERLINK("https://maps.google.com/?q="&amp;$K1174&amp;","&amp;$L1174,"عرض الموقع"))</f>
        <v/>
      </c>
      <c r="P1174" s="23">
        <f>IF(OR($B1174="",N($J1174)=0),"",HYPERLINK(PhotoDir&amp;"/"&amp;YEAR($B1174)&amp;"-"&amp;TEXT(MONTH($B1174),"00")&amp;"-"&amp;TEXT(DAY($B1174),"00")&amp;"_"&amp;$D1174,"فتح الصور ("&amp;$J1174&amp;")"))</f>
        <v/>
      </c>
      <c r="Q1174" s="24">
        <f>IF($B1174="","",MONTH($B1174))</f>
        <v/>
      </c>
      <c r="R1174" s="24">
        <f>IF($B1174="","",YEAR($B1174))</f>
        <v/>
      </c>
      <c r="S1174" s="25">
        <f>IF($B1174="","",$B1174-WEEKDAY($B1174,3))</f>
        <v/>
      </c>
      <c r="T1174" s="24">
        <f>IF($B1174="",0,IF(COUNTIFS($B$5:$B1174,$B1174,$D$5:$D1174,$D1174)=1,1,0))</f>
        <v/>
      </c>
      <c r="U1174" s="24">
        <f>IF($B1174="",0,IF(COUNTIFS($B$5:$B1174,$B1174,$C$5:$C1174,$C1174)=1,1,0))</f>
        <v/>
      </c>
      <c r="V1174" s="24">
        <f>IF(OR($B1174="",$G1174="",$G1174="لا توجد مشاهدات"),0,1)</f>
        <v/>
      </c>
      <c r="W1174" s="24">
        <f>IF(AND($B1174&lt;&gt;"",$I1174="تم تحرير مخالفة"),1,0)</f>
        <v/>
      </c>
      <c r="X1174" s="24">
        <f>IF($B1174="","",IF($S1174=WkStart,COUNTIF($S$5:$S1174,WkStart),""))</f>
        <v/>
      </c>
    </row>
    <row r="1175">
      <c r="A1175" s="16">
        <f>IF($B1175="","",ROW()-4)</f>
        <v/>
      </c>
      <c r="B1175" s="17" t="n"/>
      <c r="C1175" s="18" t="n"/>
      <c r="D1175" s="18" t="n"/>
      <c r="E1175" s="19" t="n"/>
      <c r="F1175" s="19" t="n"/>
      <c r="G1175" s="18" t="n"/>
      <c r="H1175" s="18" t="n"/>
      <c r="I1175" s="18" t="n"/>
      <c r="J1175" s="20" t="n"/>
      <c r="K1175" s="21" t="n"/>
      <c r="L1175" s="21" t="n"/>
      <c r="M1175" s="18" t="n"/>
      <c r="N1175" s="22">
        <f>IF($B1175="","",CHOOSE(WEEKDAY($B1175),"الأحد","الاثنين","الثلاثاء","الأربعاء","الخميس","الجمعة","السبت"))</f>
        <v/>
      </c>
      <c r="O1175" s="23">
        <f>IF(OR($K1175="",$L1175=""),"",HYPERLINK("https://maps.google.com/?q="&amp;$K1175&amp;","&amp;$L1175,"عرض الموقع"))</f>
        <v/>
      </c>
      <c r="P1175" s="23">
        <f>IF(OR($B1175="",N($J1175)=0),"",HYPERLINK(PhotoDir&amp;"/"&amp;YEAR($B1175)&amp;"-"&amp;TEXT(MONTH($B1175),"00")&amp;"-"&amp;TEXT(DAY($B1175),"00")&amp;"_"&amp;$D1175,"فتح الصور ("&amp;$J1175&amp;")"))</f>
        <v/>
      </c>
      <c r="Q1175" s="24">
        <f>IF($B1175="","",MONTH($B1175))</f>
        <v/>
      </c>
      <c r="R1175" s="24">
        <f>IF($B1175="","",YEAR($B1175))</f>
        <v/>
      </c>
      <c r="S1175" s="25">
        <f>IF($B1175="","",$B1175-WEEKDAY($B1175,3))</f>
        <v/>
      </c>
      <c r="T1175" s="24">
        <f>IF($B1175="",0,IF(COUNTIFS($B$5:$B1175,$B1175,$D$5:$D1175,$D1175)=1,1,0))</f>
        <v/>
      </c>
      <c r="U1175" s="24">
        <f>IF($B1175="",0,IF(COUNTIFS($B$5:$B1175,$B1175,$C$5:$C1175,$C1175)=1,1,0))</f>
        <v/>
      </c>
      <c r="V1175" s="24">
        <f>IF(OR($B1175="",$G1175="",$G1175="لا توجد مشاهدات"),0,1)</f>
        <v/>
      </c>
      <c r="W1175" s="24">
        <f>IF(AND($B1175&lt;&gt;"",$I1175="تم تحرير مخالفة"),1,0)</f>
        <v/>
      </c>
      <c r="X1175" s="24">
        <f>IF($B1175="","",IF($S1175=WkStart,COUNTIF($S$5:$S1175,WkStart),""))</f>
        <v/>
      </c>
    </row>
    <row r="1176">
      <c r="A1176" s="16">
        <f>IF($B1176="","",ROW()-4)</f>
        <v/>
      </c>
      <c r="B1176" s="17" t="n"/>
      <c r="C1176" s="18" t="n"/>
      <c r="D1176" s="18" t="n"/>
      <c r="E1176" s="19" t="n"/>
      <c r="F1176" s="19" t="n"/>
      <c r="G1176" s="18" t="n"/>
      <c r="H1176" s="18" t="n"/>
      <c r="I1176" s="18" t="n"/>
      <c r="J1176" s="20" t="n"/>
      <c r="K1176" s="21" t="n"/>
      <c r="L1176" s="21" t="n"/>
      <c r="M1176" s="18" t="n"/>
      <c r="N1176" s="22">
        <f>IF($B1176="","",CHOOSE(WEEKDAY($B1176),"الأحد","الاثنين","الثلاثاء","الأربعاء","الخميس","الجمعة","السبت"))</f>
        <v/>
      </c>
      <c r="O1176" s="23">
        <f>IF(OR($K1176="",$L1176=""),"",HYPERLINK("https://maps.google.com/?q="&amp;$K1176&amp;","&amp;$L1176,"عرض الموقع"))</f>
        <v/>
      </c>
      <c r="P1176" s="23">
        <f>IF(OR($B1176="",N($J1176)=0),"",HYPERLINK(PhotoDir&amp;"/"&amp;YEAR($B1176)&amp;"-"&amp;TEXT(MONTH($B1176),"00")&amp;"-"&amp;TEXT(DAY($B1176),"00")&amp;"_"&amp;$D1176,"فتح الصور ("&amp;$J1176&amp;")"))</f>
        <v/>
      </c>
      <c r="Q1176" s="24">
        <f>IF($B1176="","",MONTH($B1176))</f>
        <v/>
      </c>
      <c r="R1176" s="24">
        <f>IF($B1176="","",YEAR($B1176))</f>
        <v/>
      </c>
      <c r="S1176" s="25">
        <f>IF($B1176="","",$B1176-WEEKDAY($B1176,3))</f>
        <v/>
      </c>
      <c r="T1176" s="24">
        <f>IF($B1176="",0,IF(COUNTIFS($B$5:$B1176,$B1176,$D$5:$D1176,$D1176)=1,1,0))</f>
        <v/>
      </c>
      <c r="U1176" s="24">
        <f>IF($B1176="",0,IF(COUNTIFS($B$5:$B1176,$B1176,$C$5:$C1176,$C1176)=1,1,0))</f>
        <v/>
      </c>
      <c r="V1176" s="24">
        <f>IF(OR($B1176="",$G1176="",$G1176="لا توجد مشاهدات"),0,1)</f>
        <v/>
      </c>
      <c r="W1176" s="24">
        <f>IF(AND($B1176&lt;&gt;"",$I1176="تم تحرير مخالفة"),1,0)</f>
        <v/>
      </c>
      <c r="X1176" s="24">
        <f>IF($B1176="","",IF($S1176=WkStart,COUNTIF($S$5:$S1176,WkStart),""))</f>
        <v/>
      </c>
    </row>
    <row r="1177">
      <c r="A1177" s="16">
        <f>IF($B1177="","",ROW()-4)</f>
        <v/>
      </c>
      <c r="B1177" s="17" t="n"/>
      <c r="C1177" s="18" t="n"/>
      <c r="D1177" s="18" t="n"/>
      <c r="E1177" s="19" t="n"/>
      <c r="F1177" s="19" t="n"/>
      <c r="G1177" s="18" t="n"/>
      <c r="H1177" s="18" t="n"/>
      <c r="I1177" s="18" t="n"/>
      <c r="J1177" s="20" t="n"/>
      <c r="K1177" s="21" t="n"/>
      <c r="L1177" s="21" t="n"/>
      <c r="M1177" s="18" t="n"/>
      <c r="N1177" s="22">
        <f>IF($B1177="","",CHOOSE(WEEKDAY($B1177),"الأحد","الاثنين","الثلاثاء","الأربعاء","الخميس","الجمعة","السبت"))</f>
        <v/>
      </c>
      <c r="O1177" s="23">
        <f>IF(OR($K1177="",$L1177=""),"",HYPERLINK("https://maps.google.com/?q="&amp;$K1177&amp;","&amp;$L1177,"عرض الموقع"))</f>
        <v/>
      </c>
      <c r="P1177" s="23">
        <f>IF(OR($B1177="",N($J1177)=0),"",HYPERLINK(PhotoDir&amp;"/"&amp;YEAR($B1177)&amp;"-"&amp;TEXT(MONTH($B1177),"00")&amp;"-"&amp;TEXT(DAY($B1177),"00")&amp;"_"&amp;$D1177,"فتح الصور ("&amp;$J1177&amp;")"))</f>
        <v/>
      </c>
      <c r="Q1177" s="24">
        <f>IF($B1177="","",MONTH($B1177))</f>
        <v/>
      </c>
      <c r="R1177" s="24">
        <f>IF($B1177="","",YEAR($B1177))</f>
        <v/>
      </c>
      <c r="S1177" s="25">
        <f>IF($B1177="","",$B1177-WEEKDAY($B1177,3))</f>
        <v/>
      </c>
      <c r="T1177" s="24">
        <f>IF($B1177="",0,IF(COUNTIFS($B$5:$B1177,$B1177,$D$5:$D1177,$D1177)=1,1,0))</f>
        <v/>
      </c>
      <c r="U1177" s="24">
        <f>IF($B1177="",0,IF(COUNTIFS($B$5:$B1177,$B1177,$C$5:$C1177,$C1177)=1,1,0))</f>
        <v/>
      </c>
      <c r="V1177" s="24">
        <f>IF(OR($B1177="",$G1177="",$G1177="لا توجد مشاهدات"),0,1)</f>
        <v/>
      </c>
      <c r="W1177" s="24">
        <f>IF(AND($B1177&lt;&gt;"",$I1177="تم تحرير مخالفة"),1,0)</f>
        <v/>
      </c>
      <c r="X1177" s="24">
        <f>IF($B1177="","",IF($S1177=WkStart,COUNTIF($S$5:$S1177,WkStart),""))</f>
        <v/>
      </c>
    </row>
    <row r="1178">
      <c r="A1178" s="16">
        <f>IF($B1178="","",ROW()-4)</f>
        <v/>
      </c>
      <c r="B1178" s="17" t="n"/>
      <c r="C1178" s="18" t="n"/>
      <c r="D1178" s="18" t="n"/>
      <c r="E1178" s="19" t="n"/>
      <c r="F1178" s="19" t="n"/>
      <c r="G1178" s="18" t="n"/>
      <c r="H1178" s="18" t="n"/>
      <c r="I1178" s="18" t="n"/>
      <c r="J1178" s="20" t="n"/>
      <c r="K1178" s="21" t="n"/>
      <c r="L1178" s="21" t="n"/>
      <c r="M1178" s="18" t="n"/>
      <c r="N1178" s="22">
        <f>IF($B1178="","",CHOOSE(WEEKDAY($B1178),"الأحد","الاثنين","الثلاثاء","الأربعاء","الخميس","الجمعة","السبت"))</f>
        <v/>
      </c>
      <c r="O1178" s="23">
        <f>IF(OR($K1178="",$L1178=""),"",HYPERLINK("https://maps.google.com/?q="&amp;$K1178&amp;","&amp;$L1178,"عرض الموقع"))</f>
        <v/>
      </c>
      <c r="P1178" s="23">
        <f>IF(OR($B1178="",N($J1178)=0),"",HYPERLINK(PhotoDir&amp;"/"&amp;YEAR($B1178)&amp;"-"&amp;TEXT(MONTH($B1178),"00")&amp;"-"&amp;TEXT(DAY($B1178),"00")&amp;"_"&amp;$D1178,"فتح الصور ("&amp;$J1178&amp;")"))</f>
        <v/>
      </c>
      <c r="Q1178" s="24">
        <f>IF($B1178="","",MONTH($B1178))</f>
        <v/>
      </c>
      <c r="R1178" s="24">
        <f>IF($B1178="","",YEAR($B1178))</f>
        <v/>
      </c>
      <c r="S1178" s="25">
        <f>IF($B1178="","",$B1178-WEEKDAY($B1178,3))</f>
        <v/>
      </c>
      <c r="T1178" s="24">
        <f>IF($B1178="",0,IF(COUNTIFS($B$5:$B1178,$B1178,$D$5:$D1178,$D1178)=1,1,0))</f>
        <v/>
      </c>
      <c r="U1178" s="24">
        <f>IF($B1178="",0,IF(COUNTIFS($B$5:$B1178,$B1178,$C$5:$C1178,$C1178)=1,1,0))</f>
        <v/>
      </c>
      <c r="V1178" s="24">
        <f>IF(OR($B1178="",$G1178="",$G1178="لا توجد مشاهدات"),0,1)</f>
        <v/>
      </c>
      <c r="W1178" s="24">
        <f>IF(AND($B1178&lt;&gt;"",$I1178="تم تحرير مخالفة"),1,0)</f>
        <v/>
      </c>
      <c r="X1178" s="24">
        <f>IF($B1178="","",IF($S1178=WkStart,COUNTIF($S$5:$S1178,WkStart),""))</f>
        <v/>
      </c>
    </row>
    <row r="1179">
      <c r="A1179" s="16">
        <f>IF($B1179="","",ROW()-4)</f>
        <v/>
      </c>
      <c r="B1179" s="17" t="n"/>
      <c r="C1179" s="18" t="n"/>
      <c r="D1179" s="18" t="n"/>
      <c r="E1179" s="19" t="n"/>
      <c r="F1179" s="19" t="n"/>
      <c r="G1179" s="18" t="n"/>
      <c r="H1179" s="18" t="n"/>
      <c r="I1179" s="18" t="n"/>
      <c r="J1179" s="20" t="n"/>
      <c r="K1179" s="21" t="n"/>
      <c r="L1179" s="21" t="n"/>
      <c r="M1179" s="18" t="n"/>
      <c r="N1179" s="22">
        <f>IF($B1179="","",CHOOSE(WEEKDAY($B1179),"الأحد","الاثنين","الثلاثاء","الأربعاء","الخميس","الجمعة","السبت"))</f>
        <v/>
      </c>
      <c r="O1179" s="23">
        <f>IF(OR($K1179="",$L1179=""),"",HYPERLINK("https://maps.google.com/?q="&amp;$K1179&amp;","&amp;$L1179,"عرض الموقع"))</f>
        <v/>
      </c>
      <c r="P1179" s="23">
        <f>IF(OR($B1179="",N($J1179)=0),"",HYPERLINK(PhotoDir&amp;"/"&amp;YEAR($B1179)&amp;"-"&amp;TEXT(MONTH($B1179),"00")&amp;"-"&amp;TEXT(DAY($B1179),"00")&amp;"_"&amp;$D1179,"فتح الصور ("&amp;$J1179&amp;")"))</f>
        <v/>
      </c>
      <c r="Q1179" s="24">
        <f>IF($B1179="","",MONTH($B1179))</f>
        <v/>
      </c>
      <c r="R1179" s="24">
        <f>IF($B1179="","",YEAR($B1179))</f>
        <v/>
      </c>
      <c r="S1179" s="25">
        <f>IF($B1179="","",$B1179-WEEKDAY($B1179,3))</f>
        <v/>
      </c>
      <c r="T1179" s="24">
        <f>IF($B1179="",0,IF(COUNTIFS($B$5:$B1179,$B1179,$D$5:$D1179,$D1179)=1,1,0))</f>
        <v/>
      </c>
      <c r="U1179" s="24">
        <f>IF($B1179="",0,IF(COUNTIFS($B$5:$B1179,$B1179,$C$5:$C1179,$C1179)=1,1,0))</f>
        <v/>
      </c>
      <c r="V1179" s="24">
        <f>IF(OR($B1179="",$G1179="",$G1179="لا توجد مشاهدات"),0,1)</f>
        <v/>
      </c>
      <c r="W1179" s="24">
        <f>IF(AND($B1179&lt;&gt;"",$I1179="تم تحرير مخالفة"),1,0)</f>
        <v/>
      </c>
      <c r="X1179" s="24">
        <f>IF($B1179="","",IF($S1179=WkStart,COUNTIF($S$5:$S1179,WkStart),""))</f>
        <v/>
      </c>
    </row>
    <row r="1180">
      <c r="A1180" s="16">
        <f>IF($B1180="","",ROW()-4)</f>
        <v/>
      </c>
      <c r="B1180" s="17" t="n"/>
      <c r="C1180" s="18" t="n"/>
      <c r="D1180" s="18" t="n"/>
      <c r="E1180" s="19" t="n"/>
      <c r="F1180" s="19" t="n"/>
      <c r="G1180" s="18" t="n"/>
      <c r="H1180" s="18" t="n"/>
      <c r="I1180" s="18" t="n"/>
      <c r="J1180" s="20" t="n"/>
      <c r="K1180" s="21" t="n"/>
      <c r="L1180" s="21" t="n"/>
      <c r="M1180" s="18" t="n"/>
      <c r="N1180" s="22">
        <f>IF($B1180="","",CHOOSE(WEEKDAY($B1180),"الأحد","الاثنين","الثلاثاء","الأربعاء","الخميس","الجمعة","السبت"))</f>
        <v/>
      </c>
      <c r="O1180" s="23">
        <f>IF(OR($K1180="",$L1180=""),"",HYPERLINK("https://maps.google.com/?q="&amp;$K1180&amp;","&amp;$L1180,"عرض الموقع"))</f>
        <v/>
      </c>
      <c r="P1180" s="23">
        <f>IF(OR($B1180="",N($J1180)=0),"",HYPERLINK(PhotoDir&amp;"/"&amp;YEAR($B1180)&amp;"-"&amp;TEXT(MONTH($B1180),"00")&amp;"-"&amp;TEXT(DAY($B1180),"00")&amp;"_"&amp;$D1180,"فتح الصور ("&amp;$J1180&amp;")"))</f>
        <v/>
      </c>
      <c r="Q1180" s="24">
        <f>IF($B1180="","",MONTH($B1180))</f>
        <v/>
      </c>
      <c r="R1180" s="24">
        <f>IF($B1180="","",YEAR($B1180))</f>
        <v/>
      </c>
      <c r="S1180" s="25">
        <f>IF($B1180="","",$B1180-WEEKDAY($B1180,3))</f>
        <v/>
      </c>
      <c r="T1180" s="24">
        <f>IF($B1180="",0,IF(COUNTIFS($B$5:$B1180,$B1180,$D$5:$D1180,$D1180)=1,1,0))</f>
        <v/>
      </c>
      <c r="U1180" s="24">
        <f>IF($B1180="",0,IF(COUNTIFS($B$5:$B1180,$B1180,$C$5:$C1180,$C1180)=1,1,0))</f>
        <v/>
      </c>
      <c r="V1180" s="24">
        <f>IF(OR($B1180="",$G1180="",$G1180="لا توجد مشاهدات"),0,1)</f>
        <v/>
      </c>
      <c r="W1180" s="24">
        <f>IF(AND($B1180&lt;&gt;"",$I1180="تم تحرير مخالفة"),1,0)</f>
        <v/>
      </c>
      <c r="X1180" s="24">
        <f>IF($B1180="","",IF($S1180=WkStart,COUNTIF($S$5:$S1180,WkStart),""))</f>
        <v/>
      </c>
    </row>
    <row r="1181">
      <c r="A1181" s="16">
        <f>IF($B1181="","",ROW()-4)</f>
        <v/>
      </c>
      <c r="B1181" s="17" t="n"/>
      <c r="C1181" s="18" t="n"/>
      <c r="D1181" s="18" t="n"/>
      <c r="E1181" s="19" t="n"/>
      <c r="F1181" s="19" t="n"/>
      <c r="G1181" s="18" t="n"/>
      <c r="H1181" s="18" t="n"/>
      <c r="I1181" s="18" t="n"/>
      <c r="J1181" s="20" t="n"/>
      <c r="K1181" s="21" t="n"/>
      <c r="L1181" s="21" t="n"/>
      <c r="M1181" s="18" t="n"/>
      <c r="N1181" s="22">
        <f>IF($B1181="","",CHOOSE(WEEKDAY($B1181),"الأحد","الاثنين","الثلاثاء","الأربعاء","الخميس","الجمعة","السبت"))</f>
        <v/>
      </c>
      <c r="O1181" s="23">
        <f>IF(OR($K1181="",$L1181=""),"",HYPERLINK("https://maps.google.com/?q="&amp;$K1181&amp;","&amp;$L1181,"عرض الموقع"))</f>
        <v/>
      </c>
      <c r="P1181" s="23">
        <f>IF(OR($B1181="",N($J1181)=0),"",HYPERLINK(PhotoDir&amp;"/"&amp;YEAR($B1181)&amp;"-"&amp;TEXT(MONTH($B1181),"00")&amp;"-"&amp;TEXT(DAY($B1181),"00")&amp;"_"&amp;$D1181,"فتح الصور ("&amp;$J1181&amp;")"))</f>
        <v/>
      </c>
      <c r="Q1181" s="24">
        <f>IF($B1181="","",MONTH($B1181))</f>
        <v/>
      </c>
      <c r="R1181" s="24">
        <f>IF($B1181="","",YEAR($B1181))</f>
        <v/>
      </c>
      <c r="S1181" s="25">
        <f>IF($B1181="","",$B1181-WEEKDAY($B1181,3))</f>
        <v/>
      </c>
      <c r="T1181" s="24">
        <f>IF($B1181="",0,IF(COUNTIFS($B$5:$B1181,$B1181,$D$5:$D1181,$D1181)=1,1,0))</f>
        <v/>
      </c>
      <c r="U1181" s="24">
        <f>IF($B1181="",0,IF(COUNTIFS($B$5:$B1181,$B1181,$C$5:$C1181,$C1181)=1,1,0))</f>
        <v/>
      </c>
      <c r="V1181" s="24">
        <f>IF(OR($B1181="",$G1181="",$G1181="لا توجد مشاهدات"),0,1)</f>
        <v/>
      </c>
      <c r="W1181" s="24">
        <f>IF(AND($B1181&lt;&gt;"",$I1181="تم تحرير مخالفة"),1,0)</f>
        <v/>
      </c>
      <c r="X1181" s="24">
        <f>IF($B1181="","",IF($S1181=WkStart,COUNTIF($S$5:$S1181,WkStart),""))</f>
        <v/>
      </c>
    </row>
    <row r="1182">
      <c r="A1182" s="16">
        <f>IF($B1182="","",ROW()-4)</f>
        <v/>
      </c>
      <c r="B1182" s="17" t="n"/>
      <c r="C1182" s="18" t="n"/>
      <c r="D1182" s="18" t="n"/>
      <c r="E1182" s="19" t="n"/>
      <c r="F1182" s="19" t="n"/>
      <c r="G1182" s="18" t="n"/>
      <c r="H1182" s="18" t="n"/>
      <c r="I1182" s="18" t="n"/>
      <c r="J1182" s="20" t="n"/>
      <c r="K1182" s="21" t="n"/>
      <c r="L1182" s="21" t="n"/>
      <c r="M1182" s="18" t="n"/>
      <c r="N1182" s="22">
        <f>IF($B1182="","",CHOOSE(WEEKDAY($B1182),"الأحد","الاثنين","الثلاثاء","الأربعاء","الخميس","الجمعة","السبت"))</f>
        <v/>
      </c>
      <c r="O1182" s="23">
        <f>IF(OR($K1182="",$L1182=""),"",HYPERLINK("https://maps.google.com/?q="&amp;$K1182&amp;","&amp;$L1182,"عرض الموقع"))</f>
        <v/>
      </c>
      <c r="P1182" s="23">
        <f>IF(OR($B1182="",N($J1182)=0),"",HYPERLINK(PhotoDir&amp;"/"&amp;YEAR($B1182)&amp;"-"&amp;TEXT(MONTH($B1182),"00")&amp;"-"&amp;TEXT(DAY($B1182),"00")&amp;"_"&amp;$D1182,"فتح الصور ("&amp;$J1182&amp;")"))</f>
        <v/>
      </c>
      <c r="Q1182" s="24">
        <f>IF($B1182="","",MONTH($B1182))</f>
        <v/>
      </c>
      <c r="R1182" s="24">
        <f>IF($B1182="","",YEAR($B1182))</f>
        <v/>
      </c>
      <c r="S1182" s="25">
        <f>IF($B1182="","",$B1182-WEEKDAY($B1182,3))</f>
        <v/>
      </c>
      <c r="T1182" s="24">
        <f>IF($B1182="",0,IF(COUNTIFS($B$5:$B1182,$B1182,$D$5:$D1182,$D1182)=1,1,0))</f>
        <v/>
      </c>
      <c r="U1182" s="24">
        <f>IF($B1182="",0,IF(COUNTIFS($B$5:$B1182,$B1182,$C$5:$C1182,$C1182)=1,1,0))</f>
        <v/>
      </c>
      <c r="V1182" s="24">
        <f>IF(OR($B1182="",$G1182="",$G1182="لا توجد مشاهدات"),0,1)</f>
        <v/>
      </c>
      <c r="W1182" s="24">
        <f>IF(AND($B1182&lt;&gt;"",$I1182="تم تحرير مخالفة"),1,0)</f>
        <v/>
      </c>
      <c r="X1182" s="24">
        <f>IF($B1182="","",IF($S1182=WkStart,COUNTIF($S$5:$S1182,WkStart),""))</f>
        <v/>
      </c>
    </row>
    <row r="1183">
      <c r="A1183" s="16">
        <f>IF($B1183="","",ROW()-4)</f>
        <v/>
      </c>
      <c r="B1183" s="17" t="n"/>
      <c r="C1183" s="18" t="n"/>
      <c r="D1183" s="18" t="n"/>
      <c r="E1183" s="19" t="n"/>
      <c r="F1183" s="19" t="n"/>
      <c r="G1183" s="18" t="n"/>
      <c r="H1183" s="18" t="n"/>
      <c r="I1183" s="18" t="n"/>
      <c r="J1183" s="20" t="n"/>
      <c r="K1183" s="21" t="n"/>
      <c r="L1183" s="21" t="n"/>
      <c r="M1183" s="18" t="n"/>
      <c r="N1183" s="22">
        <f>IF($B1183="","",CHOOSE(WEEKDAY($B1183),"الأحد","الاثنين","الثلاثاء","الأربعاء","الخميس","الجمعة","السبت"))</f>
        <v/>
      </c>
      <c r="O1183" s="23">
        <f>IF(OR($K1183="",$L1183=""),"",HYPERLINK("https://maps.google.com/?q="&amp;$K1183&amp;","&amp;$L1183,"عرض الموقع"))</f>
        <v/>
      </c>
      <c r="P1183" s="23">
        <f>IF(OR($B1183="",N($J1183)=0),"",HYPERLINK(PhotoDir&amp;"/"&amp;YEAR($B1183)&amp;"-"&amp;TEXT(MONTH($B1183),"00")&amp;"-"&amp;TEXT(DAY($B1183),"00")&amp;"_"&amp;$D1183,"فتح الصور ("&amp;$J1183&amp;")"))</f>
        <v/>
      </c>
      <c r="Q1183" s="24">
        <f>IF($B1183="","",MONTH($B1183))</f>
        <v/>
      </c>
      <c r="R1183" s="24">
        <f>IF($B1183="","",YEAR($B1183))</f>
        <v/>
      </c>
      <c r="S1183" s="25">
        <f>IF($B1183="","",$B1183-WEEKDAY($B1183,3))</f>
        <v/>
      </c>
      <c r="T1183" s="24">
        <f>IF($B1183="",0,IF(COUNTIFS($B$5:$B1183,$B1183,$D$5:$D1183,$D1183)=1,1,0))</f>
        <v/>
      </c>
      <c r="U1183" s="24">
        <f>IF($B1183="",0,IF(COUNTIFS($B$5:$B1183,$B1183,$C$5:$C1183,$C1183)=1,1,0))</f>
        <v/>
      </c>
      <c r="V1183" s="24">
        <f>IF(OR($B1183="",$G1183="",$G1183="لا توجد مشاهدات"),0,1)</f>
        <v/>
      </c>
      <c r="W1183" s="24">
        <f>IF(AND($B1183&lt;&gt;"",$I1183="تم تحرير مخالفة"),1,0)</f>
        <v/>
      </c>
      <c r="X1183" s="24">
        <f>IF($B1183="","",IF($S1183=WkStart,COUNTIF($S$5:$S1183,WkStart),""))</f>
        <v/>
      </c>
    </row>
    <row r="1184">
      <c r="A1184" s="16">
        <f>IF($B1184="","",ROW()-4)</f>
        <v/>
      </c>
      <c r="B1184" s="17" t="n"/>
      <c r="C1184" s="18" t="n"/>
      <c r="D1184" s="18" t="n"/>
      <c r="E1184" s="19" t="n"/>
      <c r="F1184" s="19" t="n"/>
      <c r="G1184" s="18" t="n"/>
      <c r="H1184" s="18" t="n"/>
      <c r="I1184" s="18" t="n"/>
      <c r="J1184" s="20" t="n"/>
      <c r="K1184" s="21" t="n"/>
      <c r="L1184" s="21" t="n"/>
      <c r="M1184" s="18" t="n"/>
      <c r="N1184" s="22">
        <f>IF($B1184="","",CHOOSE(WEEKDAY($B1184),"الأحد","الاثنين","الثلاثاء","الأربعاء","الخميس","الجمعة","السبت"))</f>
        <v/>
      </c>
      <c r="O1184" s="23">
        <f>IF(OR($K1184="",$L1184=""),"",HYPERLINK("https://maps.google.com/?q="&amp;$K1184&amp;","&amp;$L1184,"عرض الموقع"))</f>
        <v/>
      </c>
      <c r="P1184" s="23">
        <f>IF(OR($B1184="",N($J1184)=0),"",HYPERLINK(PhotoDir&amp;"/"&amp;YEAR($B1184)&amp;"-"&amp;TEXT(MONTH($B1184),"00")&amp;"-"&amp;TEXT(DAY($B1184),"00")&amp;"_"&amp;$D1184,"فتح الصور ("&amp;$J1184&amp;")"))</f>
        <v/>
      </c>
      <c r="Q1184" s="24">
        <f>IF($B1184="","",MONTH($B1184))</f>
        <v/>
      </c>
      <c r="R1184" s="24">
        <f>IF($B1184="","",YEAR($B1184))</f>
        <v/>
      </c>
      <c r="S1184" s="25">
        <f>IF($B1184="","",$B1184-WEEKDAY($B1184,3))</f>
        <v/>
      </c>
      <c r="T1184" s="24">
        <f>IF($B1184="",0,IF(COUNTIFS($B$5:$B1184,$B1184,$D$5:$D1184,$D1184)=1,1,0))</f>
        <v/>
      </c>
      <c r="U1184" s="24">
        <f>IF($B1184="",0,IF(COUNTIFS($B$5:$B1184,$B1184,$C$5:$C1184,$C1184)=1,1,0))</f>
        <v/>
      </c>
      <c r="V1184" s="24">
        <f>IF(OR($B1184="",$G1184="",$G1184="لا توجد مشاهدات"),0,1)</f>
        <v/>
      </c>
      <c r="W1184" s="24">
        <f>IF(AND($B1184&lt;&gt;"",$I1184="تم تحرير مخالفة"),1,0)</f>
        <v/>
      </c>
      <c r="X1184" s="24">
        <f>IF($B1184="","",IF($S1184=WkStart,COUNTIF($S$5:$S1184,WkStart),""))</f>
        <v/>
      </c>
    </row>
    <row r="1185">
      <c r="A1185" s="16">
        <f>IF($B1185="","",ROW()-4)</f>
        <v/>
      </c>
      <c r="B1185" s="17" t="n"/>
      <c r="C1185" s="18" t="n"/>
      <c r="D1185" s="18" t="n"/>
      <c r="E1185" s="19" t="n"/>
      <c r="F1185" s="19" t="n"/>
      <c r="G1185" s="18" t="n"/>
      <c r="H1185" s="18" t="n"/>
      <c r="I1185" s="18" t="n"/>
      <c r="J1185" s="20" t="n"/>
      <c r="K1185" s="21" t="n"/>
      <c r="L1185" s="21" t="n"/>
      <c r="M1185" s="18" t="n"/>
      <c r="N1185" s="22">
        <f>IF($B1185="","",CHOOSE(WEEKDAY($B1185),"الأحد","الاثنين","الثلاثاء","الأربعاء","الخميس","الجمعة","السبت"))</f>
        <v/>
      </c>
      <c r="O1185" s="23">
        <f>IF(OR($K1185="",$L1185=""),"",HYPERLINK("https://maps.google.com/?q="&amp;$K1185&amp;","&amp;$L1185,"عرض الموقع"))</f>
        <v/>
      </c>
      <c r="P1185" s="23">
        <f>IF(OR($B1185="",N($J1185)=0),"",HYPERLINK(PhotoDir&amp;"/"&amp;YEAR($B1185)&amp;"-"&amp;TEXT(MONTH($B1185),"00")&amp;"-"&amp;TEXT(DAY($B1185),"00")&amp;"_"&amp;$D1185,"فتح الصور ("&amp;$J1185&amp;")"))</f>
        <v/>
      </c>
      <c r="Q1185" s="24">
        <f>IF($B1185="","",MONTH($B1185))</f>
        <v/>
      </c>
      <c r="R1185" s="24">
        <f>IF($B1185="","",YEAR($B1185))</f>
        <v/>
      </c>
      <c r="S1185" s="25">
        <f>IF($B1185="","",$B1185-WEEKDAY($B1185,3))</f>
        <v/>
      </c>
      <c r="T1185" s="24">
        <f>IF($B1185="",0,IF(COUNTIFS($B$5:$B1185,$B1185,$D$5:$D1185,$D1185)=1,1,0))</f>
        <v/>
      </c>
      <c r="U1185" s="24">
        <f>IF($B1185="",0,IF(COUNTIFS($B$5:$B1185,$B1185,$C$5:$C1185,$C1185)=1,1,0))</f>
        <v/>
      </c>
      <c r="V1185" s="24">
        <f>IF(OR($B1185="",$G1185="",$G1185="لا توجد مشاهدات"),0,1)</f>
        <v/>
      </c>
      <c r="W1185" s="24">
        <f>IF(AND($B1185&lt;&gt;"",$I1185="تم تحرير مخالفة"),1,0)</f>
        <v/>
      </c>
      <c r="X1185" s="24">
        <f>IF($B1185="","",IF($S1185=WkStart,COUNTIF($S$5:$S1185,WkStart),""))</f>
        <v/>
      </c>
    </row>
    <row r="1186">
      <c r="A1186" s="16">
        <f>IF($B1186="","",ROW()-4)</f>
        <v/>
      </c>
      <c r="B1186" s="17" t="n"/>
      <c r="C1186" s="18" t="n"/>
      <c r="D1186" s="18" t="n"/>
      <c r="E1186" s="19" t="n"/>
      <c r="F1186" s="19" t="n"/>
      <c r="G1186" s="18" t="n"/>
      <c r="H1186" s="18" t="n"/>
      <c r="I1186" s="18" t="n"/>
      <c r="J1186" s="20" t="n"/>
      <c r="K1186" s="21" t="n"/>
      <c r="L1186" s="21" t="n"/>
      <c r="M1186" s="18" t="n"/>
      <c r="N1186" s="22">
        <f>IF($B1186="","",CHOOSE(WEEKDAY($B1186),"الأحد","الاثنين","الثلاثاء","الأربعاء","الخميس","الجمعة","السبت"))</f>
        <v/>
      </c>
      <c r="O1186" s="23">
        <f>IF(OR($K1186="",$L1186=""),"",HYPERLINK("https://maps.google.com/?q="&amp;$K1186&amp;","&amp;$L1186,"عرض الموقع"))</f>
        <v/>
      </c>
      <c r="P1186" s="23">
        <f>IF(OR($B1186="",N($J1186)=0),"",HYPERLINK(PhotoDir&amp;"/"&amp;YEAR($B1186)&amp;"-"&amp;TEXT(MONTH($B1186),"00")&amp;"-"&amp;TEXT(DAY($B1186),"00")&amp;"_"&amp;$D1186,"فتح الصور ("&amp;$J1186&amp;")"))</f>
        <v/>
      </c>
      <c r="Q1186" s="24">
        <f>IF($B1186="","",MONTH($B1186))</f>
        <v/>
      </c>
      <c r="R1186" s="24">
        <f>IF($B1186="","",YEAR($B1186))</f>
        <v/>
      </c>
      <c r="S1186" s="25">
        <f>IF($B1186="","",$B1186-WEEKDAY($B1186,3))</f>
        <v/>
      </c>
      <c r="T1186" s="24">
        <f>IF($B1186="",0,IF(COUNTIFS($B$5:$B1186,$B1186,$D$5:$D1186,$D1186)=1,1,0))</f>
        <v/>
      </c>
      <c r="U1186" s="24">
        <f>IF($B1186="",0,IF(COUNTIFS($B$5:$B1186,$B1186,$C$5:$C1186,$C1186)=1,1,0))</f>
        <v/>
      </c>
      <c r="V1186" s="24">
        <f>IF(OR($B1186="",$G1186="",$G1186="لا توجد مشاهدات"),0,1)</f>
        <v/>
      </c>
      <c r="W1186" s="24">
        <f>IF(AND($B1186&lt;&gt;"",$I1186="تم تحرير مخالفة"),1,0)</f>
        <v/>
      </c>
      <c r="X1186" s="24">
        <f>IF($B1186="","",IF($S1186=WkStart,COUNTIF($S$5:$S1186,WkStart),""))</f>
        <v/>
      </c>
    </row>
    <row r="1187">
      <c r="A1187" s="16">
        <f>IF($B1187="","",ROW()-4)</f>
        <v/>
      </c>
      <c r="B1187" s="17" t="n"/>
      <c r="C1187" s="18" t="n"/>
      <c r="D1187" s="18" t="n"/>
      <c r="E1187" s="19" t="n"/>
      <c r="F1187" s="19" t="n"/>
      <c r="G1187" s="18" t="n"/>
      <c r="H1187" s="18" t="n"/>
      <c r="I1187" s="18" t="n"/>
      <c r="J1187" s="20" t="n"/>
      <c r="K1187" s="21" t="n"/>
      <c r="L1187" s="21" t="n"/>
      <c r="M1187" s="18" t="n"/>
      <c r="N1187" s="22">
        <f>IF($B1187="","",CHOOSE(WEEKDAY($B1187),"الأحد","الاثنين","الثلاثاء","الأربعاء","الخميس","الجمعة","السبت"))</f>
        <v/>
      </c>
      <c r="O1187" s="23">
        <f>IF(OR($K1187="",$L1187=""),"",HYPERLINK("https://maps.google.com/?q="&amp;$K1187&amp;","&amp;$L1187,"عرض الموقع"))</f>
        <v/>
      </c>
      <c r="P1187" s="23">
        <f>IF(OR($B1187="",N($J1187)=0),"",HYPERLINK(PhotoDir&amp;"/"&amp;YEAR($B1187)&amp;"-"&amp;TEXT(MONTH($B1187),"00")&amp;"-"&amp;TEXT(DAY($B1187),"00")&amp;"_"&amp;$D1187,"فتح الصور ("&amp;$J1187&amp;")"))</f>
        <v/>
      </c>
      <c r="Q1187" s="24">
        <f>IF($B1187="","",MONTH($B1187))</f>
        <v/>
      </c>
      <c r="R1187" s="24">
        <f>IF($B1187="","",YEAR($B1187))</f>
        <v/>
      </c>
      <c r="S1187" s="25">
        <f>IF($B1187="","",$B1187-WEEKDAY($B1187,3))</f>
        <v/>
      </c>
      <c r="T1187" s="24">
        <f>IF($B1187="",0,IF(COUNTIFS($B$5:$B1187,$B1187,$D$5:$D1187,$D1187)=1,1,0))</f>
        <v/>
      </c>
      <c r="U1187" s="24">
        <f>IF($B1187="",0,IF(COUNTIFS($B$5:$B1187,$B1187,$C$5:$C1187,$C1187)=1,1,0))</f>
        <v/>
      </c>
      <c r="V1187" s="24">
        <f>IF(OR($B1187="",$G1187="",$G1187="لا توجد مشاهدات"),0,1)</f>
        <v/>
      </c>
      <c r="W1187" s="24">
        <f>IF(AND($B1187&lt;&gt;"",$I1187="تم تحرير مخالفة"),1,0)</f>
        <v/>
      </c>
      <c r="X1187" s="24">
        <f>IF($B1187="","",IF($S1187=WkStart,COUNTIF($S$5:$S1187,WkStart),""))</f>
        <v/>
      </c>
    </row>
    <row r="1188">
      <c r="A1188" s="16">
        <f>IF($B1188="","",ROW()-4)</f>
        <v/>
      </c>
      <c r="B1188" s="17" t="n"/>
      <c r="C1188" s="18" t="n"/>
      <c r="D1188" s="18" t="n"/>
      <c r="E1188" s="19" t="n"/>
      <c r="F1188" s="19" t="n"/>
      <c r="G1188" s="18" t="n"/>
      <c r="H1188" s="18" t="n"/>
      <c r="I1188" s="18" t="n"/>
      <c r="J1188" s="20" t="n"/>
      <c r="K1188" s="21" t="n"/>
      <c r="L1188" s="21" t="n"/>
      <c r="M1188" s="18" t="n"/>
      <c r="N1188" s="22">
        <f>IF($B1188="","",CHOOSE(WEEKDAY($B1188),"الأحد","الاثنين","الثلاثاء","الأربعاء","الخميس","الجمعة","السبت"))</f>
        <v/>
      </c>
      <c r="O1188" s="23">
        <f>IF(OR($K1188="",$L1188=""),"",HYPERLINK("https://maps.google.com/?q="&amp;$K1188&amp;","&amp;$L1188,"عرض الموقع"))</f>
        <v/>
      </c>
      <c r="P1188" s="23">
        <f>IF(OR($B1188="",N($J1188)=0),"",HYPERLINK(PhotoDir&amp;"/"&amp;YEAR($B1188)&amp;"-"&amp;TEXT(MONTH($B1188),"00")&amp;"-"&amp;TEXT(DAY($B1188),"00")&amp;"_"&amp;$D1188,"فتح الصور ("&amp;$J1188&amp;")"))</f>
        <v/>
      </c>
      <c r="Q1188" s="24">
        <f>IF($B1188="","",MONTH($B1188))</f>
        <v/>
      </c>
      <c r="R1188" s="24">
        <f>IF($B1188="","",YEAR($B1188))</f>
        <v/>
      </c>
      <c r="S1188" s="25">
        <f>IF($B1188="","",$B1188-WEEKDAY($B1188,3))</f>
        <v/>
      </c>
      <c r="T1188" s="24">
        <f>IF($B1188="",0,IF(COUNTIFS($B$5:$B1188,$B1188,$D$5:$D1188,$D1188)=1,1,0))</f>
        <v/>
      </c>
      <c r="U1188" s="24">
        <f>IF($B1188="",0,IF(COUNTIFS($B$5:$B1188,$B1188,$C$5:$C1188,$C1188)=1,1,0))</f>
        <v/>
      </c>
      <c r="V1188" s="24">
        <f>IF(OR($B1188="",$G1188="",$G1188="لا توجد مشاهدات"),0,1)</f>
        <v/>
      </c>
      <c r="W1188" s="24">
        <f>IF(AND($B1188&lt;&gt;"",$I1188="تم تحرير مخالفة"),1,0)</f>
        <v/>
      </c>
      <c r="X1188" s="24">
        <f>IF($B1188="","",IF($S1188=WkStart,COUNTIF($S$5:$S1188,WkStart),""))</f>
        <v/>
      </c>
    </row>
    <row r="1189">
      <c r="A1189" s="16">
        <f>IF($B1189="","",ROW()-4)</f>
        <v/>
      </c>
      <c r="B1189" s="17" t="n"/>
      <c r="C1189" s="18" t="n"/>
      <c r="D1189" s="18" t="n"/>
      <c r="E1189" s="19" t="n"/>
      <c r="F1189" s="19" t="n"/>
      <c r="G1189" s="18" t="n"/>
      <c r="H1189" s="18" t="n"/>
      <c r="I1189" s="18" t="n"/>
      <c r="J1189" s="20" t="n"/>
      <c r="K1189" s="21" t="n"/>
      <c r="L1189" s="21" t="n"/>
      <c r="M1189" s="18" t="n"/>
      <c r="N1189" s="22">
        <f>IF($B1189="","",CHOOSE(WEEKDAY($B1189),"الأحد","الاثنين","الثلاثاء","الأربعاء","الخميس","الجمعة","السبت"))</f>
        <v/>
      </c>
      <c r="O1189" s="23">
        <f>IF(OR($K1189="",$L1189=""),"",HYPERLINK("https://maps.google.com/?q="&amp;$K1189&amp;","&amp;$L1189,"عرض الموقع"))</f>
        <v/>
      </c>
      <c r="P1189" s="23">
        <f>IF(OR($B1189="",N($J1189)=0),"",HYPERLINK(PhotoDir&amp;"/"&amp;YEAR($B1189)&amp;"-"&amp;TEXT(MONTH($B1189),"00")&amp;"-"&amp;TEXT(DAY($B1189),"00")&amp;"_"&amp;$D1189,"فتح الصور ("&amp;$J1189&amp;")"))</f>
        <v/>
      </c>
      <c r="Q1189" s="24">
        <f>IF($B1189="","",MONTH($B1189))</f>
        <v/>
      </c>
      <c r="R1189" s="24">
        <f>IF($B1189="","",YEAR($B1189))</f>
        <v/>
      </c>
      <c r="S1189" s="25">
        <f>IF($B1189="","",$B1189-WEEKDAY($B1189,3))</f>
        <v/>
      </c>
      <c r="T1189" s="24">
        <f>IF($B1189="",0,IF(COUNTIFS($B$5:$B1189,$B1189,$D$5:$D1189,$D1189)=1,1,0))</f>
        <v/>
      </c>
      <c r="U1189" s="24">
        <f>IF($B1189="",0,IF(COUNTIFS($B$5:$B1189,$B1189,$C$5:$C1189,$C1189)=1,1,0))</f>
        <v/>
      </c>
      <c r="V1189" s="24">
        <f>IF(OR($B1189="",$G1189="",$G1189="لا توجد مشاهدات"),0,1)</f>
        <v/>
      </c>
      <c r="W1189" s="24">
        <f>IF(AND($B1189&lt;&gt;"",$I1189="تم تحرير مخالفة"),1,0)</f>
        <v/>
      </c>
      <c r="X1189" s="24">
        <f>IF($B1189="","",IF($S1189=WkStart,COUNTIF($S$5:$S1189,WkStart),""))</f>
        <v/>
      </c>
    </row>
    <row r="1190">
      <c r="A1190" s="16">
        <f>IF($B1190="","",ROW()-4)</f>
        <v/>
      </c>
      <c r="B1190" s="17" t="n"/>
      <c r="C1190" s="18" t="n"/>
      <c r="D1190" s="18" t="n"/>
      <c r="E1190" s="19" t="n"/>
      <c r="F1190" s="19" t="n"/>
      <c r="G1190" s="18" t="n"/>
      <c r="H1190" s="18" t="n"/>
      <c r="I1190" s="18" t="n"/>
      <c r="J1190" s="20" t="n"/>
      <c r="K1190" s="21" t="n"/>
      <c r="L1190" s="21" t="n"/>
      <c r="M1190" s="18" t="n"/>
      <c r="N1190" s="22">
        <f>IF($B1190="","",CHOOSE(WEEKDAY($B1190),"الأحد","الاثنين","الثلاثاء","الأربعاء","الخميس","الجمعة","السبت"))</f>
        <v/>
      </c>
      <c r="O1190" s="23">
        <f>IF(OR($K1190="",$L1190=""),"",HYPERLINK("https://maps.google.com/?q="&amp;$K1190&amp;","&amp;$L1190,"عرض الموقع"))</f>
        <v/>
      </c>
      <c r="P1190" s="23">
        <f>IF(OR($B1190="",N($J1190)=0),"",HYPERLINK(PhotoDir&amp;"/"&amp;YEAR($B1190)&amp;"-"&amp;TEXT(MONTH($B1190),"00")&amp;"-"&amp;TEXT(DAY($B1190),"00")&amp;"_"&amp;$D1190,"فتح الصور ("&amp;$J1190&amp;")"))</f>
        <v/>
      </c>
      <c r="Q1190" s="24">
        <f>IF($B1190="","",MONTH($B1190))</f>
        <v/>
      </c>
      <c r="R1190" s="24">
        <f>IF($B1190="","",YEAR($B1190))</f>
        <v/>
      </c>
      <c r="S1190" s="25">
        <f>IF($B1190="","",$B1190-WEEKDAY($B1190,3))</f>
        <v/>
      </c>
      <c r="T1190" s="24">
        <f>IF($B1190="",0,IF(COUNTIFS($B$5:$B1190,$B1190,$D$5:$D1190,$D1190)=1,1,0))</f>
        <v/>
      </c>
      <c r="U1190" s="24">
        <f>IF($B1190="",0,IF(COUNTIFS($B$5:$B1190,$B1190,$C$5:$C1190,$C1190)=1,1,0))</f>
        <v/>
      </c>
      <c r="V1190" s="24">
        <f>IF(OR($B1190="",$G1190="",$G1190="لا توجد مشاهدات"),0,1)</f>
        <v/>
      </c>
      <c r="W1190" s="24">
        <f>IF(AND($B1190&lt;&gt;"",$I1190="تم تحرير مخالفة"),1,0)</f>
        <v/>
      </c>
      <c r="X1190" s="24">
        <f>IF($B1190="","",IF($S1190=WkStart,COUNTIF($S$5:$S1190,WkStart),""))</f>
        <v/>
      </c>
    </row>
    <row r="1191">
      <c r="A1191" s="16">
        <f>IF($B1191="","",ROW()-4)</f>
        <v/>
      </c>
      <c r="B1191" s="17" t="n"/>
      <c r="C1191" s="18" t="n"/>
      <c r="D1191" s="18" t="n"/>
      <c r="E1191" s="19" t="n"/>
      <c r="F1191" s="19" t="n"/>
      <c r="G1191" s="18" t="n"/>
      <c r="H1191" s="18" t="n"/>
      <c r="I1191" s="18" t="n"/>
      <c r="J1191" s="20" t="n"/>
      <c r="K1191" s="21" t="n"/>
      <c r="L1191" s="21" t="n"/>
      <c r="M1191" s="18" t="n"/>
      <c r="N1191" s="22">
        <f>IF($B1191="","",CHOOSE(WEEKDAY($B1191),"الأحد","الاثنين","الثلاثاء","الأربعاء","الخميس","الجمعة","السبت"))</f>
        <v/>
      </c>
      <c r="O1191" s="23">
        <f>IF(OR($K1191="",$L1191=""),"",HYPERLINK("https://maps.google.com/?q="&amp;$K1191&amp;","&amp;$L1191,"عرض الموقع"))</f>
        <v/>
      </c>
      <c r="P1191" s="23">
        <f>IF(OR($B1191="",N($J1191)=0),"",HYPERLINK(PhotoDir&amp;"/"&amp;YEAR($B1191)&amp;"-"&amp;TEXT(MONTH($B1191),"00")&amp;"-"&amp;TEXT(DAY($B1191),"00")&amp;"_"&amp;$D1191,"فتح الصور ("&amp;$J1191&amp;")"))</f>
        <v/>
      </c>
      <c r="Q1191" s="24">
        <f>IF($B1191="","",MONTH($B1191))</f>
        <v/>
      </c>
      <c r="R1191" s="24">
        <f>IF($B1191="","",YEAR($B1191))</f>
        <v/>
      </c>
      <c r="S1191" s="25">
        <f>IF($B1191="","",$B1191-WEEKDAY($B1191,3))</f>
        <v/>
      </c>
      <c r="T1191" s="24">
        <f>IF($B1191="",0,IF(COUNTIFS($B$5:$B1191,$B1191,$D$5:$D1191,$D1191)=1,1,0))</f>
        <v/>
      </c>
      <c r="U1191" s="24">
        <f>IF($B1191="",0,IF(COUNTIFS($B$5:$B1191,$B1191,$C$5:$C1191,$C1191)=1,1,0))</f>
        <v/>
      </c>
      <c r="V1191" s="24">
        <f>IF(OR($B1191="",$G1191="",$G1191="لا توجد مشاهدات"),0,1)</f>
        <v/>
      </c>
      <c r="W1191" s="24">
        <f>IF(AND($B1191&lt;&gt;"",$I1191="تم تحرير مخالفة"),1,0)</f>
        <v/>
      </c>
      <c r="X1191" s="24">
        <f>IF($B1191="","",IF($S1191=WkStart,COUNTIF($S$5:$S1191,WkStart),""))</f>
        <v/>
      </c>
    </row>
    <row r="1192">
      <c r="A1192" s="16">
        <f>IF($B1192="","",ROW()-4)</f>
        <v/>
      </c>
      <c r="B1192" s="17" t="n"/>
      <c r="C1192" s="18" t="n"/>
      <c r="D1192" s="18" t="n"/>
      <c r="E1192" s="19" t="n"/>
      <c r="F1192" s="19" t="n"/>
      <c r="G1192" s="18" t="n"/>
      <c r="H1192" s="18" t="n"/>
      <c r="I1192" s="18" t="n"/>
      <c r="J1192" s="20" t="n"/>
      <c r="K1192" s="21" t="n"/>
      <c r="L1192" s="21" t="n"/>
      <c r="M1192" s="18" t="n"/>
      <c r="N1192" s="22">
        <f>IF($B1192="","",CHOOSE(WEEKDAY($B1192),"الأحد","الاثنين","الثلاثاء","الأربعاء","الخميس","الجمعة","السبت"))</f>
        <v/>
      </c>
      <c r="O1192" s="23">
        <f>IF(OR($K1192="",$L1192=""),"",HYPERLINK("https://maps.google.com/?q="&amp;$K1192&amp;","&amp;$L1192,"عرض الموقع"))</f>
        <v/>
      </c>
      <c r="P1192" s="23">
        <f>IF(OR($B1192="",N($J1192)=0),"",HYPERLINK(PhotoDir&amp;"/"&amp;YEAR($B1192)&amp;"-"&amp;TEXT(MONTH($B1192),"00")&amp;"-"&amp;TEXT(DAY($B1192),"00")&amp;"_"&amp;$D1192,"فتح الصور ("&amp;$J1192&amp;")"))</f>
        <v/>
      </c>
      <c r="Q1192" s="24">
        <f>IF($B1192="","",MONTH($B1192))</f>
        <v/>
      </c>
      <c r="R1192" s="24">
        <f>IF($B1192="","",YEAR($B1192))</f>
        <v/>
      </c>
      <c r="S1192" s="25">
        <f>IF($B1192="","",$B1192-WEEKDAY($B1192,3))</f>
        <v/>
      </c>
      <c r="T1192" s="24">
        <f>IF($B1192="",0,IF(COUNTIFS($B$5:$B1192,$B1192,$D$5:$D1192,$D1192)=1,1,0))</f>
        <v/>
      </c>
      <c r="U1192" s="24">
        <f>IF($B1192="",0,IF(COUNTIFS($B$5:$B1192,$B1192,$C$5:$C1192,$C1192)=1,1,0))</f>
        <v/>
      </c>
      <c r="V1192" s="24">
        <f>IF(OR($B1192="",$G1192="",$G1192="لا توجد مشاهدات"),0,1)</f>
        <v/>
      </c>
      <c r="W1192" s="24">
        <f>IF(AND($B1192&lt;&gt;"",$I1192="تم تحرير مخالفة"),1,0)</f>
        <v/>
      </c>
      <c r="X1192" s="24">
        <f>IF($B1192="","",IF($S1192=WkStart,COUNTIF($S$5:$S1192,WkStart),""))</f>
        <v/>
      </c>
    </row>
    <row r="1193">
      <c r="A1193" s="16">
        <f>IF($B1193="","",ROW()-4)</f>
        <v/>
      </c>
      <c r="B1193" s="17" t="n"/>
      <c r="C1193" s="18" t="n"/>
      <c r="D1193" s="18" t="n"/>
      <c r="E1193" s="19" t="n"/>
      <c r="F1193" s="19" t="n"/>
      <c r="G1193" s="18" t="n"/>
      <c r="H1193" s="18" t="n"/>
      <c r="I1193" s="18" t="n"/>
      <c r="J1193" s="20" t="n"/>
      <c r="K1193" s="21" t="n"/>
      <c r="L1193" s="21" t="n"/>
      <c r="M1193" s="18" t="n"/>
      <c r="N1193" s="22">
        <f>IF($B1193="","",CHOOSE(WEEKDAY($B1193),"الأحد","الاثنين","الثلاثاء","الأربعاء","الخميس","الجمعة","السبت"))</f>
        <v/>
      </c>
      <c r="O1193" s="23">
        <f>IF(OR($K1193="",$L1193=""),"",HYPERLINK("https://maps.google.com/?q="&amp;$K1193&amp;","&amp;$L1193,"عرض الموقع"))</f>
        <v/>
      </c>
      <c r="P1193" s="23">
        <f>IF(OR($B1193="",N($J1193)=0),"",HYPERLINK(PhotoDir&amp;"/"&amp;YEAR($B1193)&amp;"-"&amp;TEXT(MONTH($B1193),"00")&amp;"-"&amp;TEXT(DAY($B1193),"00")&amp;"_"&amp;$D1193,"فتح الصور ("&amp;$J1193&amp;")"))</f>
        <v/>
      </c>
      <c r="Q1193" s="24">
        <f>IF($B1193="","",MONTH($B1193))</f>
        <v/>
      </c>
      <c r="R1193" s="24">
        <f>IF($B1193="","",YEAR($B1193))</f>
        <v/>
      </c>
      <c r="S1193" s="25">
        <f>IF($B1193="","",$B1193-WEEKDAY($B1193,3))</f>
        <v/>
      </c>
      <c r="T1193" s="24">
        <f>IF($B1193="",0,IF(COUNTIFS($B$5:$B1193,$B1193,$D$5:$D1193,$D1193)=1,1,0))</f>
        <v/>
      </c>
      <c r="U1193" s="24">
        <f>IF($B1193="",0,IF(COUNTIFS($B$5:$B1193,$B1193,$C$5:$C1193,$C1193)=1,1,0))</f>
        <v/>
      </c>
      <c r="V1193" s="24">
        <f>IF(OR($B1193="",$G1193="",$G1193="لا توجد مشاهدات"),0,1)</f>
        <v/>
      </c>
      <c r="W1193" s="24">
        <f>IF(AND($B1193&lt;&gt;"",$I1193="تم تحرير مخالفة"),1,0)</f>
        <v/>
      </c>
      <c r="X1193" s="24">
        <f>IF($B1193="","",IF($S1193=WkStart,COUNTIF($S$5:$S1193,WkStart),""))</f>
        <v/>
      </c>
    </row>
    <row r="1194">
      <c r="A1194" s="16">
        <f>IF($B1194="","",ROW()-4)</f>
        <v/>
      </c>
      <c r="B1194" s="17" t="n"/>
      <c r="C1194" s="18" t="n"/>
      <c r="D1194" s="18" t="n"/>
      <c r="E1194" s="19" t="n"/>
      <c r="F1194" s="19" t="n"/>
      <c r="G1194" s="18" t="n"/>
      <c r="H1194" s="18" t="n"/>
      <c r="I1194" s="18" t="n"/>
      <c r="J1194" s="20" t="n"/>
      <c r="K1194" s="21" t="n"/>
      <c r="L1194" s="21" t="n"/>
      <c r="M1194" s="18" t="n"/>
      <c r="N1194" s="22">
        <f>IF($B1194="","",CHOOSE(WEEKDAY($B1194),"الأحد","الاثنين","الثلاثاء","الأربعاء","الخميس","الجمعة","السبت"))</f>
        <v/>
      </c>
      <c r="O1194" s="23">
        <f>IF(OR($K1194="",$L1194=""),"",HYPERLINK("https://maps.google.com/?q="&amp;$K1194&amp;","&amp;$L1194,"عرض الموقع"))</f>
        <v/>
      </c>
      <c r="P1194" s="23">
        <f>IF(OR($B1194="",N($J1194)=0),"",HYPERLINK(PhotoDir&amp;"/"&amp;YEAR($B1194)&amp;"-"&amp;TEXT(MONTH($B1194),"00")&amp;"-"&amp;TEXT(DAY($B1194),"00")&amp;"_"&amp;$D1194,"فتح الصور ("&amp;$J1194&amp;")"))</f>
        <v/>
      </c>
      <c r="Q1194" s="24">
        <f>IF($B1194="","",MONTH($B1194))</f>
        <v/>
      </c>
      <c r="R1194" s="24">
        <f>IF($B1194="","",YEAR($B1194))</f>
        <v/>
      </c>
      <c r="S1194" s="25">
        <f>IF($B1194="","",$B1194-WEEKDAY($B1194,3))</f>
        <v/>
      </c>
      <c r="T1194" s="24">
        <f>IF($B1194="",0,IF(COUNTIFS($B$5:$B1194,$B1194,$D$5:$D1194,$D1194)=1,1,0))</f>
        <v/>
      </c>
      <c r="U1194" s="24">
        <f>IF($B1194="",0,IF(COUNTIFS($B$5:$B1194,$B1194,$C$5:$C1194,$C1194)=1,1,0))</f>
        <v/>
      </c>
      <c r="V1194" s="24">
        <f>IF(OR($B1194="",$G1194="",$G1194="لا توجد مشاهدات"),0,1)</f>
        <v/>
      </c>
      <c r="W1194" s="24">
        <f>IF(AND($B1194&lt;&gt;"",$I1194="تم تحرير مخالفة"),1,0)</f>
        <v/>
      </c>
      <c r="X1194" s="24">
        <f>IF($B1194="","",IF($S1194=WkStart,COUNTIF($S$5:$S1194,WkStart),""))</f>
        <v/>
      </c>
    </row>
    <row r="1195">
      <c r="A1195" s="16">
        <f>IF($B1195="","",ROW()-4)</f>
        <v/>
      </c>
      <c r="B1195" s="17" t="n"/>
      <c r="C1195" s="18" t="n"/>
      <c r="D1195" s="18" t="n"/>
      <c r="E1195" s="19" t="n"/>
      <c r="F1195" s="19" t="n"/>
      <c r="G1195" s="18" t="n"/>
      <c r="H1195" s="18" t="n"/>
      <c r="I1195" s="18" t="n"/>
      <c r="J1195" s="20" t="n"/>
      <c r="K1195" s="21" t="n"/>
      <c r="L1195" s="21" t="n"/>
      <c r="M1195" s="18" t="n"/>
      <c r="N1195" s="22">
        <f>IF($B1195="","",CHOOSE(WEEKDAY($B1195),"الأحد","الاثنين","الثلاثاء","الأربعاء","الخميس","الجمعة","السبت"))</f>
        <v/>
      </c>
      <c r="O1195" s="23">
        <f>IF(OR($K1195="",$L1195=""),"",HYPERLINK("https://maps.google.com/?q="&amp;$K1195&amp;","&amp;$L1195,"عرض الموقع"))</f>
        <v/>
      </c>
      <c r="P1195" s="23">
        <f>IF(OR($B1195="",N($J1195)=0),"",HYPERLINK(PhotoDir&amp;"/"&amp;YEAR($B1195)&amp;"-"&amp;TEXT(MONTH($B1195),"00")&amp;"-"&amp;TEXT(DAY($B1195),"00")&amp;"_"&amp;$D1195,"فتح الصور ("&amp;$J1195&amp;")"))</f>
        <v/>
      </c>
      <c r="Q1195" s="24">
        <f>IF($B1195="","",MONTH($B1195))</f>
        <v/>
      </c>
      <c r="R1195" s="24">
        <f>IF($B1195="","",YEAR($B1195))</f>
        <v/>
      </c>
      <c r="S1195" s="25">
        <f>IF($B1195="","",$B1195-WEEKDAY($B1195,3))</f>
        <v/>
      </c>
      <c r="T1195" s="24">
        <f>IF($B1195="",0,IF(COUNTIFS($B$5:$B1195,$B1195,$D$5:$D1195,$D1195)=1,1,0))</f>
        <v/>
      </c>
      <c r="U1195" s="24">
        <f>IF($B1195="",0,IF(COUNTIFS($B$5:$B1195,$B1195,$C$5:$C1195,$C1195)=1,1,0))</f>
        <v/>
      </c>
      <c r="V1195" s="24">
        <f>IF(OR($B1195="",$G1195="",$G1195="لا توجد مشاهدات"),0,1)</f>
        <v/>
      </c>
      <c r="W1195" s="24">
        <f>IF(AND($B1195&lt;&gt;"",$I1195="تم تحرير مخالفة"),1,0)</f>
        <v/>
      </c>
      <c r="X1195" s="24">
        <f>IF($B1195="","",IF($S1195=WkStart,COUNTIF($S$5:$S1195,WkStart),""))</f>
        <v/>
      </c>
    </row>
    <row r="1196">
      <c r="A1196" s="16">
        <f>IF($B1196="","",ROW()-4)</f>
        <v/>
      </c>
      <c r="B1196" s="17" t="n"/>
      <c r="C1196" s="18" t="n"/>
      <c r="D1196" s="18" t="n"/>
      <c r="E1196" s="19" t="n"/>
      <c r="F1196" s="19" t="n"/>
      <c r="G1196" s="18" t="n"/>
      <c r="H1196" s="18" t="n"/>
      <c r="I1196" s="18" t="n"/>
      <c r="J1196" s="20" t="n"/>
      <c r="K1196" s="21" t="n"/>
      <c r="L1196" s="21" t="n"/>
      <c r="M1196" s="18" t="n"/>
      <c r="N1196" s="22">
        <f>IF($B1196="","",CHOOSE(WEEKDAY($B1196),"الأحد","الاثنين","الثلاثاء","الأربعاء","الخميس","الجمعة","السبت"))</f>
        <v/>
      </c>
      <c r="O1196" s="23">
        <f>IF(OR($K1196="",$L1196=""),"",HYPERLINK("https://maps.google.com/?q="&amp;$K1196&amp;","&amp;$L1196,"عرض الموقع"))</f>
        <v/>
      </c>
      <c r="P1196" s="23">
        <f>IF(OR($B1196="",N($J1196)=0),"",HYPERLINK(PhotoDir&amp;"/"&amp;YEAR($B1196)&amp;"-"&amp;TEXT(MONTH($B1196),"00")&amp;"-"&amp;TEXT(DAY($B1196),"00")&amp;"_"&amp;$D1196,"فتح الصور ("&amp;$J1196&amp;")"))</f>
        <v/>
      </c>
      <c r="Q1196" s="24">
        <f>IF($B1196="","",MONTH($B1196))</f>
        <v/>
      </c>
      <c r="R1196" s="24">
        <f>IF($B1196="","",YEAR($B1196))</f>
        <v/>
      </c>
      <c r="S1196" s="25">
        <f>IF($B1196="","",$B1196-WEEKDAY($B1196,3))</f>
        <v/>
      </c>
      <c r="T1196" s="24">
        <f>IF($B1196="",0,IF(COUNTIFS($B$5:$B1196,$B1196,$D$5:$D1196,$D1196)=1,1,0))</f>
        <v/>
      </c>
      <c r="U1196" s="24">
        <f>IF($B1196="",0,IF(COUNTIFS($B$5:$B1196,$B1196,$C$5:$C1196,$C1196)=1,1,0))</f>
        <v/>
      </c>
      <c r="V1196" s="24">
        <f>IF(OR($B1196="",$G1196="",$G1196="لا توجد مشاهدات"),0,1)</f>
        <v/>
      </c>
      <c r="W1196" s="24">
        <f>IF(AND($B1196&lt;&gt;"",$I1196="تم تحرير مخالفة"),1,0)</f>
        <v/>
      </c>
      <c r="X1196" s="24">
        <f>IF($B1196="","",IF($S1196=WkStart,COUNTIF($S$5:$S1196,WkStart),""))</f>
        <v/>
      </c>
    </row>
    <row r="1197">
      <c r="A1197" s="16">
        <f>IF($B1197="","",ROW()-4)</f>
        <v/>
      </c>
      <c r="B1197" s="17" t="n"/>
      <c r="C1197" s="18" t="n"/>
      <c r="D1197" s="18" t="n"/>
      <c r="E1197" s="19" t="n"/>
      <c r="F1197" s="19" t="n"/>
      <c r="G1197" s="18" t="n"/>
      <c r="H1197" s="18" t="n"/>
      <c r="I1197" s="18" t="n"/>
      <c r="J1197" s="20" t="n"/>
      <c r="K1197" s="21" t="n"/>
      <c r="L1197" s="21" t="n"/>
      <c r="M1197" s="18" t="n"/>
      <c r="N1197" s="22">
        <f>IF($B1197="","",CHOOSE(WEEKDAY($B1197),"الأحد","الاثنين","الثلاثاء","الأربعاء","الخميس","الجمعة","السبت"))</f>
        <v/>
      </c>
      <c r="O1197" s="23">
        <f>IF(OR($K1197="",$L1197=""),"",HYPERLINK("https://maps.google.com/?q="&amp;$K1197&amp;","&amp;$L1197,"عرض الموقع"))</f>
        <v/>
      </c>
      <c r="P1197" s="23">
        <f>IF(OR($B1197="",N($J1197)=0),"",HYPERLINK(PhotoDir&amp;"/"&amp;YEAR($B1197)&amp;"-"&amp;TEXT(MONTH($B1197),"00")&amp;"-"&amp;TEXT(DAY($B1197),"00")&amp;"_"&amp;$D1197,"فتح الصور ("&amp;$J1197&amp;")"))</f>
        <v/>
      </c>
      <c r="Q1197" s="24">
        <f>IF($B1197="","",MONTH($B1197))</f>
        <v/>
      </c>
      <c r="R1197" s="24">
        <f>IF($B1197="","",YEAR($B1197))</f>
        <v/>
      </c>
      <c r="S1197" s="25">
        <f>IF($B1197="","",$B1197-WEEKDAY($B1197,3))</f>
        <v/>
      </c>
      <c r="T1197" s="24">
        <f>IF($B1197="",0,IF(COUNTIFS($B$5:$B1197,$B1197,$D$5:$D1197,$D1197)=1,1,0))</f>
        <v/>
      </c>
      <c r="U1197" s="24">
        <f>IF($B1197="",0,IF(COUNTIFS($B$5:$B1197,$B1197,$C$5:$C1197,$C1197)=1,1,0))</f>
        <v/>
      </c>
      <c r="V1197" s="24">
        <f>IF(OR($B1197="",$G1197="",$G1197="لا توجد مشاهدات"),0,1)</f>
        <v/>
      </c>
      <c r="W1197" s="24">
        <f>IF(AND($B1197&lt;&gt;"",$I1197="تم تحرير مخالفة"),1,0)</f>
        <v/>
      </c>
      <c r="X1197" s="24">
        <f>IF($B1197="","",IF($S1197=WkStart,COUNTIF($S$5:$S1197,WkStart),""))</f>
        <v/>
      </c>
    </row>
    <row r="1198">
      <c r="A1198" s="16">
        <f>IF($B1198="","",ROW()-4)</f>
        <v/>
      </c>
      <c r="B1198" s="17" t="n"/>
      <c r="C1198" s="18" t="n"/>
      <c r="D1198" s="18" t="n"/>
      <c r="E1198" s="19" t="n"/>
      <c r="F1198" s="19" t="n"/>
      <c r="G1198" s="18" t="n"/>
      <c r="H1198" s="18" t="n"/>
      <c r="I1198" s="18" t="n"/>
      <c r="J1198" s="20" t="n"/>
      <c r="K1198" s="21" t="n"/>
      <c r="L1198" s="21" t="n"/>
      <c r="M1198" s="18" t="n"/>
      <c r="N1198" s="22">
        <f>IF($B1198="","",CHOOSE(WEEKDAY($B1198),"الأحد","الاثنين","الثلاثاء","الأربعاء","الخميس","الجمعة","السبت"))</f>
        <v/>
      </c>
      <c r="O1198" s="23">
        <f>IF(OR($K1198="",$L1198=""),"",HYPERLINK("https://maps.google.com/?q="&amp;$K1198&amp;","&amp;$L1198,"عرض الموقع"))</f>
        <v/>
      </c>
      <c r="P1198" s="23">
        <f>IF(OR($B1198="",N($J1198)=0),"",HYPERLINK(PhotoDir&amp;"/"&amp;YEAR($B1198)&amp;"-"&amp;TEXT(MONTH($B1198),"00")&amp;"-"&amp;TEXT(DAY($B1198),"00")&amp;"_"&amp;$D1198,"فتح الصور ("&amp;$J1198&amp;")"))</f>
        <v/>
      </c>
      <c r="Q1198" s="24">
        <f>IF($B1198="","",MONTH($B1198))</f>
        <v/>
      </c>
      <c r="R1198" s="24">
        <f>IF($B1198="","",YEAR($B1198))</f>
        <v/>
      </c>
      <c r="S1198" s="25">
        <f>IF($B1198="","",$B1198-WEEKDAY($B1198,3))</f>
        <v/>
      </c>
      <c r="T1198" s="24">
        <f>IF($B1198="",0,IF(COUNTIFS($B$5:$B1198,$B1198,$D$5:$D1198,$D1198)=1,1,0))</f>
        <v/>
      </c>
      <c r="U1198" s="24">
        <f>IF($B1198="",0,IF(COUNTIFS($B$5:$B1198,$B1198,$C$5:$C1198,$C1198)=1,1,0))</f>
        <v/>
      </c>
      <c r="V1198" s="24">
        <f>IF(OR($B1198="",$G1198="",$G1198="لا توجد مشاهدات"),0,1)</f>
        <v/>
      </c>
      <c r="W1198" s="24">
        <f>IF(AND($B1198&lt;&gt;"",$I1198="تم تحرير مخالفة"),1,0)</f>
        <v/>
      </c>
      <c r="X1198" s="24">
        <f>IF($B1198="","",IF($S1198=WkStart,COUNTIF($S$5:$S1198,WkStart),""))</f>
        <v/>
      </c>
    </row>
    <row r="1199">
      <c r="A1199" s="16">
        <f>IF($B1199="","",ROW()-4)</f>
        <v/>
      </c>
      <c r="B1199" s="17" t="n"/>
      <c r="C1199" s="18" t="n"/>
      <c r="D1199" s="18" t="n"/>
      <c r="E1199" s="19" t="n"/>
      <c r="F1199" s="19" t="n"/>
      <c r="G1199" s="18" t="n"/>
      <c r="H1199" s="18" t="n"/>
      <c r="I1199" s="18" t="n"/>
      <c r="J1199" s="20" t="n"/>
      <c r="K1199" s="21" t="n"/>
      <c r="L1199" s="21" t="n"/>
      <c r="M1199" s="18" t="n"/>
      <c r="N1199" s="22">
        <f>IF($B1199="","",CHOOSE(WEEKDAY($B1199),"الأحد","الاثنين","الثلاثاء","الأربعاء","الخميس","الجمعة","السبت"))</f>
        <v/>
      </c>
      <c r="O1199" s="23">
        <f>IF(OR($K1199="",$L1199=""),"",HYPERLINK("https://maps.google.com/?q="&amp;$K1199&amp;","&amp;$L1199,"عرض الموقع"))</f>
        <v/>
      </c>
      <c r="P1199" s="23">
        <f>IF(OR($B1199="",N($J1199)=0),"",HYPERLINK(PhotoDir&amp;"/"&amp;YEAR($B1199)&amp;"-"&amp;TEXT(MONTH($B1199),"00")&amp;"-"&amp;TEXT(DAY($B1199),"00")&amp;"_"&amp;$D1199,"فتح الصور ("&amp;$J1199&amp;")"))</f>
        <v/>
      </c>
      <c r="Q1199" s="24">
        <f>IF($B1199="","",MONTH($B1199))</f>
        <v/>
      </c>
      <c r="R1199" s="24">
        <f>IF($B1199="","",YEAR($B1199))</f>
        <v/>
      </c>
      <c r="S1199" s="25">
        <f>IF($B1199="","",$B1199-WEEKDAY($B1199,3))</f>
        <v/>
      </c>
      <c r="T1199" s="24">
        <f>IF($B1199="",0,IF(COUNTIFS($B$5:$B1199,$B1199,$D$5:$D1199,$D1199)=1,1,0))</f>
        <v/>
      </c>
      <c r="U1199" s="24">
        <f>IF($B1199="",0,IF(COUNTIFS($B$5:$B1199,$B1199,$C$5:$C1199,$C1199)=1,1,0))</f>
        <v/>
      </c>
      <c r="V1199" s="24">
        <f>IF(OR($B1199="",$G1199="",$G1199="لا توجد مشاهدات"),0,1)</f>
        <v/>
      </c>
      <c r="W1199" s="24">
        <f>IF(AND($B1199&lt;&gt;"",$I1199="تم تحرير مخالفة"),1,0)</f>
        <v/>
      </c>
      <c r="X1199" s="24">
        <f>IF($B1199="","",IF($S1199=WkStart,COUNTIF($S$5:$S1199,WkStart),""))</f>
        <v/>
      </c>
    </row>
    <row r="1200">
      <c r="A1200" s="16">
        <f>IF($B1200="","",ROW()-4)</f>
        <v/>
      </c>
      <c r="B1200" s="17" t="n"/>
      <c r="C1200" s="18" t="n"/>
      <c r="D1200" s="18" t="n"/>
      <c r="E1200" s="19" t="n"/>
      <c r="F1200" s="19" t="n"/>
      <c r="G1200" s="18" t="n"/>
      <c r="H1200" s="18" t="n"/>
      <c r="I1200" s="18" t="n"/>
      <c r="J1200" s="20" t="n"/>
      <c r="K1200" s="21" t="n"/>
      <c r="L1200" s="21" t="n"/>
      <c r="M1200" s="18" t="n"/>
      <c r="N1200" s="22">
        <f>IF($B1200="","",CHOOSE(WEEKDAY($B1200),"الأحد","الاثنين","الثلاثاء","الأربعاء","الخميس","الجمعة","السبت"))</f>
        <v/>
      </c>
      <c r="O1200" s="23">
        <f>IF(OR($K1200="",$L1200=""),"",HYPERLINK("https://maps.google.com/?q="&amp;$K1200&amp;","&amp;$L1200,"عرض الموقع"))</f>
        <v/>
      </c>
      <c r="P1200" s="23">
        <f>IF(OR($B1200="",N($J1200)=0),"",HYPERLINK(PhotoDir&amp;"/"&amp;YEAR($B1200)&amp;"-"&amp;TEXT(MONTH($B1200),"00")&amp;"-"&amp;TEXT(DAY($B1200),"00")&amp;"_"&amp;$D1200,"فتح الصور ("&amp;$J1200&amp;")"))</f>
        <v/>
      </c>
      <c r="Q1200" s="24">
        <f>IF($B1200="","",MONTH($B1200))</f>
        <v/>
      </c>
      <c r="R1200" s="24">
        <f>IF($B1200="","",YEAR($B1200))</f>
        <v/>
      </c>
      <c r="S1200" s="25">
        <f>IF($B1200="","",$B1200-WEEKDAY($B1200,3))</f>
        <v/>
      </c>
      <c r="T1200" s="24">
        <f>IF($B1200="",0,IF(COUNTIFS($B$5:$B1200,$B1200,$D$5:$D1200,$D1200)=1,1,0))</f>
        <v/>
      </c>
      <c r="U1200" s="24">
        <f>IF($B1200="",0,IF(COUNTIFS($B$5:$B1200,$B1200,$C$5:$C1200,$C1200)=1,1,0))</f>
        <v/>
      </c>
      <c r="V1200" s="24">
        <f>IF(OR($B1200="",$G1200="",$G1200="لا توجد مشاهدات"),0,1)</f>
        <v/>
      </c>
      <c r="W1200" s="24">
        <f>IF(AND($B1200&lt;&gt;"",$I1200="تم تحرير مخالفة"),1,0)</f>
        <v/>
      </c>
      <c r="X1200" s="24">
        <f>IF($B1200="","",IF($S1200=WkStart,COUNTIF($S$5:$S1200,WkStart),""))</f>
        <v/>
      </c>
    </row>
    <row r="1201">
      <c r="A1201" s="16">
        <f>IF($B1201="","",ROW()-4)</f>
        <v/>
      </c>
      <c r="B1201" s="17" t="n"/>
      <c r="C1201" s="18" t="n"/>
      <c r="D1201" s="18" t="n"/>
      <c r="E1201" s="19" t="n"/>
      <c r="F1201" s="19" t="n"/>
      <c r="G1201" s="18" t="n"/>
      <c r="H1201" s="18" t="n"/>
      <c r="I1201" s="18" t="n"/>
      <c r="J1201" s="20" t="n"/>
      <c r="K1201" s="21" t="n"/>
      <c r="L1201" s="21" t="n"/>
      <c r="M1201" s="18" t="n"/>
      <c r="N1201" s="22">
        <f>IF($B1201="","",CHOOSE(WEEKDAY($B1201),"الأحد","الاثنين","الثلاثاء","الأربعاء","الخميس","الجمعة","السبت"))</f>
        <v/>
      </c>
      <c r="O1201" s="23">
        <f>IF(OR($K1201="",$L1201=""),"",HYPERLINK("https://maps.google.com/?q="&amp;$K1201&amp;","&amp;$L1201,"عرض الموقع"))</f>
        <v/>
      </c>
      <c r="P1201" s="23">
        <f>IF(OR($B1201="",N($J1201)=0),"",HYPERLINK(PhotoDir&amp;"/"&amp;YEAR($B1201)&amp;"-"&amp;TEXT(MONTH($B1201),"00")&amp;"-"&amp;TEXT(DAY($B1201),"00")&amp;"_"&amp;$D1201,"فتح الصور ("&amp;$J1201&amp;")"))</f>
        <v/>
      </c>
      <c r="Q1201" s="24">
        <f>IF($B1201="","",MONTH($B1201))</f>
        <v/>
      </c>
      <c r="R1201" s="24">
        <f>IF($B1201="","",YEAR($B1201))</f>
        <v/>
      </c>
      <c r="S1201" s="25">
        <f>IF($B1201="","",$B1201-WEEKDAY($B1201,3))</f>
        <v/>
      </c>
      <c r="T1201" s="24">
        <f>IF($B1201="",0,IF(COUNTIFS($B$5:$B1201,$B1201,$D$5:$D1201,$D1201)=1,1,0))</f>
        <v/>
      </c>
      <c r="U1201" s="24">
        <f>IF($B1201="",0,IF(COUNTIFS($B$5:$B1201,$B1201,$C$5:$C1201,$C1201)=1,1,0))</f>
        <v/>
      </c>
      <c r="V1201" s="24">
        <f>IF(OR($B1201="",$G1201="",$G1201="لا توجد مشاهدات"),0,1)</f>
        <v/>
      </c>
      <c r="W1201" s="24">
        <f>IF(AND($B1201&lt;&gt;"",$I1201="تم تحرير مخالفة"),1,0)</f>
        <v/>
      </c>
      <c r="X1201" s="24">
        <f>IF($B1201="","",IF($S1201=WkStart,COUNTIF($S$5:$S1201,WkStart),""))</f>
        <v/>
      </c>
    </row>
    <row r="1202">
      <c r="A1202" s="16">
        <f>IF($B1202="","",ROW()-4)</f>
        <v/>
      </c>
      <c r="B1202" s="17" t="n"/>
      <c r="C1202" s="18" t="n"/>
      <c r="D1202" s="18" t="n"/>
      <c r="E1202" s="19" t="n"/>
      <c r="F1202" s="19" t="n"/>
      <c r="G1202" s="18" t="n"/>
      <c r="H1202" s="18" t="n"/>
      <c r="I1202" s="18" t="n"/>
      <c r="J1202" s="20" t="n"/>
      <c r="K1202" s="21" t="n"/>
      <c r="L1202" s="21" t="n"/>
      <c r="M1202" s="18" t="n"/>
      <c r="N1202" s="22">
        <f>IF($B1202="","",CHOOSE(WEEKDAY($B1202),"الأحد","الاثنين","الثلاثاء","الأربعاء","الخميس","الجمعة","السبت"))</f>
        <v/>
      </c>
      <c r="O1202" s="23">
        <f>IF(OR($K1202="",$L1202=""),"",HYPERLINK("https://maps.google.com/?q="&amp;$K1202&amp;","&amp;$L1202,"عرض الموقع"))</f>
        <v/>
      </c>
      <c r="P1202" s="23">
        <f>IF(OR($B1202="",N($J1202)=0),"",HYPERLINK(PhotoDir&amp;"/"&amp;YEAR($B1202)&amp;"-"&amp;TEXT(MONTH($B1202),"00")&amp;"-"&amp;TEXT(DAY($B1202),"00")&amp;"_"&amp;$D1202,"فتح الصور ("&amp;$J1202&amp;")"))</f>
        <v/>
      </c>
      <c r="Q1202" s="24">
        <f>IF($B1202="","",MONTH($B1202))</f>
        <v/>
      </c>
      <c r="R1202" s="24">
        <f>IF($B1202="","",YEAR($B1202))</f>
        <v/>
      </c>
      <c r="S1202" s="25">
        <f>IF($B1202="","",$B1202-WEEKDAY($B1202,3))</f>
        <v/>
      </c>
      <c r="T1202" s="24">
        <f>IF($B1202="",0,IF(COUNTIFS($B$5:$B1202,$B1202,$D$5:$D1202,$D1202)=1,1,0))</f>
        <v/>
      </c>
      <c r="U1202" s="24">
        <f>IF($B1202="",0,IF(COUNTIFS($B$5:$B1202,$B1202,$C$5:$C1202,$C1202)=1,1,0))</f>
        <v/>
      </c>
      <c r="V1202" s="24">
        <f>IF(OR($B1202="",$G1202="",$G1202="لا توجد مشاهدات"),0,1)</f>
        <v/>
      </c>
      <c r="W1202" s="24">
        <f>IF(AND($B1202&lt;&gt;"",$I1202="تم تحرير مخالفة"),1,0)</f>
        <v/>
      </c>
      <c r="X1202" s="24">
        <f>IF($B1202="","",IF($S1202=WkStart,COUNTIF($S$5:$S1202,WkStart),""))</f>
        <v/>
      </c>
    </row>
    <row r="1203">
      <c r="A1203" s="16">
        <f>IF($B1203="","",ROW()-4)</f>
        <v/>
      </c>
      <c r="B1203" s="17" t="n"/>
      <c r="C1203" s="18" t="n"/>
      <c r="D1203" s="18" t="n"/>
      <c r="E1203" s="19" t="n"/>
      <c r="F1203" s="19" t="n"/>
      <c r="G1203" s="18" t="n"/>
      <c r="H1203" s="18" t="n"/>
      <c r="I1203" s="18" t="n"/>
      <c r="J1203" s="20" t="n"/>
      <c r="K1203" s="21" t="n"/>
      <c r="L1203" s="21" t="n"/>
      <c r="M1203" s="18" t="n"/>
      <c r="N1203" s="22">
        <f>IF($B1203="","",CHOOSE(WEEKDAY($B1203),"الأحد","الاثنين","الثلاثاء","الأربعاء","الخميس","الجمعة","السبت"))</f>
        <v/>
      </c>
      <c r="O1203" s="23">
        <f>IF(OR($K1203="",$L1203=""),"",HYPERLINK("https://maps.google.com/?q="&amp;$K1203&amp;","&amp;$L1203,"عرض الموقع"))</f>
        <v/>
      </c>
      <c r="P1203" s="23">
        <f>IF(OR($B1203="",N($J1203)=0),"",HYPERLINK(PhotoDir&amp;"/"&amp;YEAR($B1203)&amp;"-"&amp;TEXT(MONTH($B1203),"00")&amp;"-"&amp;TEXT(DAY($B1203),"00")&amp;"_"&amp;$D1203,"فتح الصور ("&amp;$J1203&amp;")"))</f>
        <v/>
      </c>
      <c r="Q1203" s="24">
        <f>IF($B1203="","",MONTH($B1203))</f>
        <v/>
      </c>
      <c r="R1203" s="24">
        <f>IF($B1203="","",YEAR($B1203))</f>
        <v/>
      </c>
      <c r="S1203" s="25">
        <f>IF($B1203="","",$B1203-WEEKDAY($B1203,3))</f>
        <v/>
      </c>
      <c r="T1203" s="24">
        <f>IF($B1203="",0,IF(COUNTIFS($B$5:$B1203,$B1203,$D$5:$D1203,$D1203)=1,1,0))</f>
        <v/>
      </c>
      <c r="U1203" s="24">
        <f>IF($B1203="",0,IF(COUNTIFS($B$5:$B1203,$B1203,$C$5:$C1203,$C1203)=1,1,0))</f>
        <v/>
      </c>
      <c r="V1203" s="24">
        <f>IF(OR($B1203="",$G1203="",$G1203="لا توجد مشاهدات"),0,1)</f>
        <v/>
      </c>
      <c r="W1203" s="24">
        <f>IF(AND($B1203&lt;&gt;"",$I1203="تم تحرير مخالفة"),1,0)</f>
        <v/>
      </c>
      <c r="X1203" s="24">
        <f>IF($B1203="","",IF($S1203=WkStart,COUNTIF($S$5:$S1203,WkStart),""))</f>
        <v/>
      </c>
    </row>
    <row r="1204">
      <c r="A1204" s="16">
        <f>IF($B1204="","",ROW()-4)</f>
        <v/>
      </c>
      <c r="B1204" s="17" t="n"/>
      <c r="C1204" s="18" t="n"/>
      <c r="D1204" s="18" t="n"/>
      <c r="E1204" s="19" t="n"/>
      <c r="F1204" s="19" t="n"/>
      <c r="G1204" s="18" t="n"/>
      <c r="H1204" s="18" t="n"/>
      <c r="I1204" s="18" t="n"/>
      <c r="J1204" s="20" t="n"/>
      <c r="K1204" s="21" t="n"/>
      <c r="L1204" s="21" t="n"/>
      <c r="M1204" s="18" t="n"/>
      <c r="N1204" s="22">
        <f>IF($B1204="","",CHOOSE(WEEKDAY($B1204),"الأحد","الاثنين","الثلاثاء","الأربعاء","الخميس","الجمعة","السبت"))</f>
        <v/>
      </c>
      <c r="O1204" s="23">
        <f>IF(OR($K1204="",$L1204=""),"",HYPERLINK("https://maps.google.com/?q="&amp;$K1204&amp;","&amp;$L1204,"عرض الموقع"))</f>
        <v/>
      </c>
      <c r="P1204" s="23">
        <f>IF(OR($B1204="",N($J1204)=0),"",HYPERLINK(PhotoDir&amp;"/"&amp;YEAR($B1204)&amp;"-"&amp;TEXT(MONTH($B1204),"00")&amp;"-"&amp;TEXT(DAY($B1204),"00")&amp;"_"&amp;$D1204,"فتح الصور ("&amp;$J1204&amp;")"))</f>
        <v/>
      </c>
      <c r="Q1204" s="24">
        <f>IF($B1204="","",MONTH($B1204))</f>
        <v/>
      </c>
      <c r="R1204" s="24">
        <f>IF($B1204="","",YEAR($B1204))</f>
        <v/>
      </c>
      <c r="S1204" s="25">
        <f>IF($B1204="","",$B1204-WEEKDAY($B1204,3))</f>
        <v/>
      </c>
      <c r="T1204" s="24">
        <f>IF($B1204="",0,IF(COUNTIFS($B$5:$B1204,$B1204,$D$5:$D1204,$D1204)=1,1,0))</f>
        <v/>
      </c>
      <c r="U1204" s="24">
        <f>IF($B1204="",0,IF(COUNTIFS($B$5:$B1204,$B1204,$C$5:$C1204,$C1204)=1,1,0))</f>
        <v/>
      </c>
      <c r="V1204" s="24">
        <f>IF(OR($B1204="",$G1204="",$G1204="لا توجد مشاهدات"),0,1)</f>
        <v/>
      </c>
      <c r="W1204" s="24">
        <f>IF(AND($B1204&lt;&gt;"",$I1204="تم تحرير مخالفة"),1,0)</f>
        <v/>
      </c>
      <c r="X1204" s="24">
        <f>IF($B1204="","",IF($S1204=WkStart,COUNTIF($S$5:$S1204,WkStart),""))</f>
        <v/>
      </c>
    </row>
    <row r="1205">
      <c r="A1205" s="16">
        <f>IF($B1205="","",ROW()-4)</f>
        <v/>
      </c>
      <c r="B1205" s="17" t="n"/>
      <c r="C1205" s="18" t="n"/>
      <c r="D1205" s="18" t="n"/>
      <c r="E1205" s="19" t="n"/>
      <c r="F1205" s="19" t="n"/>
      <c r="G1205" s="18" t="n"/>
      <c r="H1205" s="18" t="n"/>
      <c r="I1205" s="18" t="n"/>
      <c r="J1205" s="20" t="n"/>
      <c r="K1205" s="21" t="n"/>
      <c r="L1205" s="21" t="n"/>
      <c r="M1205" s="18" t="n"/>
      <c r="N1205" s="22">
        <f>IF($B1205="","",CHOOSE(WEEKDAY($B1205),"الأحد","الاثنين","الثلاثاء","الأربعاء","الخميس","الجمعة","السبت"))</f>
        <v/>
      </c>
      <c r="O1205" s="23">
        <f>IF(OR($K1205="",$L1205=""),"",HYPERLINK("https://maps.google.com/?q="&amp;$K1205&amp;","&amp;$L1205,"عرض الموقع"))</f>
        <v/>
      </c>
      <c r="P1205" s="23">
        <f>IF(OR($B1205="",N($J1205)=0),"",HYPERLINK(PhotoDir&amp;"/"&amp;YEAR($B1205)&amp;"-"&amp;TEXT(MONTH($B1205),"00")&amp;"-"&amp;TEXT(DAY($B1205),"00")&amp;"_"&amp;$D1205,"فتح الصور ("&amp;$J1205&amp;")"))</f>
        <v/>
      </c>
      <c r="Q1205" s="24">
        <f>IF($B1205="","",MONTH($B1205))</f>
        <v/>
      </c>
      <c r="R1205" s="24">
        <f>IF($B1205="","",YEAR($B1205))</f>
        <v/>
      </c>
      <c r="S1205" s="25">
        <f>IF($B1205="","",$B1205-WEEKDAY($B1205,3))</f>
        <v/>
      </c>
      <c r="T1205" s="24">
        <f>IF($B1205="",0,IF(COUNTIFS($B$5:$B1205,$B1205,$D$5:$D1205,$D1205)=1,1,0))</f>
        <v/>
      </c>
      <c r="U1205" s="24">
        <f>IF($B1205="",0,IF(COUNTIFS($B$5:$B1205,$B1205,$C$5:$C1205,$C1205)=1,1,0))</f>
        <v/>
      </c>
      <c r="V1205" s="24">
        <f>IF(OR($B1205="",$G1205="",$G1205="لا توجد مشاهدات"),0,1)</f>
        <v/>
      </c>
      <c r="W1205" s="24">
        <f>IF(AND($B1205&lt;&gt;"",$I1205="تم تحرير مخالفة"),1,0)</f>
        <v/>
      </c>
      <c r="X1205" s="24">
        <f>IF($B1205="","",IF($S1205=WkStart,COUNTIF($S$5:$S1205,WkStart),""))</f>
        <v/>
      </c>
    </row>
    <row r="1206">
      <c r="A1206" s="16">
        <f>IF($B1206="","",ROW()-4)</f>
        <v/>
      </c>
      <c r="B1206" s="17" t="n"/>
      <c r="C1206" s="18" t="n"/>
      <c r="D1206" s="18" t="n"/>
      <c r="E1206" s="19" t="n"/>
      <c r="F1206" s="19" t="n"/>
      <c r="G1206" s="18" t="n"/>
      <c r="H1206" s="18" t="n"/>
      <c r="I1206" s="18" t="n"/>
      <c r="J1206" s="20" t="n"/>
      <c r="K1206" s="21" t="n"/>
      <c r="L1206" s="21" t="n"/>
      <c r="M1206" s="18" t="n"/>
      <c r="N1206" s="22">
        <f>IF($B1206="","",CHOOSE(WEEKDAY($B1206),"الأحد","الاثنين","الثلاثاء","الأربعاء","الخميس","الجمعة","السبت"))</f>
        <v/>
      </c>
      <c r="O1206" s="23">
        <f>IF(OR($K1206="",$L1206=""),"",HYPERLINK("https://maps.google.com/?q="&amp;$K1206&amp;","&amp;$L1206,"عرض الموقع"))</f>
        <v/>
      </c>
      <c r="P1206" s="23">
        <f>IF(OR($B1206="",N($J1206)=0),"",HYPERLINK(PhotoDir&amp;"/"&amp;YEAR($B1206)&amp;"-"&amp;TEXT(MONTH($B1206),"00")&amp;"-"&amp;TEXT(DAY($B1206),"00")&amp;"_"&amp;$D1206,"فتح الصور ("&amp;$J1206&amp;")"))</f>
        <v/>
      </c>
      <c r="Q1206" s="24">
        <f>IF($B1206="","",MONTH($B1206))</f>
        <v/>
      </c>
      <c r="R1206" s="24">
        <f>IF($B1206="","",YEAR($B1206))</f>
        <v/>
      </c>
      <c r="S1206" s="25">
        <f>IF($B1206="","",$B1206-WEEKDAY($B1206,3))</f>
        <v/>
      </c>
      <c r="T1206" s="24">
        <f>IF($B1206="",0,IF(COUNTIFS($B$5:$B1206,$B1206,$D$5:$D1206,$D1206)=1,1,0))</f>
        <v/>
      </c>
      <c r="U1206" s="24">
        <f>IF($B1206="",0,IF(COUNTIFS($B$5:$B1206,$B1206,$C$5:$C1206,$C1206)=1,1,0))</f>
        <v/>
      </c>
      <c r="V1206" s="24">
        <f>IF(OR($B1206="",$G1206="",$G1206="لا توجد مشاهدات"),0,1)</f>
        <v/>
      </c>
      <c r="W1206" s="24">
        <f>IF(AND($B1206&lt;&gt;"",$I1206="تم تحرير مخالفة"),1,0)</f>
        <v/>
      </c>
      <c r="X1206" s="24">
        <f>IF($B1206="","",IF($S1206=WkStart,COUNTIF($S$5:$S1206,WkStart),""))</f>
        <v/>
      </c>
    </row>
    <row r="1207">
      <c r="A1207" s="16">
        <f>IF($B1207="","",ROW()-4)</f>
        <v/>
      </c>
      <c r="B1207" s="17" t="n"/>
      <c r="C1207" s="18" t="n"/>
      <c r="D1207" s="18" t="n"/>
      <c r="E1207" s="19" t="n"/>
      <c r="F1207" s="19" t="n"/>
      <c r="G1207" s="18" t="n"/>
      <c r="H1207" s="18" t="n"/>
      <c r="I1207" s="18" t="n"/>
      <c r="J1207" s="20" t="n"/>
      <c r="K1207" s="21" t="n"/>
      <c r="L1207" s="21" t="n"/>
      <c r="M1207" s="18" t="n"/>
      <c r="N1207" s="22">
        <f>IF($B1207="","",CHOOSE(WEEKDAY($B1207),"الأحد","الاثنين","الثلاثاء","الأربعاء","الخميس","الجمعة","السبت"))</f>
        <v/>
      </c>
      <c r="O1207" s="23">
        <f>IF(OR($K1207="",$L1207=""),"",HYPERLINK("https://maps.google.com/?q="&amp;$K1207&amp;","&amp;$L1207,"عرض الموقع"))</f>
        <v/>
      </c>
      <c r="P1207" s="23">
        <f>IF(OR($B1207="",N($J1207)=0),"",HYPERLINK(PhotoDir&amp;"/"&amp;YEAR($B1207)&amp;"-"&amp;TEXT(MONTH($B1207),"00")&amp;"-"&amp;TEXT(DAY($B1207),"00")&amp;"_"&amp;$D1207,"فتح الصور ("&amp;$J1207&amp;")"))</f>
        <v/>
      </c>
      <c r="Q1207" s="24">
        <f>IF($B1207="","",MONTH($B1207))</f>
        <v/>
      </c>
      <c r="R1207" s="24">
        <f>IF($B1207="","",YEAR($B1207))</f>
        <v/>
      </c>
      <c r="S1207" s="25">
        <f>IF($B1207="","",$B1207-WEEKDAY($B1207,3))</f>
        <v/>
      </c>
      <c r="T1207" s="24">
        <f>IF($B1207="",0,IF(COUNTIFS($B$5:$B1207,$B1207,$D$5:$D1207,$D1207)=1,1,0))</f>
        <v/>
      </c>
      <c r="U1207" s="24">
        <f>IF($B1207="",0,IF(COUNTIFS($B$5:$B1207,$B1207,$C$5:$C1207,$C1207)=1,1,0))</f>
        <v/>
      </c>
      <c r="V1207" s="24">
        <f>IF(OR($B1207="",$G1207="",$G1207="لا توجد مشاهدات"),0,1)</f>
        <v/>
      </c>
      <c r="W1207" s="24">
        <f>IF(AND($B1207&lt;&gt;"",$I1207="تم تحرير مخالفة"),1,0)</f>
        <v/>
      </c>
      <c r="X1207" s="24">
        <f>IF($B1207="","",IF($S1207=WkStart,COUNTIF($S$5:$S1207,WkStart),""))</f>
        <v/>
      </c>
    </row>
    <row r="1208">
      <c r="A1208" s="16">
        <f>IF($B1208="","",ROW()-4)</f>
        <v/>
      </c>
      <c r="B1208" s="17" t="n"/>
      <c r="C1208" s="18" t="n"/>
      <c r="D1208" s="18" t="n"/>
      <c r="E1208" s="19" t="n"/>
      <c r="F1208" s="19" t="n"/>
      <c r="G1208" s="18" t="n"/>
      <c r="H1208" s="18" t="n"/>
      <c r="I1208" s="18" t="n"/>
      <c r="J1208" s="20" t="n"/>
      <c r="K1208" s="21" t="n"/>
      <c r="L1208" s="21" t="n"/>
      <c r="M1208" s="18" t="n"/>
      <c r="N1208" s="22">
        <f>IF($B1208="","",CHOOSE(WEEKDAY($B1208),"الأحد","الاثنين","الثلاثاء","الأربعاء","الخميس","الجمعة","السبت"))</f>
        <v/>
      </c>
      <c r="O1208" s="23">
        <f>IF(OR($K1208="",$L1208=""),"",HYPERLINK("https://maps.google.com/?q="&amp;$K1208&amp;","&amp;$L1208,"عرض الموقع"))</f>
        <v/>
      </c>
      <c r="P1208" s="23">
        <f>IF(OR($B1208="",N($J1208)=0),"",HYPERLINK(PhotoDir&amp;"/"&amp;YEAR($B1208)&amp;"-"&amp;TEXT(MONTH($B1208),"00")&amp;"-"&amp;TEXT(DAY($B1208),"00")&amp;"_"&amp;$D1208,"فتح الصور ("&amp;$J1208&amp;")"))</f>
        <v/>
      </c>
      <c r="Q1208" s="24">
        <f>IF($B1208="","",MONTH($B1208))</f>
        <v/>
      </c>
      <c r="R1208" s="24">
        <f>IF($B1208="","",YEAR($B1208))</f>
        <v/>
      </c>
      <c r="S1208" s="25">
        <f>IF($B1208="","",$B1208-WEEKDAY($B1208,3))</f>
        <v/>
      </c>
      <c r="T1208" s="24">
        <f>IF($B1208="",0,IF(COUNTIFS($B$5:$B1208,$B1208,$D$5:$D1208,$D1208)=1,1,0))</f>
        <v/>
      </c>
      <c r="U1208" s="24">
        <f>IF($B1208="",0,IF(COUNTIFS($B$5:$B1208,$B1208,$C$5:$C1208,$C1208)=1,1,0))</f>
        <v/>
      </c>
      <c r="V1208" s="24">
        <f>IF(OR($B1208="",$G1208="",$G1208="لا توجد مشاهدات"),0,1)</f>
        <v/>
      </c>
      <c r="W1208" s="24">
        <f>IF(AND($B1208&lt;&gt;"",$I1208="تم تحرير مخالفة"),1,0)</f>
        <v/>
      </c>
      <c r="X1208" s="24">
        <f>IF($B1208="","",IF($S1208=WkStart,COUNTIF($S$5:$S1208,WkStart),""))</f>
        <v/>
      </c>
    </row>
    <row r="1209">
      <c r="A1209" s="16">
        <f>IF($B1209="","",ROW()-4)</f>
        <v/>
      </c>
      <c r="B1209" s="17" t="n"/>
      <c r="C1209" s="18" t="n"/>
      <c r="D1209" s="18" t="n"/>
      <c r="E1209" s="19" t="n"/>
      <c r="F1209" s="19" t="n"/>
      <c r="G1209" s="18" t="n"/>
      <c r="H1209" s="18" t="n"/>
      <c r="I1209" s="18" t="n"/>
      <c r="J1209" s="20" t="n"/>
      <c r="K1209" s="21" t="n"/>
      <c r="L1209" s="21" t="n"/>
      <c r="M1209" s="18" t="n"/>
      <c r="N1209" s="22">
        <f>IF($B1209="","",CHOOSE(WEEKDAY($B1209),"الأحد","الاثنين","الثلاثاء","الأربعاء","الخميس","الجمعة","السبت"))</f>
        <v/>
      </c>
      <c r="O1209" s="23">
        <f>IF(OR($K1209="",$L1209=""),"",HYPERLINK("https://maps.google.com/?q="&amp;$K1209&amp;","&amp;$L1209,"عرض الموقع"))</f>
        <v/>
      </c>
      <c r="P1209" s="23">
        <f>IF(OR($B1209="",N($J1209)=0),"",HYPERLINK(PhotoDir&amp;"/"&amp;YEAR($B1209)&amp;"-"&amp;TEXT(MONTH($B1209),"00")&amp;"-"&amp;TEXT(DAY($B1209),"00")&amp;"_"&amp;$D1209,"فتح الصور ("&amp;$J1209&amp;")"))</f>
        <v/>
      </c>
      <c r="Q1209" s="24">
        <f>IF($B1209="","",MONTH($B1209))</f>
        <v/>
      </c>
      <c r="R1209" s="24">
        <f>IF($B1209="","",YEAR($B1209))</f>
        <v/>
      </c>
      <c r="S1209" s="25">
        <f>IF($B1209="","",$B1209-WEEKDAY($B1209,3))</f>
        <v/>
      </c>
      <c r="T1209" s="24">
        <f>IF($B1209="",0,IF(COUNTIFS($B$5:$B1209,$B1209,$D$5:$D1209,$D1209)=1,1,0))</f>
        <v/>
      </c>
      <c r="U1209" s="24">
        <f>IF($B1209="",0,IF(COUNTIFS($B$5:$B1209,$B1209,$C$5:$C1209,$C1209)=1,1,0))</f>
        <v/>
      </c>
      <c r="V1209" s="24">
        <f>IF(OR($B1209="",$G1209="",$G1209="لا توجد مشاهدات"),0,1)</f>
        <v/>
      </c>
      <c r="W1209" s="24">
        <f>IF(AND($B1209&lt;&gt;"",$I1209="تم تحرير مخالفة"),1,0)</f>
        <v/>
      </c>
      <c r="X1209" s="24">
        <f>IF($B1209="","",IF($S1209=WkStart,COUNTIF($S$5:$S1209,WkStart),""))</f>
        <v/>
      </c>
    </row>
    <row r="1210">
      <c r="A1210" s="16">
        <f>IF($B1210="","",ROW()-4)</f>
        <v/>
      </c>
      <c r="B1210" s="17" t="n"/>
      <c r="C1210" s="18" t="n"/>
      <c r="D1210" s="18" t="n"/>
      <c r="E1210" s="19" t="n"/>
      <c r="F1210" s="19" t="n"/>
      <c r="G1210" s="18" t="n"/>
      <c r="H1210" s="18" t="n"/>
      <c r="I1210" s="18" t="n"/>
      <c r="J1210" s="20" t="n"/>
      <c r="K1210" s="21" t="n"/>
      <c r="L1210" s="21" t="n"/>
      <c r="M1210" s="18" t="n"/>
      <c r="N1210" s="22">
        <f>IF($B1210="","",CHOOSE(WEEKDAY($B1210),"الأحد","الاثنين","الثلاثاء","الأربعاء","الخميس","الجمعة","السبت"))</f>
        <v/>
      </c>
      <c r="O1210" s="23">
        <f>IF(OR($K1210="",$L1210=""),"",HYPERLINK("https://maps.google.com/?q="&amp;$K1210&amp;","&amp;$L1210,"عرض الموقع"))</f>
        <v/>
      </c>
      <c r="P1210" s="23">
        <f>IF(OR($B1210="",N($J1210)=0),"",HYPERLINK(PhotoDir&amp;"/"&amp;YEAR($B1210)&amp;"-"&amp;TEXT(MONTH($B1210),"00")&amp;"-"&amp;TEXT(DAY($B1210),"00")&amp;"_"&amp;$D1210,"فتح الصور ("&amp;$J1210&amp;")"))</f>
        <v/>
      </c>
      <c r="Q1210" s="24">
        <f>IF($B1210="","",MONTH($B1210))</f>
        <v/>
      </c>
      <c r="R1210" s="24">
        <f>IF($B1210="","",YEAR($B1210))</f>
        <v/>
      </c>
      <c r="S1210" s="25">
        <f>IF($B1210="","",$B1210-WEEKDAY($B1210,3))</f>
        <v/>
      </c>
      <c r="T1210" s="24">
        <f>IF($B1210="",0,IF(COUNTIFS($B$5:$B1210,$B1210,$D$5:$D1210,$D1210)=1,1,0))</f>
        <v/>
      </c>
      <c r="U1210" s="24">
        <f>IF($B1210="",0,IF(COUNTIFS($B$5:$B1210,$B1210,$C$5:$C1210,$C1210)=1,1,0))</f>
        <v/>
      </c>
      <c r="V1210" s="24">
        <f>IF(OR($B1210="",$G1210="",$G1210="لا توجد مشاهدات"),0,1)</f>
        <v/>
      </c>
      <c r="W1210" s="24">
        <f>IF(AND($B1210&lt;&gt;"",$I1210="تم تحرير مخالفة"),1,0)</f>
        <v/>
      </c>
      <c r="X1210" s="24">
        <f>IF($B1210="","",IF($S1210=WkStart,COUNTIF($S$5:$S1210,WkStart),""))</f>
        <v/>
      </c>
    </row>
    <row r="1211">
      <c r="A1211" s="16">
        <f>IF($B1211="","",ROW()-4)</f>
        <v/>
      </c>
      <c r="B1211" s="17" t="n"/>
      <c r="C1211" s="18" t="n"/>
      <c r="D1211" s="18" t="n"/>
      <c r="E1211" s="19" t="n"/>
      <c r="F1211" s="19" t="n"/>
      <c r="G1211" s="18" t="n"/>
      <c r="H1211" s="18" t="n"/>
      <c r="I1211" s="18" t="n"/>
      <c r="J1211" s="20" t="n"/>
      <c r="K1211" s="21" t="n"/>
      <c r="L1211" s="21" t="n"/>
      <c r="M1211" s="18" t="n"/>
      <c r="N1211" s="22">
        <f>IF($B1211="","",CHOOSE(WEEKDAY($B1211),"الأحد","الاثنين","الثلاثاء","الأربعاء","الخميس","الجمعة","السبت"))</f>
        <v/>
      </c>
      <c r="O1211" s="23">
        <f>IF(OR($K1211="",$L1211=""),"",HYPERLINK("https://maps.google.com/?q="&amp;$K1211&amp;","&amp;$L1211,"عرض الموقع"))</f>
        <v/>
      </c>
      <c r="P1211" s="23">
        <f>IF(OR($B1211="",N($J1211)=0),"",HYPERLINK(PhotoDir&amp;"/"&amp;YEAR($B1211)&amp;"-"&amp;TEXT(MONTH($B1211),"00")&amp;"-"&amp;TEXT(DAY($B1211),"00")&amp;"_"&amp;$D1211,"فتح الصور ("&amp;$J1211&amp;")"))</f>
        <v/>
      </c>
      <c r="Q1211" s="24">
        <f>IF($B1211="","",MONTH($B1211))</f>
        <v/>
      </c>
      <c r="R1211" s="24">
        <f>IF($B1211="","",YEAR($B1211))</f>
        <v/>
      </c>
      <c r="S1211" s="25">
        <f>IF($B1211="","",$B1211-WEEKDAY($B1211,3))</f>
        <v/>
      </c>
      <c r="T1211" s="24">
        <f>IF($B1211="",0,IF(COUNTIFS($B$5:$B1211,$B1211,$D$5:$D1211,$D1211)=1,1,0))</f>
        <v/>
      </c>
      <c r="U1211" s="24">
        <f>IF($B1211="",0,IF(COUNTIFS($B$5:$B1211,$B1211,$C$5:$C1211,$C1211)=1,1,0))</f>
        <v/>
      </c>
      <c r="V1211" s="24">
        <f>IF(OR($B1211="",$G1211="",$G1211="لا توجد مشاهدات"),0,1)</f>
        <v/>
      </c>
      <c r="W1211" s="24">
        <f>IF(AND($B1211&lt;&gt;"",$I1211="تم تحرير مخالفة"),1,0)</f>
        <v/>
      </c>
      <c r="X1211" s="24">
        <f>IF($B1211="","",IF($S1211=WkStart,COUNTIF($S$5:$S1211,WkStart),""))</f>
        <v/>
      </c>
    </row>
    <row r="1212">
      <c r="A1212" s="16">
        <f>IF($B1212="","",ROW()-4)</f>
        <v/>
      </c>
      <c r="B1212" s="17" t="n"/>
      <c r="C1212" s="18" t="n"/>
      <c r="D1212" s="18" t="n"/>
      <c r="E1212" s="19" t="n"/>
      <c r="F1212" s="19" t="n"/>
      <c r="G1212" s="18" t="n"/>
      <c r="H1212" s="18" t="n"/>
      <c r="I1212" s="18" t="n"/>
      <c r="J1212" s="20" t="n"/>
      <c r="K1212" s="21" t="n"/>
      <c r="L1212" s="21" t="n"/>
      <c r="M1212" s="18" t="n"/>
      <c r="N1212" s="22">
        <f>IF($B1212="","",CHOOSE(WEEKDAY($B1212),"الأحد","الاثنين","الثلاثاء","الأربعاء","الخميس","الجمعة","السبت"))</f>
        <v/>
      </c>
      <c r="O1212" s="23">
        <f>IF(OR($K1212="",$L1212=""),"",HYPERLINK("https://maps.google.com/?q="&amp;$K1212&amp;","&amp;$L1212,"عرض الموقع"))</f>
        <v/>
      </c>
      <c r="P1212" s="23">
        <f>IF(OR($B1212="",N($J1212)=0),"",HYPERLINK(PhotoDir&amp;"/"&amp;YEAR($B1212)&amp;"-"&amp;TEXT(MONTH($B1212),"00")&amp;"-"&amp;TEXT(DAY($B1212),"00")&amp;"_"&amp;$D1212,"فتح الصور ("&amp;$J1212&amp;")"))</f>
        <v/>
      </c>
      <c r="Q1212" s="24">
        <f>IF($B1212="","",MONTH($B1212))</f>
        <v/>
      </c>
      <c r="R1212" s="24">
        <f>IF($B1212="","",YEAR($B1212))</f>
        <v/>
      </c>
      <c r="S1212" s="25">
        <f>IF($B1212="","",$B1212-WEEKDAY($B1212,3))</f>
        <v/>
      </c>
      <c r="T1212" s="24">
        <f>IF($B1212="",0,IF(COUNTIFS($B$5:$B1212,$B1212,$D$5:$D1212,$D1212)=1,1,0))</f>
        <v/>
      </c>
      <c r="U1212" s="24">
        <f>IF($B1212="",0,IF(COUNTIFS($B$5:$B1212,$B1212,$C$5:$C1212,$C1212)=1,1,0))</f>
        <v/>
      </c>
      <c r="V1212" s="24">
        <f>IF(OR($B1212="",$G1212="",$G1212="لا توجد مشاهدات"),0,1)</f>
        <v/>
      </c>
      <c r="W1212" s="24">
        <f>IF(AND($B1212&lt;&gt;"",$I1212="تم تحرير مخالفة"),1,0)</f>
        <v/>
      </c>
      <c r="X1212" s="24">
        <f>IF($B1212="","",IF($S1212=WkStart,COUNTIF($S$5:$S1212,WkStart),""))</f>
        <v/>
      </c>
    </row>
    <row r="1213">
      <c r="A1213" s="16">
        <f>IF($B1213="","",ROW()-4)</f>
        <v/>
      </c>
      <c r="B1213" s="17" t="n"/>
      <c r="C1213" s="18" t="n"/>
      <c r="D1213" s="18" t="n"/>
      <c r="E1213" s="19" t="n"/>
      <c r="F1213" s="19" t="n"/>
      <c r="G1213" s="18" t="n"/>
      <c r="H1213" s="18" t="n"/>
      <c r="I1213" s="18" t="n"/>
      <c r="J1213" s="20" t="n"/>
      <c r="K1213" s="21" t="n"/>
      <c r="L1213" s="21" t="n"/>
      <c r="M1213" s="18" t="n"/>
      <c r="N1213" s="22">
        <f>IF($B1213="","",CHOOSE(WEEKDAY($B1213),"الأحد","الاثنين","الثلاثاء","الأربعاء","الخميس","الجمعة","السبت"))</f>
        <v/>
      </c>
      <c r="O1213" s="23">
        <f>IF(OR($K1213="",$L1213=""),"",HYPERLINK("https://maps.google.com/?q="&amp;$K1213&amp;","&amp;$L1213,"عرض الموقع"))</f>
        <v/>
      </c>
      <c r="P1213" s="23">
        <f>IF(OR($B1213="",N($J1213)=0),"",HYPERLINK(PhotoDir&amp;"/"&amp;YEAR($B1213)&amp;"-"&amp;TEXT(MONTH($B1213),"00")&amp;"-"&amp;TEXT(DAY($B1213),"00")&amp;"_"&amp;$D1213,"فتح الصور ("&amp;$J1213&amp;")"))</f>
        <v/>
      </c>
      <c r="Q1213" s="24">
        <f>IF($B1213="","",MONTH($B1213))</f>
        <v/>
      </c>
      <c r="R1213" s="24">
        <f>IF($B1213="","",YEAR($B1213))</f>
        <v/>
      </c>
      <c r="S1213" s="25">
        <f>IF($B1213="","",$B1213-WEEKDAY($B1213,3))</f>
        <v/>
      </c>
      <c r="T1213" s="24">
        <f>IF($B1213="",0,IF(COUNTIFS($B$5:$B1213,$B1213,$D$5:$D1213,$D1213)=1,1,0))</f>
        <v/>
      </c>
      <c r="U1213" s="24">
        <f>IF($B1213="",0,IF(COUNTIFS($B$5:$B1213,$B1213,$C$5:$C1213,$C1213)=1,1,0))</f>
        <v/>
      </c>
      <c r="V1213" s="24">
        <f>IF(OR($B1213="",$G1213="",$G1213="لا توجد مشاهدات"),0,1)</f>
        <v/>
      </c>
      <c r="W1213" s="24">
        <f>IF(AND($B1213&lt;&gt;"",$I1213="تم تحرير مخالفة"),1,0)</f>
        <v/>
      </c>
      <c r="X1213" s="24">
        <f>IF($B1213="","",IF($S1213=WkStart,COUNTIF($S$5:$S1213,WkStart),""))</f>
        <v/>
      </c>
    </row>
    <row r="1214">
      <c r="A1214" s="16">
        <f>IF($B1214="","",ROW()-4)</f>
        <v/>
      </c>
      <c r="B1214" s="17" t="n"/>
      <c r="C1214" s="18" t="n"/>
      <c r="D1214" s="18" t="n"/>
      <c r="E1214" s="19" t="n"/>
      <c r="F1214" s="19" t="n"/>
      <c r="G1214" s="18" t="n"/>
      <c r="H1214" s="18" t="n"/>
      <c r="I1214" s="18" t="n"/>
      <c r="J1214" s="20" t="n"/>
      <c r="K1214" s="21" t="n"/>
      <c r="L1214" s="21" t="n"/>
      <c r="M1214" s="18" t="n"/>
      <c r="N1214" s="22">
        <f>IF($B1214="","",CHOOSE(WEEKDAY($B1214),"الأحد","الاثنين","الثلاثاء","الأربعاء","الخميس","الجمعة","السبت"))</f>
        <v/>
      </c>
      <c r="O1214" s="23">
        <f>IF(OR($K1214="",$L1214=""),"",HYPERLINK("https://maps.google.com/?q="&amp;$K1214&amp;","&amp;$L1214,"عرض الموقع"))</f>
        <v/>
      </c>
      <c r="P1214" s="23">
        <f>IF(OR($B1214="",N($J1214)=0),"",HYPERLINK(PhotoDir&amp;"/"&amp;YEAR($B1214)&amp;"-"&amp;TEXT(MONTH($B1214),"00")&amp;"-"&amp;TEXT(DAY($B1214),"00")&amp;"_"&amp;$D1214,"فتح الصور ("&amp;$J1214&amp;")"))</f>
        <v/>
      </c>
      <c r="Q1214" s="24">
        <f>IF($B1214="","",MONTH($B1214))</f>
        <v/>
      </c>
      <c r="R1214" s="24">
        <f>IF($B1214="","",YEAR($B1214))</f>
        <v/>
      </c>
      <c r="S1214" s="25">
        <f>IF($B1214="","",$B1214-WEEKDAY($B1214,3))</f>
        <v/>
      </c>
      <c r="T1214" s="24">
        <f>IF($B1214="",0,IF(COUNTIFS($B$5:$B1214,$B1214,$D$5:$D1214,$D1214)=1,1,0))</f>
        <v/>
      </c>
      <c r="U1214" s="24">
        <f>IF($B1214="",0,IF(COUNTIFS($B$5:$B1214,$B1214,$C$5:$C1214,$C1214)=1,1,0))</f>
        <v/>
      </c>
      <c r="V1214" s="24">
        <f>IF(OR($B1214="",$G1214="",$G1214="لا توجد مشاهدات"),0,1)</f>
        <v/>
      </c>
      <c r="W1214" s="24">
        <f>IF(AND($B1214&lt;&gt;"",$I1214="تم تحرير مخالفة"),1,0)</f>
        <v/>
      </c>
      <c r="X1214" s="24">
        <f>IF($B1214="","",IF($S1214=WkStart,COUNTIF($S$5:$S1214,WkStart),""))</f>
        <v/>
      </c>
    </row>
    <row r="1215">
      <c r="A1215" s="16">
        <f>IF($B1215="","",ROW()-4)</f>
        <v/>
      </c>
      <c r="B1215" s="17" t="n"/>
      <c r="C1215" s="18" t="n"/>
      <c r="D1215" s="18" t="n"/>
      <c r="E1215" s="19" t="n"/>
      <c r="F1215" s="19" t="n"/>
      <c r="G1215" s="18" t="n"/>
      <c r="H1215" s="18" t="n"/>
      <c r="I1215" s="18" t="n"/>
      <c r="J1215" s="20" t="n"/>
      <c r="K1215" s="21" t="n"/>
      <c r="L1215" s="21" t="n"/>
      <c r="M1215" s="18" t="n"/>
      <c r="N1215" s="22">
        <f>IF($B1215="","",CHOOSE(WEEKDAY($B1215),"الأحد","الاثنين","الثلاثاء","الأربعاء","الخميس","الجمعة","السبت"))</f>
        <v/>
      </c>
      <c r="O1215" s="23">
        <f>IF(OR($K1215="",$L1215=""),"",HYPERLINK("https://maps.google.com/?q="&amp;$K1215&amp;","&amp;$L1215,"عرض الموقع"))</f>
        <v/>
      </c>
      <c r="P1215" s="23">
        <f>IF(OR($B1215="",N($J1215)=0),"",HYPERLINK(PhotoDir&amp;"/"&amp;YEAR($B1215)&amp;"-"&amp;TEXT(MONTH($B1215),"00")&amp;"-"&amp;TEXT(DAY($B1215),"00")&amp;"_"&amp;$D1215,"فتح الصور ("&amp;$J1215&amp;")"))</f>
        <v/>
      </c>
      <c r="Q1215" s="24">
        <f>IF($B1215="","",MONTH($B1215))</f>
        <v/>
      </c>
      <c r="R1215" s="24">
        <f>IF($B1215="","",YEAR($B1215))</f>
        <v/>
      </c>
      <c r="S1215" s="25">
        <f>IF($B1215="","",$B1215-WEEKDAY($B1215,3))</f>
        <v/>
      </c>
      <c r="T1215" s="24">
        <f>IF($B1215="",0,IF(COUNTIFS($B$5:$B1215,$B1215,$D$5:$D1215,$D1215)=1,1,0))</f>
        <v/>
      </c>
      <c r="U1215" s="24">
        <f>IF($B1215="",0,IF(COUNTIFS($B$5:$B1215,$B1215,$C$5:$C1215,$C1215)=1,1,0))</f>
        <v/>
      </c>
      <c r="V1215" s="24">
        <f>IF(OR($B1215="",$G1215="",$G1215="لا توجد مشاهدات"),0,1)</f>
        <v/>
      </c>
      <c r="W1215" s="24">
        <f>IF(AND($B1215&lt;&gt;"",$I1215="تم تحرير مخالفة"),1,0)</f>
        <v/>
      </c>
      <c r="X1215" s="24">
        <f>IF($B1215="","",IF($S1215=WkStart,COUNTIF($S$5:$S1215,WkStart),""))</f>
        <v/>
      </c>
    </row>
    <row r="1216">
      <c r="A1216" s="16">
        <f>IF($B1216="","",ROW()-4)</f>
        <v/>
      </c>
      <c r="B1216" s="17" t="n"/>
      <c r="C1216" s="18" t="n"/>
      <c r="D1216" s="18" t="n"/>
      <c r="E1216" s="19" t="n"/>
      <c r="F1216" s="19" t="n"/>
      <c r="G1216" s="18" t="n"/>
      <c r="H1216" s="18" t="n"/>
      <c r="I1216" s="18" t="n"/>
      <c r="J1216" s="20" t="n"/>
      <c r="K1216" s="21" t="n"/>
      <c r="L1216" s="21" t="n"/>
      <c r="M1216" s="18" t="n"/>
      <c r="N1216" s="22">
        <f>IF($B1216="","",CHOOSE(WEEKDAY($B1216),"الأحد","الاثنين","الثلاثاء","الأربعاء","الخميس","الجمعة","السبت"))</f>
        <v/>
      </c>
      <c r="O1216" s="23">
        <f>IF(OR($K1216="",$L1216=""),"",HYPERLINK("https://maps.google.com/?q="&amp;$K1216&amp;","&amp;$L1216,"عرض الموقع"))</f>
        <v/>
      </c>
      <c r="P1216" s="23">
        <f>IF(OR($B1216="",N($J1216)=0),"",HYPERLINK(PhotoDir&amp;"/"&amp;YEAR($B1216)&amp;"-"&amp;TEXT(MONTH($B1216),"00")&amp;"-"&amp;TEXT(DAY($B1216),"00")&amp;"_"&amp;$D1216,"فتح الصور ("&amp;$J1216&amp;")"))</f>
        <v/>
      </c>
      <c r="Q1216" s="24">
        <f>IF($B1216="","",MONTH($B1216))</f>
        <v/>
      </c>
      <c r="R1216" s="24">
        <f>IF($B1216="","",YEAR($B1216))</f>
        <v/>
      </c>
      <c r="S1216" s="25">
        <f>IF($B1216="","",$B1216-WEEKDAY($B1216,3))</f>
        <v/>
      </c>
      <c r="T1216" s="24">
        <f>IF($B1216="",0,IF(COUNTIFS($B$5:$B1216,$B1216,$D$5:$D1216,$D1216)=1,1,0))</f>
        <v/>
      </c>
      <c r="U1216" s="24">
        <f>IF($B1216="",0,IF(COUNTIFS($B$5:$B1216,$B1216,$C$5:$C1216,$C1216)=1,1,0))</f>
        <v/>
      </c>
      <c r="V1216" s="24">
        <f>IF(OR($B1216="",$G1216="",$G1216="لا توجد مشاهدات"),0,1)</f>
        <v/>
      </c>
      <c r="W1216" s="24">
        <f>IF(AND($B1216&lt;&gt;"",$I1216="تم تحرير مخالفة"),1,0)</f>
        <v/>
      </c>
      <c r="X1216" s="24">
        <f>IF($B1216="","",IF($S1216=WkStart,COUNTIF($S$5:$S1216,WkStart),""))</f>
        <v/>
      </c>
    </row>
    <row r="1217">
      <c r="A1217" s="16">
        <f>IF($B1217="","",ROW()-4)</f>
        <v/>
      </c>
      <c r="B1217" s="17" t="n"/>
      <c r="C1217" s="18" t="n"/>
      <c r="D1217" s="18" t="n"/>
      <c r="E1217" s="19" t="n"/>
      <c r="F1217" s="19" t="n"/>
      <c r="G1217" s="18" t="n"/>
      <c r="H1217" s="18" t="n"/>
      <c r="I1217" s="18" t="n"/>
      <c r="J1217" s="20" t="n"/>
      <c r="K1217" s="21" t="n"/>
      <c r="L1217" s="21" t="n"/>
      <c r="M1217" s="18" t="n"/>
      <c r="N1217" s="22">
        <f>IF($B1217="","",CHOOSE(WEEKDAY($B1217),"الأحد","الاثنين","الثلاثاء","الأربعاء","الخميس","الجمعة","السبت"))</f>
        <v/>
      </c>
      <c r="O1217" s="23">
        <f>IF(OR($K1217="",$L1217=""),"",HYPERLINK("https://maps.google.com/?q="&amp;$K1217&amp;","&amp;$L1217,"عرض الموقع"))</f>
        <v/>
      </c>
      <c r="P1217" s="23">
        <f>IF(OR($B1217="",N($J1217)=0),"",HYPERLINK(PhotoDir&amp;"/"&amp;YEAR($B1217)&amp;"-"&amp;TEXT(MONTH($B1217),"00")&amp;"-"&amp;TEXT(DAY($B1217),"00")&amp;"_"&amp;$D1217,"فتح الصور ("&amp;$J1217&amp;")"))</f>
        <v/>
      </c>
      <c r="Q1217" s="24">
        <f>IF($B1217="","",MONTH($B1217))</f>
        <v/>
      </c>
      <c r="R1217" s="24">
        <f>IF($B1217="","",YEAR($B1217))</f>
        <v/>
      </c>
      <c r="S1217" s="25">
        <f>IF($B1217="","",$B1217-WEEKDAY($B1217,3))</f>
        <v/>
      </c>
      <c r="T1217" s="24">
        <f>IF($B1217="",0,IF(COUNTIFS($B$5:$B1217,$B1217,$D$5:$D1217,$D1217)=1,1,0))</f>
        <v/>
      </c>
      <c r="U1217" s="24">
        <f>IF($B1217="",0,IF(COUNTIFS($B$5:$B1217,$B1217,$C$5:$C1217,$C1217)=1,1,0))</f>
        <v/>
      </c>
      <c r="V1217" s="24">
        <f>IF(OR($B1217="",$G1217="",$G1217="لا توجد مشاهدات"),0,1)</f>
        <v/>
      </c>
      <c r="W1217" s="24">
        <f>IF(AND($B1217&lt;&gt;"",$I1217="تم تحرير مخالفة"),1,0)</f>
        <v/>
      </c>
      <c r="X1217" s="24">
        <f>IF($B1217="","",IF($S1217=WkStart,COUNTIF($S$5:$S1217,WkStart),""))</f>
        <v/>
      </c>
    </row>
    <row r="1218">
      <c r="A1218" s="16">
        <f>IF($B1218="","",ROW()-4)</f>
        <v/>
      </c>
      <c r="B1218" s="17" t="n"/>
      <c r="C1218" s="18" t="n"/>
      <c r="D1218" s="18" t="n"/>
      <c r="E1218" s="19" t="n"/>
      <c r="F1218" s="19" t="n"/>
      <c r="G1218" s="18" t="n"/>
      <c r="H1218" s="18" t="n"/>
      <c r="I1218" s="18" t="n"/>
      <c r="J1218" s="20" t="n"/>
      <c r="K1218" s="21" t="n"/>
      <c r="L1218" s="21" t="n"/>
      <c r="M1218" s="18" t="n"/>
      <c r="N1218" s="22">
        <f>IF($B1218="","",CHOOSE(WEEKDAY($B1218),"الأحد","الاثنين","الثلاثاء","الأربعاء","الخميس","الجمعة","السبت"))</f>
        <v/>
      </c>
      <c r="O1218" s="23">
        <f>IF(OR($K1218="",$L1218=""),"",HYPERLINK("https://maps.google.com/?q="&amp;$K1218&amp;","&amp;$L1218,"عرض الموقع"))</f>
        <v/>
      </c>
      <c r="P1218" s="23">
        <f>IF(OR($B1218="",N($J1218)=0),"",HYPERLINK(PhotoDir&amp;"/"&amp;YEAR($B1218)&amp;"-"&amp;TEXT(MONTH($B1218),"00")&amp;"-"&amp;TEXT(DAY($B1218),"00")&amp;"_"&amp;$D1218,"فتح الصور ("&amp;$J1218&amp;")"))</f>
        <v/>
      </c>
      <c r="Q1218" s="24">
        <f>IF($B1218="","",MONTH($B1218))</f>
        <v/>
      </c>
      <c r="R1218" s="24">
        <f>IF($B1218="","",YEAR($B1218))</f>
        <v/>
      </c>
      <c r="S1218" s="25">
        <f>IF($B1218="","",$B1218-WEEKDAY($B1218,3))</f>
        <v/>
      </c>
      <c r="T1218" s="24">
        <f>IF($B1218="",0,IF(COUNTIFS($B$5:$B1218,$B1218,$D$5:$D1218,$D1218)=1,1,0))</f>
        <v/>
      </c>
      <c r="U1218" s="24">
        <f>IF($B1218="",0,IF(COUNTIFS($B$5:$B1218,$B1218,$C$5:$C1218,$C1218)=1,1,0))</f>
        <v/>
      </c>
      <c r="V1218" s="24">
        <f>IF(OR($B1218="",$G1218="",$G1218="لا توجد مشاهدات"),0,1)</f>
        <v/>
      </c>
      <c r="W1218" s="24">
        <f>IF(AND($B1218&lt;&gt;"",$I1218="تم تحرير مخالفة"),1,0)</f>
        <v/>
      </c>
      <c r="X1218" s="24">
        <f>IF($B1218="","",IF($S1218=WkStart,COUNTIF($S$5:$S1218,WkStart),""))</f>
        <v/>
      </c>
    </row>
    <row r="1219">
      <c r="A1219" s="16">
        <f>IF($B1219="","",ROW()-4)</f>
        <v/>
      </c>
      <c r="B1219" s="17" t="n"/>
      <c r="C1219" s="18" t="n"/>
      <c r="D1219" s="18" t="n"/>
      <c r="E1219" s="19" t="n"/>
      <c r="F1219" s="19" t="n"/>
      <c r="G1219" s="18" t="n"/>
      <c r="H1219" s="18" t="n"/>
      <c r="I1219" s="18" t="n"/>
      <c r="J1219" s="20" t="n"/>
      <c r="K1219" s="21" t="n"/>
      <c r="L1219" s="21" t="n"/>
      <c r="M1219" s="18" t="n"/>
      <c r="N1219" s="22">
        <f>IF($B1219="","",CHOOSE(WEEKDAY($B1219),"الأحد","الاثنين","الثلاثاء","الأربعاء","الخميس","الجمعة","السبت"))</f>
        <v/>
      </c>
      <c r="O1219" s="23">
        <f>IF(OR($K1219="",$L1219=""),"",HYPERLINK("https://maps.google.com/?q="&amp;$K1219&amp;","&amp;$L1219,"عرض الموقع"))</f>
        <v/>
      </c>
      <c r="P1219" s="23">
        <f>IF(OR($B1219="",N($J1219)=0),"",HYPERLINK(PhotoDir&amp;"/"&amp;YEAR($B1219)&amp;"-"&amp;TEXT(MONTH($B1219),"00")&amp;"-"&amp;TEXT(DAY($B1219),"00")&amp;"_"&amp;$D1219,"فتح الصور ("&amp;$J1219&amp;")"))</f>
        <v/>
      </c>
      <c r="Q1219" s="24">
        <f>IF($B1219="","",MONTH($B1219))</f>
        <v/>
      </c>
      <c r="R1219" s="24">
        <f>IF($B1219="","",YEAR($B1219))</f>
        <v/>
      </c>
      <c r="S1219" s="25">
        <f>IF($B1219="","",$B1219-WEEKDAY($B1219,3))</f>
        <v/>
      </c>
      <c r="T1219" s="24">
        <f>IF($B1219="",0,IF(COUNTIFS($B$5:$B1219,$B1219,$D$5:$D1219,$D1219)=1,1,0))</f>
        <v/>
      </c>
      <c r="U1219" s="24">
        <f>IF($B1219="",0,IF(COUNTIFS($B$5:$B1219,$B1219,$C$5:$C1219,$C1219)=1,1,0))</f>
        <v/>
      </c>
      <c r="V1219" s="24">
        <f>IF(OR($B1219="",$G1219="",$G1219="لا توجد مشاهدات"),0,1)</f>
        <v/>
      </c>
      <c r="W1219" s="24">
        <f>IF(AND($B1219&lt;&gt;"",$I1219="تم تحرير مخالفة"),1,0)</f>
        <v/>
      </c>
      <c r="X1219" s="24">
        <f>IF($B1219="","",IF($S1219=WkStart,COUNTIF($S$5:$S1219,WkStart),""))</f>
        <v/>
      </c>
    </row>
    <row r="1220">
      <c r="A1220" s="16">
        <f>IF($B1220="","",ROW()-4)</f>
        <v/>
      </c>
      <c r="B1220" s="17" t="n"/>
      <c r="C1220" s="18" t="n"/>
      <c r="D1220" s="18" t="n"/>
      <c r="E1220" s="19" t="n"/>
      <c r="F1220" s="19" t="n"/>
      <c r="G1220" s="18" t="n"/>
      <c r="H1220" s="18" t="n"/>
      <c r="I1220" s="18" t="n"/>
      <c r="J1220" s="20" t="n"/>
      <c r="K1220" s="21" t="n"/>
      <c r="L1220" s="21" t="n"/>
      <c r="M1220" s="18" t="n"/>
      <c r="N1220" s="22">
        <f>IF($B1220="","",CHOOSE(WEEKDAY($B1220),"الأحد","الاثنين","الثلاثاء","الأربعاء","الخميس","الجمعة","السبت"))</f>
        <v/>
      </c>
      <c r="O1220" s="23">
        <f>IF(OR($K1220="",$L1220=""),"",HYPERLINK("https://maps.google.com/?q="&amp;$K1220&amp;","&amp;$L1220,"عرض الموقع"))</f>
        <v/>
      </c>
      <c r="P1220" s="23">
        <f>IF(OR($B1220="",N($J1220)=0),"",HYPERLINK(PhotoDir&amp;"/"&amp;YEAR($B1220)&amp;"-"&amp;TEXT(MONTH($B1220),"00")&amp;"-"&amp;TEXT(DAY($B1220),"00")&amp;"_"&amp;$D1220,"فتح الصور ("&amp;$J1220&amp;")"))</f>
        <v/>
      </c>
      <c r="Q1220" s="24">
        <f>IF($B1220="","",MONTH($B1220))</f>
        <v/>
      </c>
      <c r="R1220" s="24">
        <f>IF($B1220="","",YEAR($B1220))</f>
        <v/>
      </c>
      <c r="S1220" s="25">
        <f>IF($B1220="","",$B1220-WEEKDAY($B1220,3))</f>
        <v/>
      </c>
      <c r="T1220" s="24">
        <f>IF($B1220="",0,IF(COUNTIFS($B$5:$B1220,$B1220,$D$5:$D1220,$D1220)=1,1,0))</f>
        <v/>
      </c>
      <c r="U1220" s="24">
        <f>IF($B1220="",0,IF(COUNTIFS($B$5:$B1220,$B1220,$C$5:$C1220,$C1220)=1,1,0))</f>
        <v/>
      </c>
      <c r="V1220" s="24">
        <f>IF(OR($B1220="",$G1220="",$G1220="لا توجد مشاهدات"),0,1)</f>
        <v/>
      </c>
      <c r="W1220" s="24">
        <f>IF(AND($B1220&lt;&gt;"",$I1220="تم تحرير مخالفة"),1,0)</f>
        <v/>
      </c>
      <c r="X1220" s="24">
        <f>IF($B1220="","",IF($S1220=WkStart,COUNTIF($S$5:$S1220,WkStart),""))</f>
        <v/>
      </c>
    </row>
    <row r="1221">
      <c r="A1221" s="16">
        <f>IF($B1221="","",ROW()-4)</f>
        <v/>
      </c>
      <c r="B1221" s="17" t="n"/>
      <c r="C1221" s="18" t="n"/>
      <c r="D1221" s="18" t="n"/>
      <c r="E1221" s="19" t="n"/>
      <c r="F1221" s="19" t="n"/>
      <c r="G1221" s="18" t="n"/>
      <c r="H1221" s="18" t="n"/>
      <c r="I1221" s="18" t="n"/>
      <c r="J1221" s="20" t="n"/>
      <c r="K1221" s="21" t="n"/>
      <c r="L1221" s="21" t="n"/>
      <c r="M1221" s="18" t="n"/>
      <c r="N1221" s="22">
        <f>IF($B1221="","",CHOOSE(WEEKDAY($B1221),"الأحد","الاثنين","الثلاثاء","الأربعاء","الخميس","الجمعة","السبت"))</f>
        <v/>
      </c>
      <c r="O1221" s="23">
        <f>IF(OR($K1221="",$L1221=""),"",HYPERLINK("https://maps.google.com/?q="&amp;$K1221&amp;","&amp;$L1221,"عرض الموقع"))</f>
        <v/>
      </c>
      <c r="P1221" s="23">
        <f>IF(OR($B1221="",N($J1221)=0),"",HYPERLINK(PhotoDir&amp;"/"&amp;YEAR($B1221)&amp;"-"&amp;TEXT(MONTH($B1221),"00")&amp;"-"&amp;TEXT(DAY($B1221),"00")&amp;"_"&amp;$D1221,"فتح الصور ("&amp;$J1221&amp;")"))</f>
        <v/>
      </c>
      <c r="Q1221" s="24">
        <f>IF($B1221="","",MONTH($B1221))</f>
        <v/>
      </c>
      <c r="R1221" s="24">
        <f>IF($B1221="","",YEAR($B1221))</f>
        <v/>
      </c>
      <c r="S1221" s="25">
        <f>IF($B1221="","",$B1221-WEEKDAY($B1221,3))</f>
        <v/>
      </c>
      <c r="T1221" s="24">
        <f>IF($B1221="",0,IF(COUNTIFS($B$5:$B1221,$B1221,$D$5:$D1221,$D1221)=1,1,0))</f>
        <v/>
      </c>
      <c r="U1221" s="24">
        <f>IF($B1221="",0,IF(COUNTIFS($B$5:$B1221,$B1221,$C$5:$C1221,$C1221)=1,1,0))</f>
        <v/>
      </c>
      <c r="V1221" s="24">
        <f>IF(OR($B1221="",$G1221="",$G1221="لا توجد مشاهدات"),0,1)</f>
        <v/>
      </c>
      <c r="W1221" s="24">
        <f>IF(AND($B1221&lt;&gt;"",$I1221="تم تحرير مخالفة"),1,0)</f>
        <v/>
      </c>
      <c r="X1221" s="24">
        <f>IF($B1221="","",IF($S1221=WkStart,COUNTIF($S$5:$S1221,WkStart),""))</f>
        <v/>
      </c>
    </row>
    <row r="1222">
      <c r="A1222" s="16">
        <f>IF($B1222="","",ROW()-4)</f>
        <v/>
      </c>
      <c r="B1222" s="17" t="n"/>
      <c r="C1222" s="18" t="n"/>
      <c r="D1222" s="18" t="n"/>
      <c r="E1222" s="19" t="n"/>
      <c r="F1222" s="19" t="n"/>
      <c r="G1222" s="18" t="n"/>
      <c r="H1222" s="18" t="n"/>
      <c r="I1222" s="18" t="n"/>
      <c r="J1222" s="20" t="n"/>
      <c r="K1222" s="21" t="n"/>
      <c r="L1222" s="21" t="n"/>
      <c r="M1222" s="18" t="n"/>
      <c r="N1222" s="22">
        <f>IF($B1222="","",CHOOSE(WEEKDAY($B1222),"الأحد","الاثنين","الثلاثاء","الأربعاء","الخميس","الجمعة","السبت"))</f>
        <v/>
      </c>
      <c r="O1222" s="23">
        <f>IF(OR($K1222="",$L1222=""),"",HYPERLINK("https://maps.google.com/?q="&amp;$K1222&amp;","&amp;$L1222,"عرض الموقع"))</f>
        <v/>
      </c>
      <c r="P1222" s="23">
        <f>IF(OR($B1222="",N($J1222)=0),"",HYPERLINK(PhotoDir&amp;"/"&amp;YEAR($B1222)&amp;"-"&amp;TEXT(MONTH($B1222),"00")&amp;"-"&amp;TEXT(DAY($B1222),"00")&amp;"_"&amp;$D1222,"فتح الصور ("&amp;$J1222&amp;")"))</f>
        <v/>
      </c>
      <c r="Q1222" s="24">
        <f>IF($B1222="","",MONTH($B1222))</f>
        <v/>
      </c>
      <c r="R1222" s="24">
        <f>IF($B1222="","",YEAR($B1222))</f>
        <v/>
      </c>
      <c r="S1222" s="25">
        <f>IF($B1222="","",$B1222-WEEKDAY($B1222,3))</f>
        <v/>
      </c>
      <c r="T1222" s="24">
        <f>IF($B1222="",0,IF(COUNTIFS($B$5:$B1222,$B1222,$D$5:$D1222,$D1222)=1,1,0))</f>
        <v/>
      </c>
      <c r="U1222" s="24">
        <f>IF($B1222="",0,IF(COUNTIFS($B$5:$B1222,$B1222,$C$5:$C1222,$C1222)=1,1,0))</f>
        <v/>
      </c>
      <c r="V1222" s="24">
        <f>IF(OR($B1222="",$G1222="",$G1222="لا توجد مشاهدات"),0,1)</f>
        <v/>
      </c>
      <c r="W1222" s="24">
        <f>IF(AND($B1222&lt;&gt;"",$I1222="تم تحرير مخالفة"),1,0)</f>
        <v/>
      </c>
      <c r="X1222" s="24">
        <f>IF($B1222="","",IF($S1222=WkStart,COUNTIF($S$5:$S1222,WkStart),""))</f>
        <v/>
      </c>
    </row>
    <row r="1223">
      <c r="A1223" s="16">
        <f>IF($B1223="","",ROW()-4)</f>
        <v/>
      </c>
      <c r="B1223" s="17" t="n"/>
      <c r="C1223" s="18" t="n"/>
      <c r="D1223" s="18" t="n"/>
      <c r="E1223" s="19" t="n"/>
      <c r="F1223" s="19" t="n"/>
      <c r="G1223" s="18" t="n"/>
      <c r="H1223" s="18" t="n"/>
      <c r="I1223" s="18" t="n"/>
      <c r="J1223" s="20" t="n"/>
      <c r="K1223" s="21" t="n"/>
      <c r="L1223" s="21" t="n"/>
      <c r="M1223" s="18" t="n"/>
      <c r="N1223" s="22">
        <f>IF($B1223="","",CHOOSE(WEEKDAY($B1223),"الأحد","الاثنين","الثلاثاء","الأربعاء","الخميس","الجمعة","السبت"))</f>
        <v/>
      </c>
      <c r="O1223" s="23">
        <f>IF(OR($K1223="",$L1223=""),"",HYPERLINK("https://maps.google.com/?q="&amp;$K1223&amp;","&amp;$L1223,"عرض الموقع"))</f>
        <v/>
      </c>
      <c r="P1223" s="23">
        <f>IF(OR($B1223="",N($J1223)=0),"",HYPERLINK(PhotoDir&amp;"/"&amp;YEAR($B1223)&amp;"-"&amp;TEXT(MONTH($B1223),"00")&amp;"-"&amp;TEXT(DAY($B1223),"00")&amp;"_"&amp;$D1223,"فتح الصور ("&amp;$J1223&amp;")"))</f>
        <v/>
      </c>
      <c r="Q1223" s="24">
        <f>IF($B1223="","",MONTH($B1223))</f>
        <v/>
      </c>
      <c r="R1223" s="24">
        <f>IF($B1223="","",YEAR($B1223))</f>
        <v/>
      </c>
      <c r="S1223" s="25">
        <f>IF($B1223="","",$B1223-WEEKDAY($B1223,3))</f>
        <v/>
      </c>
      <c r="T1223" s="24">
        <f>IF($B1223="",0,IF(COUNTIFS($B$5:$B1223,$B1223,$D$5:$D1223,$D1223)=1,1,0))</f>
        <v/>
      </c>
      <c r="U1223" s="24">
        <f>IF($B1223="",0,IF(COUNTIFS($B$5:$B1223,$B1223,$C$5:$C1223,$C1223)=1,1,0))</f>
        <v/>
      </c>
      <c r="V1223" s="24">
        <f>IF(OR($B1223="",$G1223="",$G1223="لا توجد مشاهدات"),0,1)</f>
        <v/>
      </c>
      <c r="W1223" s="24">
        <f>IF(AND($B1223&lt;&gt;"",$I1223="تم تحرير مخالفة"),1,0)</f>
        <v/>
      </c>
      <c r="X1223" s="24">
        <f>IF($B1223="","",IF($S1223=WkStart,COUNTIF($S$5:$S1223,WkStart),""))</f>
        <v/>
      </c>
    </row>
    <row r="1224">
      <c r="A1224" s="16">
        <f>IF($B1224="","",ROW()-4)</f>
        <v/>
      </c>
      <c r="B1224" s="17" t="n"/>
      <c r="C1224" s="18" t="n"/>
      <c r="D1224" s="18" t="n"/>
      <c r="E1224" s="19" t="n"/>
      <c r="F1224" s="19" t="n"/>
      <c r="G1224" s="18" t="n"/>
      <c r="H1224" s="18" t="n"/>
      <c r="I1224" s="18" t="n"/>
      <c r="J1224" s="20" t="n"/>
      <c r="K1224" s="21" t="n"/>
      <c r="L1224" s="21" t="n"/>
      <c r="M1224" s="18" t="n"/>
      <c r="N1224" s="22">
        <f>IF($B1224="","",CHOOSE(WEEKDAY($B1224),"الأحد","الاثنين","الثلاثاء","الأربعاء","الخميس","الجمعة","السبت"))</f>
        <v/>
      </c>
      <c r="O1224" s="23">
        <f>IF(OR($K1224="",$L1224=""),"",HYPERLINK("https://maps.google.com/?q="&amp;$K1224&amp;","&amp;$L1224,"عرض الموقع"))</f>
        <v/>
      </c>
      <c r="P1224" s="23">
        <f>IF(OR($B1224="",N($J1224)=0),"",HYPERLINK(PhotoDir&amp;"/"&amp;YEAR($B1224)&amp;"-"&amp;TEXT(MONTH($B1224),"00")&amp;"-"&amp;TEXT(DAY($B1224),"00")&amp;"_"&amp;$D1224,"فتح الصور ("&amp;$J1224&amp;")"))</f>
        <v/>
      </c>
      <c r="Q1224" s="24">
        <f>IF($B1224="","",MONTH($B1224))</f>
        <v/>
      </c>
      <c r="R1224" s="24">
        <f>IF($B1224="","",YEAR($B1224))</f>
        <v/>
      </c>
      <c r="S1224" s="25">
        <f>IF($B1224="","",$B1224-WEEKDAY($B1224,3))</f>
        <v/>
      </c>
      <c r="T1224" s="24">
        <f>IF($B1224="",0,IF(COUNTIFS($B$5:$B1224,$B1224,$D$5:$D1224,$D1224)=1,1,0))</f>
        <v/>
      </c>
      <c r="U1224" s="24">
        <f>IF($B1224="",0,IF(COUNTIFS($B$5:$B1224,$B1224,$C$5:$C1224,$C1224)=1,1,0))</f>
        <v/>
      </c>
      <c r="V1224" s="24">
        <f>IF(OR($B1224="",$G1224="",$G1224="لا توجد مشاهدات"),0,1)</f>
        <v/>
      </c>
      <c r="W1224" s="24">
        <f>IF(AND($B1224&lt;&gt;"",$I1224="تم تحرير مخالفة"),1,0)</f>
        <v/>
      </c>
      <c r="X1224" s="24">
        <f>IF($B1224="","",IF($S1224=WkStart,COUNTIF($S$5:$S1224,WkStart),""))</f>
        <v/>
      </c>
    </row>
    <row r="1225">
      <c r="A1225" s="16">
        <f>IF($B1225="","",ROW()-4)</f>
        <v/>
      </c>
      <c r="B1225" s="17" t="n"/>
      <c r="C1225" s="18" t="n"/>
      <c r="D1225" s="18" t="n"/>
      <c r="E1225" s="19" t="n"/>
      <c r="F1225" s="19" t="n"/>
      <c r="G1225" s="18" t="n"/>
      <c r="H1225" s="18" t="n"/>
      <c r="I1225" s="18" t="n"/>
      <c r="J1225" s="20" t="n"/>
      <c r="K1225" s="21" t="n"/>
      <c r="L1225" s="21" t="n"/>
      <c r="M1225" s="18" t="n"/>
      <c r="N1225" s="22">
        <f>IF($B1225="","",CHOOSE(WEEKDAY($B1225),"الأحد","الاثنين","الثلاثاء","الأربعاء","الخميس","الجمعة","السبت"))</f>
        <v/>
      </c>
      <c r="O1225" s="23">
        <f>IF(OR($K1225="",$L1225=""),"",HYPERLINK("https://maps.google.com/?q="&amp;$K1225&amp;","&amp;$L1225,"عرض الموقع"))</f>
        <v/>
      </c>
      <c r="P1225" s="23">
        <f>IF(OR($B1225="",N($J1225)=0),"",HYPERLINK(PhotoDir&amp;"/"&amp;YEAR($B1225)&amp;"-"&amp;TEXT(MONTH($B1225),"00")&amp;"-"&amp;TEXT(DAY($B1225),"00")&amp;"_"&amp;$D1225,"فتح الصور ("&amp;$J1225&amp;")"))</f>
        <v/>
      </c>
      <c r="Q1225" s="24">
        <f>IF($B1225="","",MONTH($B1225))</f>
        <v/>
      </c>
      <c r="R1225" s="24">
        <f>IF($B1225="","",YEAR($B1225))</f>
        <v/>
      </c>
      <c r="S1225" s="25">
        <f>IF($B1225="","",$B1225-WEEKDAY($B1225,3))</f>
        <v/>
      </c>
      <c r="T1225" s="24">
        <f>IF($B1225="",0,IF(COUNTIFS($B$5:$B1225,$B1225,$D$5:$D1225,$D1225)=1,1,0))</f>
        <v/>
      </c>
      <c r="U1225" s="24">
        <f>IF($B1225="",0,IF(COUNTIFS($B$5:$B1225,$B1225,$C$5:$C1225,$C1225)=1,1,0))</f>
        <v/>
      </c>
      <c r="V1225" s="24">
        <f>IF(OR($B1225="",$G1225="",$G1225="لا توجد مشاهدات"),0,1)</f>
        <v/>
      </c>
      <c r="W1225" s="24">
        <f>IF(AND($B1225&lt;&gt;"",$I1225="تم تحرير مخالفة"),1,0)</f>
        <v/>
      </c>
      <c r="X1225" s="24">
        <f>IF($B1225="","",IF($S1225=WkStart,COUNTIF($S$5:$S1225,WkStart),""))</f>
        <v/>
      </c>
    </row>
    <row r="1226">
      <c r="A1226" s="16">
        <f>IF($B1226="","",ROW()-4)</f>
        <v/>
      </c>
      <c r="B1226" s="17" t="n"/>
      <c r="C1226" s="18" t="n"/>
      <c r="D1226" s="18" t="n"/>
      <c r="E1226" s="19" t="n"/>
      <c r="F1226" s="19" t="n"/>
      <c r="G1226" s="18" t="n"/>
      <c r="H1226" s="18" t="n"/>
      <c r="I1226" s="18" t="n"/>
      <c r="J1226" s="20" t="n"/>
      <c r="K1226" s="21" t="n"/>
      <c r="L1226" s="21" t="n"/>
      <c r="M1226" s="18" t="n"/>
      <c r="N1226" s="22">
        <f>IF($B1226="","",CHOOSE(WEEKDAY($B1226),"الأحد","الاثنين","الثلاثاء","الأربعاء","الخميس","الجمعة","السبت"))</f>
        <v/>
      </c>
      <c r="O1226" s="23">
        <f>IF(OR($K1226="",$L1226=""),"",HYPERLINK("https://maps.google.com/?q="&amp;$K1226&amp;","&amp;$L1226,"عرض الموقع"))</f>
        <v/>
      </c>
      <c r="P1226" s="23">
        <f>IF(OR($B1226="",N($J1226)=0),"",HYPERLINK(PhotoDir&amp;"/"&amp;YEAR($B1226)&amp;"-"&amp;TEXT(MONTH($B1226),"00")&amp;"-"&amp;TEXT(DAY($B1226),"00")&amp;"_"&amp;$D1226,"فتح الصور ("&amp;$J1226&amp;")"))</f>
        <v/>
      </c>
      <c r="Q1226" s="24">
        <f>IF($B1226="","",MONTH($B1226))</f>
        <v/>
      </c>
      <c r="R1226" s="24">
        <f>IF($B1226="","",YEAR($B1226))</f>
        <v/>
      </c>
      <c r="S1226" s="25">
        <f>IF($B1226="","",$B1226-WEEKDAY($B1226,3))</f>
        <v/>
      </c>
      <c r="T1226" s="24">
        <f>IF($B1226="",0,IF(COUNTIFS($B$5:$B1226,$B1226,$D$5:$D1226,$D1226)=1,1,0))</f>
        <v/>
      </c>
      <c r="U1226" s="24">
        <f>IF($B1226="",0,IF(COUNTIFS($B$5:$B1226,$B1226,$C$5:$C1226,$C1226)=1,1,0))</f>
        <v/>
      </c>
      <c r="V1226" s="24">
        <f>IF(OR($B1226="",$G1226="",$G1226="لا توجد مشاهدات"),0,1)</f>
        <v/>
      </c>
      <c r="W1226" s="24">
        <f>IF(AND($B1226&lt;&gt;"",$I1226="تم تحرير مخالفة"),1,0)</f>
        <v/>
      </c>
      <c r="X1226" s="24">
        <f>IF($B1226="","",IF($S1226=WkStart,COUNTIF($S$5:$S1226,WkStart),""))</f>
        <v/>
      </c>
    </row>
    <row r="1227">
      <c r="A1227" s="16">
        <f>IF($B1227="","",ROW()-4)</f>
        <v/>
      </c>
      <c r="B1227" s="17" t="n"/>
      <c r="C1227" s="18" t="n"/>
      <c r="D1227" s="18" t="n"/>
      <c r="E1227" s="19" t="n"/>
      <c r="F1227" s="19" t="n"/>
      <c r="G1227" s="18" t="n"/>
      <c r="H1227" s="18" t="n"/>
      <c r="I1227" s="18" t="n"/>
      <c r="J1227" s="20" t="n"/>
      <c r="K1227" s="21" t="n"/>
      <c r="L1227" s="21" t="n"/>
      <c r="M1227" s="18" t="n"/>
      <c r="N1227" s="22">
        <f>IF($B1227="","",CHOOSE(WEEKDAY($B1227),"الأحد","الاثنين","الثلاثاء","الأربعاء","الخميس","الجمعة","السبت"))</f>
        <v/>
      </c>
      <c r="O1227" s="23">
        <f>IF(OR($K1227="",$L1227=""),"",HYPERLINK("https://maps.google.com/?q="&amp;$K1227&amp;","&amp;$L1227,"عرض الموقع"))</f>
        <v/>
      </c>
      <c r="P1227" s="23">
        <f>IF(OR($B1227="",N($J1227)=0),"",HYPERLINK(PhotoDir&amp;"/"&amp;YEAR($B1227)&amp;"-"&amp;TEXT(MONTH($B1227),"00")&amp;"-"&amp;TEXT(DAY($B1227),"00")&amp;"_"&amp;$D1227,"فتح الصور ("&amp;$J1227&amp;")"))</f>
        <v/>
      </c>
      <c r="Q1227" s="24">
        <f>IF($B1227="","",MONTH($B1227))</f>
        <v/>
      </c>
      <c r="R1227" s="24">
        <f>IF($B1227="","",YEAR($B1227))</f>
        <v/>
      </c>
      <c r="S1227" s="25">
        <f>IF($B1227="","",$B1227-WEEKDAY($B1227,3))</f>
        <v/>
      </c>
      <c r="T1227" s="24">
        <f>IF($B1227="",0,IF(COUNTIFS($B$5:$B1227,$B1227,$D$5:$D1227,$D1227)=1,1,0))</f>
        <v/>
      </c>
      <c r="U1227" s="24">
        <f>IF($B1227="",0,IF(COUNTIFS($B$5:$B1227,$B1227,$C$5:$C1227,$C1227)=1,1,0))</f>
        <v/>
      </c>
      <c r="V1227" s="24">
        <f>IF(OR($B1227="",$G1227="",$G1227="لا توجد مشاهدات"),0,1)</f>
        <v/>
      </c>
      <c r="W1227" s="24">
        <f>IF(AND($B1227&lt;&gt;"",$I1227="تم تحرير مخالفة"),1,0)</f>
        <v/>
      </c>
      <c r="X1227" s="24">
        <f>IF($B1227="","",IF($S1227=WkStart,COUNTIF($S$5:$S1227,WkStart),""))</f>
        <v/>
      </c>
    </row>
    <row r="1228">
      <c r="A1228" s="16">
        <f>IF($B1228="","",ROW()-4)</f>
        <v/>
      </c>
      <c r="B1228" s="17" t="n"/>
      <c r="C1228" s="18" t="n"/>
      <c r="D1228" s="18" t="n"/>
      <c r="E1228" s="19" t="n"/>
      <c r="F1228" s="19" t="n"/>
      <c r="G1228" s="18" t="n"/>
      <c r="H1228" s="18" t="n"/>
      <c r="I1228" s="18" t="n"/>
      <c r="J1228" s="20" t="n"/>
      <c r="K1228" s="21" t="n"/>
      <c r="L1228" s="21" t="n"/>
      <c r="M1228" s="18" t="n"/>
      <c r="N1228" s="22">
        <f>IF($B1228="","",CHOOSE(WEEKDAY($B1228),"الأحد","الاثنين","الثلاثاء","الأربعاء","الخميس","الجمعة","السبت"))</f>
        <v/>
      </c>
      <c r="O1228" s="23">
        <f>IF(OR($K1228="",$L1228=""),"",HYPERLINK("https://maps.google.com/?q="&amp;$K1228&amp;","&amp;$L1228,"عرض الموقع"))</f>
        <v/>
      </c>
      <c r="P1228" s="23">
        <f>IF(OR($B1228="",N($J1228)=0),"",HYPERLINK(PhotoDir&amp;"/"&amp;YEAR($B1228)&amp;"-"&amp;TEXT(MONTH($B1228),"00")&amp;"-"&amp;TEXT(DAY($B1228),"00")&amp;"_"&amp;$D1228,"فتح الصور ("&amp;$J1228&amp;")"))</f>
        <v/>
      </c>
      <c r="Q1228" s="24">
        <f>IF($B1228="","",MONTH($B1228))</f>
        <v/>
      </c>
      <c r="R1228" s="24">
        <f>IF($B1228="","",YEAR($B1228))</f>
        <v/>
      </c>
      <c r="S1228" s="25">
        <f>IF($B1228="","",$B1228-WEEKDAY($B1228,3))</f>
        <v/>
      </c>
      <c r="T1228" s="24">
        <f>IF($B1228="",0,IF(COUNTIFS($B$5:$B1228,$B1228,$D$5:$D1228,$D1228)=1,1,0))</f>
        <v/>
      </c>
      <c r="U1228" s="24">
        <f>IF($B1228="",0,IF(COUNTIFS($B$5:$B1228,$B1228,$C$5:$C1228,$C1228)=1,1,0))</f>
        <v/>
      </c>
      <c r="V1228" s="24">
        <f>IF(OR($B1228="",$G1228="",$G1228="لا توجد مشاهدات"),0,1)</f>
        <v/>
      </c>
      <c r="W1228" s="24">
        <f>IF(AND($B1228&lt;&gt;"",$I1228="تم تحرير مخالفة"),1,0)</f>
        <v/>
      </c>
      <c r="X1228" s="24">
        <f>IF($B1228="","",IF($S1228=WkStart,COUNTIF($S$5:$S1228,WkStart),""))</f>
        <v/>
      </c>
    </row>
    <row r="1229">
      <c r="A1229" s="16">
        <f>IF($B1229="","",ROW()-4)</f>
        <v/>
      </c>
      <c r="B1229" s="17" t="n"/>
      <c r="C1229" s="18" t="n"/>
      <c r="D1229" s="18" t="n"/>
      <c r="E1229" s="19" t="n"/>
      <c r="F1229" s="19" t="n"/>
      <c r="G1229" s="18" t="n"/>
      <c r="H1229" s="18" t="n"/>
      <c r="I1229" s="18" t="n"/>
      <c r="J1229" s="20" t="n"/>
      <c r="K1229" s="21" t="n"/>
      <c r="L1229" s="21" t="n"/>
      <c r="M1229" s="18" t="n"/>
      <c r="N1229" s="22">
        <f>IF($B1229="","",CHOOSE(WEEKDAY($B1229),"الأحد","الاثنين","الثلاثاء","الأربعاء","الخميس","الجمعة","السبت"))</f>
        <v/>
      </c>
      <c r="O1229" s="23">
        <f>IF(OR($K1229="",$L1229=""),"",HYPERLINK("https://maps.google.com/?q="&amp;$K1229&amp;","&amp;$L1229,"عرض الموقع"))</f>
        <v/>
      </c>
      <c r="P1229" s="23">
        <f>IF(OR($B1229="",N($J1229)=0),"",HYPERLINK(PhotoDir&amp;"/"&amp;YEAR($B1229)&amp;"-"&amp;TEXT(MONTH($B1229),"00")&amp;"-"&amp;TEXT(DAY($B1229),"00")&amp;"_"&amp;$D1229,"فتح الصور ("&amp;$J1229&amp;")"))</f>
        <v/>
      </c>
      <c r="Q1229" s="24">
        <f>IF($B1229="","",MONTH($B1229))</f>
        <v/>
      </c>
      <c r="R1229" s="24">
        <f>IF($B1229="","",YEAR($B1229))</f>
        <v/>
      </c>
      <c r="S1229" s="25">
        <f>IF($B1229="","",$B1229-WEEKDAY($B1229,3))</f>
        <v/>
      </c>
      <c r="T1229" s="24">
        <f>IF($B1229="",0,IF(COUNTIFS($B$5:$B1229,$B1229,$D$5:$D1229,$D1229)=1,1,0))</f>
        <v/>
      </c>
      <c r="U1229" s="24">
        <f>IF($B1229="",0,IF(COUNTIFS($B$5:$B1229,$B1229,$C$5:$C1229,$C1229)=1,1,0))</f>
        <v/>
      </c>
      <c r="V1229" s="24">
        <f>IF(OR($B1229="",$G1229="",$G1229="لا توجد مشاهدات"),0,1)</f>
        <v/>
      </c>
      <c r="W1229" s="24">
        <f>IF(AND($B1229&lt;&gt;"",$I1229="تم تحرير مخالفة"),1,0)</f>
        <v/>
      </c>
      <c r="X1229" s="24">
        <f>IF($B1229="","",IF($S1229=WkStart,COUNTIF($S$5:$S1229,WkStart),""))</f>
        <v/>
      </c>
    </row>
    <row r="1230">
      <c r="A1230" s="16">
        <f>IF($B1230="","",ROW()-4)</f>
        <v/>
      </c>
      <c r="B1230" s="17" t="n"/>
      <c r="C1230" s="18" t="n"/>
      <c r="D1230" s="18" t="n"/>
      <c r="E1230" s="19" t="n"/>
      <c r="F1230" s="19" t="n"/>
      <c r="G1230" s="18" t="n"/>
      <c r="H1230" s="18" t="n"/>
      <c r="I1230" s="18" t="n"/>
      <c r="J1230" s="20" t="n"/>
      <c r="K1230" s="21" t="n"/>
      <c r="L1230" s="21" t="n"/>
      <c r="M1230" s="18" t="n"/>
      <c r="N1230" s="22">
        <f>IF($B1230="","",CHOOSE(WEEKDAY($B1230),"الأحد","الاثنين","الثلاثاء","الأربعاء","الخميس","الجمعة","السبت"))</f>
        <v/>
      </c>
      <c r="O1230" s="23">
        <f>IF(OR($K1230="",$L1230=""),"",HYPERLINK("https://maps.google.com/?q="&amp;$K1230&amp;","&amp;$L1230,"عرض الموقع"))</f>
        <v/>
      </c>
      <c r="P1230" s="23">
        <f>IF(OR($B1230="",N($J1230)=0),"",HYPERLINK(PhotoDir&amp;"/"&amp;YEAR($B1230)&amp;"-"&amp;TEXT(MONTH($B1230),"00")&amp;"-"&amp;TEXT(DAY($B1230),"00")&amp;"_"&amp;$D1230,"فتح الصور ("&amp;$J1230&amp;")"))</f>
        <v/>
      </c>
      <c r="Q1230" s="24">
        <f>IF($B1230="","",MONTH($B1230))</f>
        <v/>
      </c>
      <c r="R1230" s="24">
        <f>IF($B1230="","",YEAR($B1230))</f>
        <v/>
      </c>
      <c r="S1230" s="25">
        <f>IF($B1230="","",$B1230-WEEKDAY($B1230,3))</f>
        <v/>
      </c>
      <c r="T1230" s="24">
        <f>IF($B1230="",0,IF(COUNTIFS($B$5:$B1230,$B1230,$D$5:$D1230,$D1230)=1,1,0))</f>
        <v/>
      </c>
      <c r="U1230" s="24">
        <f>IF($B1230="",0,IF(COUNTIFS($B$5:$B1230,$B1230,$C$5:$C1230,$C1230)=1,1,0))</f>
        <v/>
      </c>
      <c r="V1230" s="24">
        <f>IF(OR($B1230="",$G1230="",$G1230="لا توجد مشاهدات"),0,1)</f>
        <v/>
      </c>
      <c r="W1230" s="24">
        <f>IF(AND($B1230&lt;&gt;"",$I1230="تم تحرير مخالفة"),1,0)</f>
        <v/>
      </c>
      <c r="X1230" s="24">
        <f>IF($B1230="","",IF($S1230=WkStart,COUNTIF($S$5:$S1230,WkStart),""))</f>
        <v/>
      </c>
    </row>
    <row r="1231">
      <c r="A1231" s="16">
        <f>IF($B1231="","",ROW()-4)</f>
        <v/>
      </c>
      <c r="B1231" s="17" t="n"/>
      <c r="C1231" s="18" t="n"/>
      <c r="D1231" s="18" t="n"/>
      <c r="E1231" s="19" t="n"/>
      <c r="F1231" s="19" t="n"/>
      <c r="G1231" s="18" t="n"/>
      <c r="H1231" s="18" t="n"/>
      <c r="I1231" s="18" t="n"/>
      <c r="J1231" s="20" t="n"/>
      <c r="K1231" s="21" t="n"/>
      <c r="L1231" s="21" t="n"/>
      <c r="M1231" s="18" t="n"/>
      <c r="N1231" s="22">
        <f>IF($B1231="","",CHOOSE(WEEKDAY($B1231),"الأحد","الاثنين","الثلاثاء","الأربعاء","الخميس","الجمعة","السبت"))</f>
        <v/>
      </c>
      <c r="O1231" s="23">
        <f>IF(OR($K1231="",$L1231=""),"",HYPERLINK("https://maps.google.com/?q="&amp;$K1231&amp;","&amp;$L1231,"عرض الموقع"))</f>
        <v/>
      </c>
      <c r="P1231" s="23">
        <f>IF(OR($B1231="",N($J1231)=0),"",HYPERLINK(PhotoDir&amp;"/"&amp;YEAR($B1231)&amp;"-"&amp;TEXT(MONTH($B1231),"00")&amp;"-"&amp;TEXT(DAY($B1231),"00")&amp;"_"&amp;$D1231,"فتح الصور ("&amp;$J1231&amp;")"))</f>
        <v/>
      </c>
      <c r="Q1231" s="24">
        <f>IF($B1231="","",MONTH($B1231))</f>
        <v/>
      </c>
      <c r="R1231" s="24">
        <f>IF($B1231="","",YEAR($B1231))</f>
        <v/>
      </c>
      <c r="S1231" s="25">
        <f>IF($B1231="","",$B1231-WEEKDAY($B1231,3))</f>
        <v/>
      </c>
      <c r="T1231" s="24">
        <f>IF($B1231="",0,IF(COUNTIFS($B$5:$B1231,$B1231,$D$5:$D1231,$D1231)=1,1,0))</f>
        <v/>
      </c>
      <c r="U1231" s="24">
        <f>IF($B1231="",0,IF(COUNTIFS($B$5:$B1231,$B1231,$C$5:$C1231,$C1231)=1,1,0))</f>
        <v/>
      </c>
      <c r="V1231" s="24">
        <f>IF(OR($B1231="",$G1231="",$G1231="لا توجد مشاهدات"),0,1)</f>
        <v/>
      </c>
      <c r="W1231" s="24">
        <f>IF(AND($B1231&lt;&gt;"",$I1231="تم تحرير مخالفة"),1,0)</f>
        <v/>
      </c>
      <c r="X1231" s="24">
        <f>IF($B1231="","",IF($S1231=WkStart,COUNTIF($S$5:$S1231,WkStart),""))</f>
        <v/>
      </c>
    </row>
    <row r="1232">
      <c r="A1232" s="16">
        <f>IF($B1232="","",ROW()-4)</f>
        <v/>
      </c>
      <c r="B1232" s="17" t="n"/>
      <c r="C1232" s="18" t="n"/>
      <c r="D1232" s="18" t="n"/>
      <c r="E1232" s="19" t="n"/>
      <c r="F1232" s="19" t="n"/>
      <c r="G1232" s="18" t="n"/>
      <c r="H1232" s="18" t="n"/>
      <c r="I1232" s="18" t="n"/>
      <c r="J1232" s="20" t="n"/>
      <c r="K1232" s="21" t="n"/>
      <c r="L1232" s="21" t="n"/>
      <c r="M1232" s="18" t="n"/>
      <c r="N1232" s="22">
        <f>IF($B1232="","",CHOOSE(WEEKDAY($B1232),"الأحد","الاثنين","الثلاثاء","الأربعاء","الخميس","الجمعة","السبت"))</f>
        <v/>
      </c>
      <c r="O1232" s="23">
        <f>IF(OR($K1232="",$L1232=""),"",HYPERLINK("https://maps.google.com/?q="&amp;$K1232&amp;","&amp;$L1232,"عرض الموقع"))</f>
        <v/>
      </c>
      <c r="P1232" s="23">
        <f>IF(OR($B1232="",N($J1232)=0),"",HYPERLINK(PhotoDir&amp;"/"&amp;YEAR($B1232)&amp;"-"&amp;TEXT(MONTH($B1232),"00")&amp;"-"&amp;TEXT(DAY($B1232),"00")&amp;"_"&amp;$D1232,"فتح الصور ("&amp;$J1232&amp;")"))</f>
        <v/>
      </c>
      <c r="Q1232" s="24">
        <f>IF($B1232="","",MONTH($B1232))</f>
        <v/>
      </c>
      <c r="R1232" s="24">
        <f>IF($B1232="","",YEAR($B1232))</f>
        <v/>
      </c>
      <c r="S1232" s="25">
        <f>IF($B1232="","",$B1232-WEEKDAY($B1232,3))</f>
        <v/>
      </c>
      <c r="T1232" s="24">
        <f>IF($B1232="",0,IF(COUNTIFS($B$5:$B1232,$B1232,$D$5:$D1232,$D1232)=1,1,0))</f>
        <v/>
      </c>
      <c r="U1232" s="24">
        <f>IF($B1232="",0,IF(COUNTIFS($B$5:$B1232,$B1232,$C$5:$C1232,$C1232)=1,1,0))</f>
        <v/>
      </c>
      <c r="V1232" s="24">
        <f>IF(OR($B1232="",$G1232="",$G1232="لا توجد مشاهدات"),0,1)</f>
        <v/>
      </c>
      <c r="W1232" s="24">
        <f>IF(AND($B1232&lt;&gt;"",$I1232="تم تحرير مخالفة"),1,0)</f>
        <v/>
      </c>
      <c r="X1232" s="24">
        <f>IF($B1232="","",IF($S1232=WkStart,COUNTIF($S$5:$S1232,WkStart),""))</f>
        <v/>
      </c>
    </row>
    <row r="1233">
      <c r="A1233" s="16">
        <f>IF($B1233="","",ROW()-4)</f>
        <v/>
      </c>
      <c r="B1233" s="17" t="n"/>
      <c r="C1233" s="18" t="n"/>
      <c r="D1233" s="18" t="n"/>
      <c r="E1233" s="19" t="n"/>
      <c r="F1233" s="19" t="n"/>
      <c r="G1233" s="18" t="n"/>
      <c r="H1233" s="18" t="n"/>
      <c r="I1233" s="18" t="n"/>
      <c r="J1233" s="20" t="n"/>
      <c r="K1233" s="21" t="n"/>
      <c r="L1233" s="21" t="n"/>
      <c r="M1233" s="18" t="n"/>
      <c r="N1233" s="22">
        <f>IF($B1233="","",CHOOSE(WEEKDAY($B1233),"الأحد","الاثنين","الثلاثاء","الأربعاء","الخميس","الجمعة","السبت"))</f>
        <v/>
      </c>
      <c r="O1233" s="23">
        <f>IF(OR($K1233="",$L1233=""),"",HYPERLINK("https://maps.google.com/?q="&amp;$K1233&amp;","&amp;$L1233,"عرض الموقع"))</f>
        <v/>
      </c>
      <c r="P1233" s="23">
        <f>IF(OR($B1233="",N($J1233)=0),"",HYPERLINK(PhotoDir&amp;"/"&amp;YEAR($B1233)&amp;"-"&amp;TEXT(MONTH($B1233),"00")&amp;"-"&amp;TEXT(DAY($B1233),"00")&amp;"_"&amp;$D1233,"فتح الصور ("&amp;$J1233&amp;")"))</f>
        <v/>
      </c>
      <c r="Q1233" s="24">
        <f>IF($B1233="","",MONTH($B1233))</f>
        <v/>
      </c>
      <c r="R1233" s="24">
        <f>IF($B1233="","",YEAR($B1233))</f>
        <v/>
      </c>
      <c r="S1233" s="25">
        <f>IF($B1233="","",$B1233-WEEKDAY($B1233,3))</f>
        <v/>
      </c>
      <c r="T1233" s="24">
        <f>IF($B1233="",0,IF(COUNTIFS($B$5:$B1233,$B1233,$D$5:$D1233,$D1233)=1,1,0))</f>
        <v/>
      </c>
      <c r="U1233" s="24">
        <f>IF($B1233="",0,IF(COUNTIFS($B$5:$B1233,$B1233,$C$5:$C1233,$C1233)=1,1,0))</f>
        <v/>
      </c>
      <c r="V1233" s="24">
        <f>IF(OR($B1233="",$G1233="",$G1233="لا توجد مشاهدات"),0,1)</f>
        <v/>
      </c>
      <c r="W1233" s="24">
        <f>IF(AND($B1233&lt;&gt;"",$I1233="تم تحرير مخالفة"),1,0)</f>
        <v/>
      </c>
      <c r="X1233" s="24">
        <f>IF($B1233="","",IF($S1233=WkStart,COUNTIF($S$5:$S1233,WkStart),""))</f>
        <v/>
      </c>
    </row>
    <row r="1234">
      <c r="A1234" s="16">
        <f>IF($B1234="","",ROW()-4)</f>
        <v/>
      </c>
      <c r="B1234" s="17" t="n"/>
      <c r="C1234" s="18" t="n"/>
      <c r="D1234" s="18" t="n"/>
      <c r="E1234" s="19" t="n"/>
      <c r="F1234" s="19" t="n"/>
      <c r="G1234" s="18" t="n"/>
      <c r="H1234" s="18" t="n"/>
      <c r="I1234" s="18" t="n"/>
      <c r="J1234" s="20" t="n"/>
      <c r="K1234" s="21" t="n"/>
      <c r="L1234" s="21" t="n"/>
      <c r="M1234" s="18" t="n"/>
      <c r="N1234" s="22">
        <f>IF($B1234="","",CHOOSE(WEEKDAY($B1234),"الأحد","الاثنين","الثلاثاء","الأربعاء","الخميس","الجمعة","السبت"))</f>
        <v/>
      </c>
      <c r="O1234" s="23">
        <f>IF(OR($K1234="",$L1234=""),"",HYPERLINK("https://maps.google.com/?q="&amp;$K1234&amp;","&amp;$L1234,"عرض الموقع"))</f>
        <v/>
      </c>
      <c r="P1234" s="23">
        <f>IF(OR($B1234="",N($J1234)=0),"",HYPERLINK(PhotoDir&amp;"/"&amp;YEAR($B1234)&amp;"-"&amp;TEXT(MONTH($B1234),"00")&amp;"-"&amp;TEXT(DAY($B1234),"00")&amp;"_"&amp;$D1234,"فتح الصور ("&amp;$J1234&amp;")"))</f>
        <v/>
      </c>
      <c r="Q1234" s="24">
        <f>IF($B1234="","",MONTH($B1234))</f>
        <v/>
      </c>
      <c r="R1234" s="24">
        <f>IF($B1234="","",YEAR($B1234))</f>
        <v/>
      </c>
      <c r="S1234" s="25">
        <f>IF($B1234="","",$B1234-WEEKDAY($B1234,3))</f>
        <v/>
      </c>
      <c r="T1234" s="24">
        <f>IF($B1234="",0,IF(COUNTIFS($B$5:$B1234,$B1234,$D$5:$D1234,$D1234)=1,1,0))</f>
        <v/>
      </c>
      <c r="U1234" s="24">
        <f>IF($B1234="",0,IF(COUNTIFS($B$5:$B1234,$B1234,$C$5:$C1234,$C1234)=1,1,0))</f>
        <v/>
      </c>
      <c r="V1234" s="24">
        <f>IF(OR($B1234="",$G1234="",$G1234="لا توجد مشاهدات"),0,1)</f>
        <v/>
      </c>
      <c r="W1234" s="24">
        <f>IF(AND($B1234&lt;&gt;"",$I1234="تم تحرير مخالفة"),1,0)</f>
        <v/>
      </c>
      <c r="X1234" s="24">
        <f>IF($B1234="","",IF($S1234=WkStart,COUNTIF($S$5:$S1234,WkStart),""))</f>
        <v/>
      </c>
    </row>
    <row r="1235">
      <c r="A1235" s="16">
        <f>IF($B1235="","",ROW()-4)</f>
        <v/>
      </c>
      <c r="B1235" s="17" t="n"/>
      <c r="C1235" s="18" t="n"/>
      <c r="D1235" s="18" t="n"/>
      <c r="E1235" s="19" t="n"/>
      <c r="F1235" s="19" t="n"/>
      <c r="G1235" s="18" t="n"/>
      <c r="H1235" s="18" t="n"/>
      <c r="I1235" s="18" t="n"/>
      <c r="J1235" s="20" t="n"/>
      <c r="K1235" s="21" t="n"/>
      <c r="L1235" s="21" t="n"/>
      <c r="M1235" s="18" t="n"/>
      <c r="N1235" s="22">
        <f>IF($B1235="","",CHOOSE(WEEKDAY($B1235),"الأحد","الاثنين","الثلاثاء","الأربعاء","الخميس","الجمعة","السبت"))</f>
        <v/>
      </c>
      <c r="O1235" s="23">
        <f>IF(OR($K1235="",$L1235=""),"",HYPERLINK("https://maps.google.com/?q="&amp;$K1235&amp;","&amp;$L1235,"عرض الموقع"))</f>
        <v/>
      </c>
      <c r="P1235" s="23">
        <f>IF(OR($B1235="",N($J1235)=0),"",HYPERLINK(PhotoDir&amp;"/"&amp;YEAR($B1235)&amp;"-"&amp;TEXT(MONTH($B1235),"00")&amp;"-"&amp;TEXT(DAY($B1235),"00")&amp;"_"&amp;$D1235,"فتح الصور ("&amp;$J1235&amp;")"))</f>
        <v/>
      </c>
      <c r="Q1235" s="24">
        <f>IF($B1235="","",MONTH($B1235))</f>
        <v/>
      </c>
      <c r="R1235" s="24">
        <f>IF($B1235="","",YEAR($B1235))</f>
        <v/>
      </c>
      <c r="S1235" s="25">
        <f>IF($B1235="","",$B1235-WEEKDAY($B1235,3))</f>
        <v/>
      </c>
      <c r="T1235" s="24">
        <f>IF($B1235="",0,IF(COUNTIFS($B$5:$B1235,$B1235,$D$5:$D1235,$D1235)=1,1,0))</f>
        <v/>
      </c>
      <c r="U1235" s="24">
        <f>IF($B1235="",0,IF(COUNTIFS($B$5:$B1235,$B1235,$C$5:$C1235,$C1235)=1,1,0))</f>
        <v/>
      </c>
      <c r="V1235" s="24">
        <f>IF(OR($B1235="",$G1235="",$G1235="لا توجد مشاهدات"),0,1)</f>
        <v/>
      </c>
      <c r="W1235" s="24">
        <f>IF(AND($B1235&lt;&gt;"",$I1235="تم تحرير مخالفة"),1,0)</f>
        <v/>
      </c>
      <c r="X1235" s="24">
        <f>IF($B1235="","",IF($S1235=WkStart,COUNTIF($S$5:$S1235,WkStart),""))</f>
        <v/>
      </c>
    </row>
    <row r="1236">
      <c r="A1236" s="16">
        <f>IF($B1236="","",ROW()-4)</f>
        <v/>
      </c>
      <c r="B1236" s="17" t="n"/>
      <c r="C1236" s="18" t="n"/>
      <c r="D1236" s="18" t="n"/>
      <c r="E1236" s="19" t="n"/>
      <c r="F1236" s="19" t="n"/>
      <c r="G1236" s="18" t="n"/>
      <c r="H1236" s="18" t="n"/>
      <c r="I1236" s="18" t="n"/>
      <c r="J1236" s="20" t="n"/>
      <c r="K1236" s="21" t="n"/>
      <c r="L1236" s="21" t="n"/>
      <c r="M1236" s="18" t="n"/>
      <c r="N1236" s="22">
        <f>IF($B1236="","",CHOOSE(WEEKDAY($B1236),"الأحد","الاثنين","الثلاثاء","الأربعاء","الخميس","الجمعة","السبت"))</f>
        <v/>
      </c>
      <c r="O1236" s="23">
        <f>IF(OR($K1236="",$L1236=""),"",HYPERLINK("https://maps.google.com/?q="&amp;$K1236&amp;","&amp;$L1236,"عرض الموقع"))</f>
        <v/>
      </c>
      <c r="P1236" s="23">
        <f>IF(OR($B1236="",N($J1236)=0),"",HYPERLINK(PhotoDir&amp;"/"&amp;YEAR($B1236)&amp;"-"&amp;TEXT(MONTH($B1236),"00")&amp;"-"&amp;TEXT(DAY($B1236),"00")&amp;"_"&amp;$D1236,"فتح الصور ("&amp;$J1236&amp;")"))</f>
        <v/>
      </c>
      <c r="Q1236" s="24">
        <f>IF($B1236="","",MONTH($B1236))</f>
        <v/>
      </c>
      <c r="R1236" s="24">
        <f>IF($B1236="","",YEAR($B1236))</f>
        <v/>
      </c>
      <c r="S1236" s="25">
        <f>IF($B1236="","",$B1236-WEEKDAY($B1236,3))</f>
        <v/>
      </c>
      <c r="T1236" s="24">
        <f>IF($B1236="",0,IF(COUNTIFS($B$5:$B1236,$B1236,$D$5:$D1236,$D1236)=1,1,0))</f>
        <v/>
      </c>
      <c r="U1236" s="24">
        <f>IF($B1236="",0,IF(COUNTIFS($B$5:$B1236,$B1236,$C$5:$C1236,$C1236)=1,1,0))</f>
        <v/>
      </c>
      <c r="V1236" s="24">
        <f>IF(OR($B1236="",$G1236="",$G1236="لا توجد مشاهدات"),0,1)</f>
        <v/>
      </c>
      <c r="W1236" s="24">
        <f>IF(AND($B1236&lt;&gt;"",$I1236="تم تحرير مخالفة"),1,0)</f>
        <v/>
      </c>
      <c r="X1236" s="24">
        <f>IF($B1236="","",IF($S1236=WkStart,COUNTIF($S$5:$S1236,WkStart),""))</f>
        <v/>
      </c>
    </row>
    <row r="1237">
      <c r="A1237" s="16">
        <f>IF($B1237="","",ROW()-4)</f>
        <v/>
      </c>
      <c r="B1237" s="17" t="n"/>
      <c r="C1237" s="18" t="n"/>
      <c r="D1237" s="18" t="n"/>
      <c r="E1237" s="19" t="n"/>
      <c r="F1237" s="19" t="n"/>
      <c r="G1237" s="18" t="n"/>
      <c r="H1237" s="18" t="n"/>
      <c r="I1237" s="18" t="n"/>
      <c r="J1237" s="20" t="n"/>
      <c r="K1237" s="21" t="n"/>
      <c r="L1237" s="21" t="n"/>
      <c r="M1237" s="18" t="n"/>
      <c r="N1237" s="22">
        <f>IF($B1237="","",CHOOSE(WEEKDAY($B1237),"الأحد","الاثنين","الثلاثاء","الأربعاء","الخميس","الجمعة","السبت"))</f>
        <v/>
      </c>
      <c r="O1237" s="23">
        <f>IF(OR($K1237="",$L1237=""),"",HYPERLINK("https://maps.google.com/?q="&amp;$K1237&amp;","&amp;$L1237,"عرض الموقع"))</f>
        <v/>
      </c>
      <c r="P1237" s="23">
        <f>IF(OR($B1237="",N($J1237)=0),"",HYPERLINK(PhotoDir&amp;"/"&amp;YEAR($B1237)&amp;"-"&amp;TEXT(MONTH($B1237),"00")&amp;"-"&amp;TEXT(DAY($B1237),"00")&amp;"_"&amp;$D1237,"فتح الصور ("&amp;$J1237&amp;")"))</f>
        <v/>
      </c>
      <c r="Q1237" s="24">
        <f>IF($B1237="","",MONTH($B1237))</f>
        <v/>
      </c>
      <c r="R1237" s="24">
        <f>IF($B1237="","",YEAR($B1237))</f>
        <v/>
      </c>
      <c r="S1237" s="25">
        <f>IF($B1237="","",$B1237-WEEKDAY($B1237,3))</f>
        <v/>
      </c>
      <c r="T1237" s="24">
        <f>IF($B1237="",0,IF(COUNTIFS($B$5:$B1237,$B1237,$D$5:$D1237,$D1237)=1,1,0))</f>
        <v/>
      </c>
      <c r="U1237" s="24">
        <f>IF($B1237="",0,IF(COUNTIFS($B$5:$B1237,$B1237,$C$5:$C1237,$C1237)=1,1,0))</f>
        <v/>
      </c>
      <c r="V1237" s="24">
        <f>IF(OR($B1237="",$G1237="",$G1237="لا توجد مشاهدات"),0,1)</f>
        <v/>
      </c>
      <c r="W1237" s="24">
        <f>IF(AND($B1237&lt;&gt;"",$I1237="تم تحرير مخالفة"),1,0)</f>
        <v/>
      </c>
      <c r="X1237" s="24">
        <f>IF($B1237="","",IF($S1237=WkStart,COUNTIF($S$5:$S1237,WkStart),""))</f>
        <v/>
      </c>
    </row>
    <row r="1238">
      <c r="A1238" s="16">
        <f>IF($B1238="","",ROW()-4)</f>
        <v/>
      </c>
      <c r="B1238" s="17" t="n"/>
      <c r="C1238" s="18" t="n"/>
      <c r="D1238" s="18" t="n"/>
      <c r="E1238" s="19" t="n"/>
      <c r="F1238" s="19" t="n"/>
      <c r="G1238" s="18" t="n"/>
      <c r="H1238" s="18" t="n"/>
      <c r="I1238" s="18" t="n"/>
      <c r="J1238" s="20" t="n"/>
      <c r="K1238" s="21" t="n"/>
      <c r="L1238" s="21" t="n"/>
      <c r="M1238" s="18" t="n"/>
      <c r="N1238" s="22">
        <f>IF($B1238="","",CHOOSE(WEEKDAY($B1238),"الأحد","الاثنين","الثلاثاء","الأربعاء","الخميس","الجمعة","السبت"))</f>
        <v/>
      </c>
      <c r="O1238" s="23">
        <f>IF(OR($K1238="",$L1238=""),"",HYPERLINK("https://maps.google.com/?q="&amp;$K1238&amp;","&amp;$L1238,"عرض الموقع"))</f>
        <v/>
      </c>
      <c r="P1238" s="23">
        <f>IF(OR($B1238="",N($J1238)=0),"",HYPERLINK(PhotoDir&amp;"/"&amp;YEAR($B1238)&amp;"-"&amp;TEXT(MONTH($B1238),"00")&amp;"-"&amp;TEXT(DAY($B1238),"00")&amp;"_"&amp;$D1238,"فتح الصور ("&amp;$J1238&amp;")"))</f>
        <v/>
      </c>
      <c r="Q1238" s="24">
        <f>IF($B1238="","",MONTH($B1238))</f>
        <v/>
      </c>
      <c r="R1238" s="24">
        <f>IF($B1238="","",YEAR($B1238))</f>
        <v/>
      </c>
      <c r="S1238" s="25">
        <f>IF($B1238="","",$B1238-WEEKDAY($B1238,3))</f>
        <v/>
      </c>
      <c r="T1238" s="24">
        <f>IF($B1238="",0,IF(COUNTIFS($B$5:$B1238,$B1238,$D$5:$D1238,$D1238)=1,1,0))</f>
        <v/>
      </c>
      <c r="U1238" s="24">
        <f>IF($B1238="",0,IF(COUNTIFS($B$5:$B1238,$B1238,$C$5:$C1238,$C1238)=1,1,0))</f>
        <v/>
      </c>
      <c r="V1238" s="24">
        <f>IF(OR($B1238="",$G1238="",$G1238="لا توجد مشاهدات"),0,1)</f>
        <v/>
      </c>
      <c r="W1238" s="24">
        <f>IF(AND($B1238&lt;&gt;"",$I1238="تم تحرير مخالفة"),1,0)</f>
        <v/>
      </c>
      <c r="X1238" s="24">
        <f>IF($B1238="","",IF($S1238=WkStart,COUNTIF($S$5:$S1238,WkStart),""))</f>
        <v/>
      </c>
    </row>
    <row r="1239">
      <c r="A1239" s="16">
        <f>IF($B1239="","",ROW()-4)</f>
        <v/>
      </c>
      <c r="B1239" s="17" t="n"/>
      <c r="C1239" s="18" t="n"/>
      <c r="D1239" s="18" t="n"/>
      <c r="E1239" s="19" t="n"/>
      <c r="F1239" s="19" t="n"/>
      <c r="G1239" s="18" t="n"/>
      <c r="H1239" s="18" t="n"/>
      <c r="I1239" s="18" t="n"/>
      <c r="J1239" s="20" t="n"/>
      <c r="K1239" s="21" t="n"/>
      <c r="L1239" s="21" t="n"/>
      <c r="M1239" s="18" t="n"/>
      <c r="N1239" s="22">
        <f>IF($B1239="","",CHOOSE(WEEKDAY($B1239),"الأحد","الاثنين","الثلاثاء","الأربعاء","الخميس","الجمعة","السبت"))</f>
        <v/>
      </c>
      <c r="O1239" s="23">
        <f>IF(OR($K1239="",$L1239=""),"",HYPERLINK("https://maps.google.com/?q="&amp;$K1239&amp;","&amp;$L1239,"عرض الموقع"))</f>
        <v/>
      </c>
      <c r="P1239" s="23">
        <f>IF(OR($B1239="",N($J1239)=0),"",HYPERLINK(PhotoDir&amp;"/"&amp;YEAR($B1239)&amp;"-"&amp;TEXT(MONTH($B1239),"00")&amp;"-"&amp;TEXT(DAY($B1239),"00")&amp;"_"&amp;$D1239,"فتح الصور ("&amp;$J1239&amp;")"))</f>
        <v/>
      </c>
      <c r="Q1239" s="24">
        <f>IF($B1239="","",MONTH($B1239))</f>
        <v/>
      </c>
      <c r="R1239" s="24">
        <f>IF($B1239="","",YEAR($B1239))</f>
        <v/>
      </c>
      <c r="S1239" s="25">
        <f>IF($B1239="","",$B1239-WEEKDAY($B1239,3))</f>
        <v/>
      </c>
      <c r="T1239" s="24">
        <f>IF($B1239="",0,IF(COUNTIFS($B$5:$B1239,$B1239,$D$5:$D1239,$D1239)=1,1,0))</f>
        <v/>
      </c>
      <c r="U1239" s="24">
        <f>IF($B1239="",0,IF(COUNTIFS($B$5:$B1239,$B1239,$C$5:$C1239,$C1239)=1,1,0))</f>
        <v/>
      </c>
      <c r="V1239" s="24">
        <f>IF(OR($B1239="",$G1239="",$G1239="لا توجد مشاهدات"),0,1)</f>
        <v/>
      </c>
      <c r="W1239" s="24">
        <f>IF(AND($B1239&lt;&gt;"",$I1239="تم تحرير مخالفة"),1,0)</f>
        <v/>
      </c>
      <c r="X1239" s="24">
        <f>IF($B1239="","",IF($S1239=WkStart,COUNTIF($S$5:$S1239,WkStart),""))</f>
        <v/>
      </c>
    </row>
    <row r="1240">
      <c r="A1240" s="16">
        <f>IF($B1240="","",ROW()-4)</f>
        <v/>
      </c>
      <c r="B1240" s="17" t="n"/>
      <c r="C1240" s="18" t="n"/>
      <c r="D1240" s="18" t="n"/>
      <c r="E1240" s="19" t="n"/>
      <c r="F1240" s="19" t="n"/>
      <c r="G1240" s="18" t="n"/>
      <c r="H1240" s="18" t="n"/>
      <c r="I1240" s="18" t="n"/>
      <c r="J1240" s="20" t="n"/>
      <c r="K1240" s="21" t="n"/>
      <c r="L1240" s="21" t="n"/>
      <c r="M1240" s="18" t="n"/>
      <c r="N1240" s="22">
        <f>IF($B1240="","",CHOOSE(WEEKDAY($B1240),"الأحد","الاثنين","الثلاثاء","الأربعاء","الخميس","الجمعة","السبت"))</f>
        <v/>
      </c>
      <c r="O1240" s="23">
        <f>IF(OR($K1240="",$L1240=""),"",HYPERLINK("https://maps.google.com/?q="&amp;$K1240&amp;","&amp;$L1240,"عرض الموقع"))</f>
        <v/>
      </c>
      <c r="P1240" s="23">
        <f>IF(OR($B1240="",N($J1240)=0),"",HYPERLINK(PhotoDir&amp;"/"&amp;YEAR($B1240)&amp;"-"&amp;TEXT(MONTH($B1240),"00")&amp;"-"&amp;TEXT(DAY($B1240),"00")&amp;"_"&amp;$D1240,"فتح الصور ("&amp;$J1240&amp;")"))</f>
        <v/>
      </c>
      <c r="Q1240" s="24">
        <f>IF($B1240="","",MONTH($B1240))</f>
        <v/>
      </c>
      <c r="R1240" s="24">
        <f>IF($B1240="","",YEAR($B1240))</f>
        <v/>
      </c>
      <c r="S1240" s="25">
        <f>IF($B1240="","",$B1240-WEEKDAY($B1240,3))</f>
        <v/>
      </c>
      <c r="T1240" s="24">
        <f>IF($B1240="",0,IF(COUNTIFS($B$5:$B1240,$B1240,$D$5:$D1240,$D1240)=1,1,0))</f>
        <v/>
      </c>
      <c r="U1240" s="24">
        <f>IF($B1240="",0,IF(COUNTIFS($B$5:$B1240,$B1240,$C$5:$C1240,$C1240)=1,1,0))</f>
        <v/>
      </c>
      <c r="V1240" s="24">
        <f>IF(OR($B1240="",$G1240="",$G1240="لا توجد مشاهدات"),0,1)</f>
        <v/>
      </c>
      <c r="W1240" s="24">
        <f>IF(AND($B1240&lt;&gt;"",$I1240="تم تحرير مخالفة"),1,0)</f>
        <v/>
      </c>
      <c r="X1240" s="24">
        <f>IF($B1240="","",IF($S1240=WkStart,COUNTIF($S$5:$S1240,WkStart),""))</f>
        <v/>
      </c>
    </row>
    <row r="1241">
      <c r="A1241" s="16">
        <f>IF($B1241="","",ROW()-4)</f>
        <v/>
      </c>
      <c r="B1241" s="17" t="n"/>
      <c r="C1241" s="18" t="n"/>
      <c r="D1241" s="18" t="n"/>
      <c r="E1241" s="19" t="n"/>
      <c r="F1241" s="19" t="n"/>
      <c r="G1241" s="18" t="n"/>
      <c r="H1241" s="18" t="n"/>
      <c r="I1241" s="18" t="n"/>
      <c r="J1241" s="20" t="n"/>
      <c r="K1241" s="21" t="n"/>
      <c r="L1241" s="21" t="n"/>
      <c r="M1241" s="18" t="n"/>
      <c r="N1241" s="22">
        <f>IF($B1241="","",CHOOSE(WEEKDAY($B1241),"الأحد","الاثنين","الثلاثاء","الأربعاء","الخميس","الجمعة","السبت"))</f>
        <v/>
      </c>
      <c r="O1241" s="23">
        <f>IF(OR($K1241="",$L1241=""),"",HYPERLINK("https://maps.google.com/?q="&amp;$K1241&amp;","&amp;$L1241,"عرض الموقع"))</f>
        <v/>
      </c>
      <c r="P1241" s="23">
        <f>IF(OR($B1241="",N($J1241)=0),"",HYPERLINK(PhotoDir&amp;"/"&amp;YEAR($B1241)&amp;"-"&amp;TEXT(MONTH($B1241),"00")&amp;"-"&amp;TEXT(DAY($B1241),"00")&amp;"_"&amp;$D1241,"فتح الصور ("&amp;$J1241&amp;")"))</f>
        <v/>
      </c>
      <c r="Q1241" s="24">
        <f>IF($B1241="","",MONTH($B1241))</f>
        <v/>
      </c>
      <c r="R1241" s="24">
        <f>IF($B1241="","",YEAR($B1241))</f>
        <v/>
      </c>
      <c r="S1241" s="25">
        <f>IF($B1241="","",$B1241-WEEKDAY($B1241,3))</f>
        <v/>
      </c>
      <c r="T1241" s="24">
        <f>IF($B1241="",0,IF(COUNTIFS($B$5:$B1241,$B1241,$D$5:$D1241,$D1241)=1,1,0))</f>
        <v/>
      </c>
      <c r="U1241" s="24">
        <f>IF($B1241="",0,IF(COUNTIFS($B$5:$B1241,$B1241,$C$5:$C1241,$C1241)=1,1,0))</f>
        <v/>
      </c>
      <c r="V1241" s="24">
        <f>IF(OR($B1241="",$G1241="",$G1241="لا توجد مشاهدات"),0,1)</f>
        <v/>
      </c>
      <c r="W1241" s="24">
        <f>IF(AND($B1241&lt;&gt;"",$I1241="تم تحرير مخالفة"),1,0)</f>
        <v/>
      </c>
      <c r="X1241" s="24">
        <f>IF($B1241="","",IF($S1241=WkStart,COUNTIF($S$5:$S1241,WkStart),""))</f>
        <v/>
      </c>
    </row>
    <row r="1242">
      <c r="A1242" s="16">
        <f>IF($B1242="","",ROW()-4)</f>
        <v/>
      </c>
      <c r="B1242" s="17" t="n"/>
      <c r="C1242" s="18" t="n"/>
      <c r="D1242" s="18" t="n"/>
      <c r="E1242" s="19" t="n"/>
      <c r="F1242" s="19" t="n"/>
      <c r="G1242" s="18" t="n"/>
      <c r="H1242" s="18" t="n"/>
      <c r="I1242" s="18" t="n"/>
      <c r="J1242" s="20" t="n"/>
      <c r="K1242" s="21" t="n"/>
      <c r="L1242" s="21" t="n"/>
      <c r="M1242" s="18" t="n"/>
      <c r="N1242" s="22">
        <f>IF($B1242="","",CHOOSE(WEEKDAY($B1242),"الأحد","الاثنين","الثلاثاء","الأربعاء","الخميس","الجمعة","السبت"))</f>
        <v/>
      </c>
      <c r="O1242" s="23">
        <f>IF(OR($K1242="",$L1242=""),"",HYPERLINK("https://maps.google.com/?q="&amp;$K1242&amp;","&amp;$L1242,"عرض الموقع"))</f>
        <v/>
      </c>
      <c r="P1242" s="23">
        <f>IF(OR($B1242="",N($J1242)=0),"",HYPERLINK(PhotoDir&amp;"/"&amp;YEAR($B1242)&amp;"-"&amp;TEXT(MONTH($B1242),"00")&amp;"-"&amp;TEXT(DAY($B1242),"00")&amp;"_"&amp;$D1242,"فتح الصور ("&amp;$J1242&amp;")"))</f>
        <v/>
      </c>
      <c r="Q1242" s="24">
        <f>IF($B1242="","",MONTH($B1242))</f>
        <v/>
      </c>
      <c r="R1242" s="24">
        <f>IF($B1242="","",YEAR($B1242))</f>
        <v/>
      </c>
      <c r="S1242" s="25">
        <f>IF($B1242="","",$B1242-WEEKDAY($B1242,3))</f>
        <v/>
      </c>
      <c r="T1242" s="24">
        <f>IF($B1242="",0,IF(COUNTIFS($B$5:$B1242,$B1242,$D$5:$D1242,$D1242)=1,1,0))</f>
        <v/>
      </c>
      <c r="U1242" s="24">
        <f>IF($B1242="",0,IF(COUNTIFS($B$5:$B1242,$B1242,$C$5:$C1242,$C1242)=1,1,0))</f>
        <v/>
      </c>
      <c r="V1242" s="24">
        <f>IF(OR($B1242="",$G1242="",$G1242="لا توجد مشاهدات"),0,1)</f>
        <v/>
      </c>
      <c r="W1242" s="24">
        <f>IF(AND($B1242&lt;&gt;"",$I1242="تم تحرير مخالفة"),1,0)</f>
        <v/>
      </c>
      <c r="X1242" s="24">
        <f>IF($B1242="","",IF($S1242=WkStart,COUNTIF($S$5:$S1242,WkStart),""))</f>
        <v/>
      </c>
    </row>
    <row r="1243">
      <c r="A1243" s="16">
        <f>IF($B1243="","",ROW()-4)</f>
        <v/>
      </c>
      <c r="B1243" s="17" t="n"/>
      <c r="C1243" s="18" t="n"/>
      <c r="D1243" s="18" t="n"/>
      <c r="E1243" s="19" t="n"/>
      <c r="F1243" s="19" t="n"/>
      <c r="G1243" s="18" t="n"/>
      <c r="H1243" s="18" t="n"/>
      <c r="I1243" s="18" t="n"/>
      <c r="J1243" s="20" t="n"/>
      <c r="K1243" s="21" t="n"/>
      <c r="L1243" s="21" t="n"/>
      <c r="M1243" s="18" t="n"/>
      <c r="N1243" s="22">
        <f>IF($B1243="","",CHOOSE(WEEKDAY($B1243),"الأحد","الاثنين","الثلاثاء","الأربعاء","الخميس","الجمعة","السبت"))</f>
        <v/>
      </c>
      <c r="O1243" s="23">
        <f>IF(OR($K1243="",$L1243=""),"",HYPERLINK("https://maps.google.com/?q="&amp;$K1243&amp;","&amp;$L1243,"عرض الموقع"))</f>
        <v/>
      </c>
      <c r="P1243" s="23">
        <f>IF(OR($B1243="",N($J1243)=0),"",HYPERLINK(PhotoDir&amp;"/"&amp;YEAR($B1243)&amp;"-"&amp;TEXT(MONTH($B1243),"00")&amp;"-"&amp;TEXT(DAY($B1243),"00")&amp;"_"&amp;$D1243,"فتح الصور ("&amp;$J1243&amp;")"))</f>
        <v/>
      </c>
      <c r="Q1243" s="24">
        <f>IF($B1243="","",MONTH($B1243))</f>
        <v/>
      </c>
      <c r="R1243" s="24">
        <f>IF($B1243="","",YEAR($B1243))</f>
        <v/>
      </c>
      <c r="S1243" s="25">
        <f>IF($B1243="","",$B1243-WEEKDAY($B1243,3))</f>
        <v/>
      </c>
      <c r="T1243" s="24">
        <f>IF($B1243="",0,IF(COUNTIFS($B$5:$B1243,$B1243,$D$5:$D1243,$D1243)=1,1,0))</f>
        <v/>
      </c>
      <c r="U1243" s="24">
        <f>IF($B1243="",0,IF(COUNTIFS($B$5:$B1243,$B1243,$C$5:$C1243,$C1243)=1,1,0))</f>
        <v/>
      </c>
      <c r="V1243" s="24">
        <f>IF(OR($B1243="",$G1243="",$G1243="لا توجد مشاهدات"),0,1)</f>
        <v/>
      </c>
      <c r="W1243" s="24">
        <f>IF(AND($B1243&lt;&gt;"",$I1243="تم تحرير مخالفة"),1,0)</f>
        <v/>
      </c>
      <c r="X1243" s="24">
        <f>IF($B1243="","",IF($S1243=WkStart,COUNTIF($S$5:$S1243,WkStart),""))</f>
        <v/>
      </c>
    </row>
    <row r="1244">
      <c r="A1244" s="16">
        <f>IF($B1244="","",ROW()-4)</f>
        <v/>
      </c>
      <c r="B1244" s="17" t="n"/>
      <c r="C1244" s="18" t="n"/>
      <c r="D1244" s="18" t="n"/>
      <c r="E1244" s="19" t="n"/>
      <c r="F1244" s="19" t="n"/>
      <c r="G1244" s="18" t="n"/>
      <c r="H1244" s="18" t="n"/>
      <c r="I1244" s="18" t="n"/>
      <c r="J1244" s="20" t="n"/>
      <c r="K1244" s="21" t="n"/>
      <c r="L1244" s="21" t="n"/>
      <c r="M1244" s="18" t="n"/>
      <c r="N1244" s="22">
        <f>IF($B1244="","",CHOOSE(WEEKDAY($B1244),"الأحد","الاثنين","الثلاثاء","الأربعاء","الخميس","الجمعة","السبت"))</f>
        <v/>
      </c>
      <c r="O1244" s="23">
        <f>IF(OR($K1244="",$L1244=""),"",HYPERLINK("https://maps.google.com/?q="&amp;$K1244&amp;","&amp;$L1244,"عرض الموقع"))</f>
        <v/>
      </c>
      <c r="P1244" s="23">
        <f>IF(OR($B1244="",N($J1244)=0),"",HYPERLINK(PhotoDir&amp;"/"&amp;YEAR($B1244)&amp;"-"&amp;TEXT(MONTH($B1244),"00")&amp;"-"&amp;TEXT(DAY($B1244),"00")&amp;"_"&amp;$D1244,"فتح الصور ("&amp;$J1244&amp;")"))</f>
        <v/>
      </c>
      <c r="Q1244" s="24">
        <f>IF($B1244="","",MONTH($B1244))</f>
        <v/>
      </c>
      <c r="R1244" s="24">
        <f>IF($B1244="","",YEAR($B1244))</f>
        <v/>
      </c>
      <c r="S1244" s="25">
        <f>IF($B1244="","",$B1244-WEEKDAY($B1244,3))</f>
        <v/>
      </c>
      <c r="T1244" s="24">
        <f>IF($B1244="",0,IF(COUNTIFS($B$5:$B1244,$B1244,$D$5:$D1244,$D1244)=1,1,0))</f>
        <v/>
      </c>
      <c r="U1244" s="24">
        <f>IF($B1244="",0,IF(COUNTIFS($B$5:$B1244,$B1244,$C$5:$C1244,$C1244)=1,1,0))</f>
        <v/>
      </c>
      <c r="V1244" s="24">
        <f>IF(OR($B1244="",$G1244="",$G1244="لا توجد مشاهدات"),0,1)</f>
        <v/>
      </c>
      <c r="W1244" s="24">
        <f>IF(AND($B1244&lt;&gt;"",$I1244="تم تحرير مخالفة"),1,0)</f>
        <v/>
      </c>
      <c r="X1244" s="24">
        <f>IF($B1244="","",IF($S1244=WkStart,COUNTIF($S$5:$S1244,WkStart),""))</f>
        <v/>
      </c>
    </row>
    <row r="1245">
      <c r="A1245" s="16">
        <f>IF($B1245="","",ROW()-4)</f>
        <v/>
      </c>
      <c r="B1245" s="17" t="n"/>
      <c r="C1245" s="18" t="n"/>
      <c r="D1245" s="18" t="n"/>
      <c r="E1245" s="19" t="n"/>
      <c r="F1245" s="19" t="n"/>
      <c r="G1245" s="18" t="n"/>
      <c r="H1245" s="18" t="n"/>
      <c r="I1245" s="18" t="n"/>
      <c r="J1245" s="20" t="n"/>
      <c r="K1245" s="21" t="n"/>
      <c r="L1245" s="21" t="n"/>
      <c r="M1245" s="18" t="n"/>
      <c r="N1245" s="22">
        <f>IF($B1245="","",CHOOSE(WEEKDAY($B1245),"الأحد","الاثنين","الثلاثاء","الأربعاء","الخميس","الجمعة","السبت"))</f>
        <v/>
      </c>
      <c r="O1245" s="23">
        <f>IF(OR($K1245="",$L1245=""),"",HYPERLINK("https://maps.google.com/?q="&amp;$K1245&amp;","&amp;$L1245,"عرض الموقع"))</f>
        <v/>
      </c>
      <c r="P1245" s="23">
        <f>IF(OR($B1245="",N($J1245)=0),"",HYPERLINK(PhotoDir&amp;"/"&amp;YEAR($B1245)&amp;"-"&amp;TEXT(MONTH($B1245),"00")&amp;"-"&amp;TEXT(DAY($B1245),"00")&amp;"_"&amp;$D1245,"فتح الصور ("&amp;$J1245&amp;")"))</f>
        <v/>
      </c>
      <c r="Q1245" s="24">
        <f>IF($B1245="","",MONTH($B1245))</f>
        <v/>
      </c>
      <c r="R1245" s="24">
        <f>IF($B1245="","",YEAR($B1245))</f>
        <v/>
      </c>
      <c r="S1245" s="25">
        <f>IF($B1245="","",$B1245-WEEKDAY($B1245,3))</f>
        <v/>
      </c>
      <c r="T1245" s="24">
        <f>IF($B1245="",0,IF(COUNTIFS($B$5:$B1245,$B1245,$D$5:$D1245,$D1245)=1,1,0))</f>
        <v/>
      </c>
      <c r="U1245" s="24">
        <f>IF($B1245="",0,IF(COUNTIFS($B$5:$B1245,$B1245,$C$5:$C1245,$C1245)=1,1,0))</f>
        <v/>
      </c>
      <c r="V1245" s="24">
        <f>IF(OR($B1245="",$G1245="",$G1245="لا توجد مشاهدات"),0,1)</f>
        <v/>
      </c>
      <c r="W1245" s="24">
        <f>IF(AND($B1245&lt;&gt;"",$I1245="تم تحرير مخالفة"),1,0)</f>
        <v/>
      </c>
      <c r="X1245" s="24">
        <f>IF($B1245="","",IF($S1245=WkStart,COUNTIF($S$5:$S1245,WkStart),""))</f>
        <v/>
      </c>
    </row>
    <row r="1246">
      <c r="A1246" s="16">
        <f>IF($B1246="","",ROW()-4)</f>
        <v/>
      </c>
      <c r="B1246" s="17" t="n"/>
      <c r="C1246" s="18" t="n"/>
      <c r="D1246" s="18" t="n"/>
      <c r="E1246" s="19" t="n"/>
      <c r="F1246" s="19" t="n"/>
      <c r="G1246" s="18" t="n"/>
      <c r="H1246" s="18" t="n"/>
      <c r="I1246" s="18" t="n"/>
      <c r="J1246" s="20" t="n"/>
      <c r="K1246" s="21" t="n"/>
      <c r="L1246" s="21" t="n"/>
      <c r="M1246" s="18" t="n"/>
      <c r="N1246" s="22">
        <f>IF($B1246="","",CHOOSE(WEEKDAY($B1246),"الأحد","الاثنين","الثلاثاء","الأربعاء","الخميس","الجمعة","السبت"))</f>
        <v/>
      </c>
      <c r="O1246" s="23">
        <f>IF(OR($K1246="",$L1246=""),"",HYPERLINK("https://maps.google.com/?q="&amp;$K1246&amp;","&amp;$L1246,"عرض الموقع"))</f>
        <v/>
      </c>
      <c r="P1246" s="23">
        <f>IF(OR($B1246="",N($J1246)=0),"",HYPERLINK(PhotoDir&amp;"/"&amp;YEAR($B1246)&amp;"-"&amp;TEXT(MONTH($B1246),"00")&amp;"-"&amp;TEXT(DAY($B1246),"00")&amp;"_"&amp;$D1246,"فتح الصور ("&amp;$J1246&amp;")"))</f>
        <v/>
      </c>
      <c r="Q1246" s="24">
        <f>IF($B1246="","",MONTH($B1246))</f>
        <v/>
      </c>
      <c r="R1246" s="24">
        <f>IF($B1246="","",YEAR($B1246))</f>
        <v/>
      </c>
      <c r="S1246" s="25">
        <f>IF($B1246="","",$B1246-WEEKDAY($B1246,3))</f>
        <v/>
      </c>
      <c r="T1246" s="24">
        <f>IF($B1246="",0,IF(COUNTIFS($B$5:$B1246,$B1246,$D$5:$D1246,$D1246)=1,1,0))</f>
        <v/>
      </c>
      <c r="U1246" s="24">
        <f>IF($B1246="",0,IF(COUNTIFS($B$5:$B1246,$B1246,$C$5:$C1246,$C1246)=1,1,0))</f>
        <v/>
      </c>
      <c r="V1246" s="24">
        <f>IF(OR($B1246="",$G1246="",$G1246="لا توجد مشاهدات"),0,1)</f>
        <v/>
      </c>
      <c r="W1246" s="24">
        <f>IF(AND($B1246&lt;&gt;"",$I1246="تم تحرير مخالفة"),1,0)</f>
        <v/>
      </c>
      <c r="X1246" s="24">
        <f>IF($B1246="","",IF($S1246=WkStart,COUNTIF($S$5:$S1246,WkStart),""))</f>
        <v/>
      </c>
    </row>
    <row r="1247">
      <c r="A1247" s="16">
        <f>IF($B1247="","",ROW()-4)</f>
        <v/>
      </c>
      <c r="B1247" s="17" t="n"/>
      <c r="C1247" s="18" t="n"/>
      <c r="D1247" s="18" t="n"/>
      <c r="E1247" s="19" t="n"/>
      <c r="F1247" s="19" t="n"/>
      <c r="G1247" s="18" t="n"/>
      <c r="H1247" s="18" t="n"/>
      <c r="I1247" s="18" t="n"/>
      <c r="J1247" s="20" t="n"/>
      <c r="K1247" s="21" t="n"/>
      <c r="L1247" s="21" t="n"/>
      <c r="M1247" s="18" t="n"/>
      <c r="N1247" s="22">
        <f>IF($B1247="","",CHOOSE(WEEKDAY($B1247),"الأحد","الاثنين","الثلاثاء","الأربعاء","الخميس","الجمعة","السبت"))</f>
        <v/>
      </c>
      <c r="O1247" s="23">
        <f>IF(OR($K1247="",$L1247=""),"",HYPERLINK("https://maps.google.com/?q="&amp;$K1247&amp;","&amp;$L1247,"عرض الموقع"))</f>
        <v/>
      </c>
      <c r="P1247" s="23">
        <f>IF(OR($B1247="",N($J1247)=0),"",HYPERLINK(PhotoDir&amp;"/"&amp;YEAR($B1247)&amp;"-"&amp;TEXT(MONTH($B1247),"00")&amp;"-"&amp;TEXT(DAY($B1247),"00")&amp;"_"&amp;$D1247,"فتح الصور ("&amp;$J1247&amp;")"))</f>
        <v/>
      </c>
      <c r="Q1247" s="24">
        <f>IF($B1247="","",MONTH($B1247))</f>
        <v/>
      </c>
      <c r="R1247" s="24">
        <f>IF($B1247="","",YEAR($B1247))</f>
        <v/>
      </c>
      <c r="S1247" s="25">
        <f>IF($B1247="","",$B1247-WEEKDAY($B1247,3))</f>
        <v/>
      </c>
      <c r="T1247" s="24">
        <f>IF($B1247="",0,IF(COUNTIFS($B$5:$B1247,$B1247,$D$5:$D1247,$D1247)=1,1,0))</f>
        <v/>
      </c>
      <c r="U1247" s="24">
        <f>IF($B1247="",0,IF(COUNTIFS($B$5:$B1247,$B1247,$C$5:$C1247,$C1247)=1,1,0))</f>
        <v/>
      </c>
      <c r="V1247" s="24">
        <f>IF(OR($B1247="",$G1247="",$G1247="لا توجد مشاهدات"),0,1)</f>
        <v/>
      </c>
      <c r="W1247" s="24">
        <f>IF(AND($B1247&lt;&gt;"",$I1247="تم تحرير مخالفة"),1,0)</f>
        <v/>
      </c>
      <c r="X1247" s="24">
        <f>IF($B1247="","",IF($S1247=WkStart,COUNTIF($S$5:$S1247,WkStart),""))</f>
        <v/>
      </c>
    </row>
    <row r="1248">
      <c r="A1248" s="16">
        <f>IF($B1248="","",ROW()-4)</f>
        <v/>
      </c>
      <c r="B1248" s="17" t="n"/>
      <c r="C1248" s="18" t="n"/>
      <c r="D1248" s="18" t="n"/>
      <c r="E1248" s="19" t="n"/>
      <c r="F1248" s="19" t="n"/>
      <c r="G1248" s="18" t="n"/>
      <c r="H1248" s="18" t="n"/>
      <c r="I1248" s="18" t="n"/>
      <c r="J1248" s="20" t="n"/>
      <c r="K1248" s="21" t="n"/>
      <c r="L1248" s="21" t="n"/>
      <c r="M1248" s="18" t="n"/>
      <c r="N1248" s="22">
        <f>IF($B1248="","",CHOOSE(WEEKDAY($B1248),"الأحد","الاثنين","الثلاثاء","الأربعاء","الخميس","الجمعة","السبت"))</f>
        <v/>
      </c>
      <c r="O1248" s="23">
        <f>IF(OR($K1248="",$L1248=""),"",HYPERLINK("https://maps.google.com/?q="&amp;$K1248&amp;","&amp;$L1248,"عرض الموقع"))</f>
        <v/>
      </c>
      <c r="P1248" s="23">
        <f>IF(OR($B1248="",N($J1248)=0),"",HYPERLINK(PhotoDir&amp;"/"&amp;YEAR($B1248)&amp;"-"&amp;TEXT(MONTH($B1248),"00")&amp;"-"&amp;TEXT(DAY($B1248),"00")&amp;"_"&amp;$D1248,"فتح الصور ("&amp;$J1248&amp;")"))</f>
        <v/>
      </c>
      <c r="Q1248" s="24">
        <f>IF($B1248="","",MONTH($B1248))</f>
        <v/>
      </c>
      <c r="R1248" s="24">
        <f>IF($B1248="","",YEAR($B1248))</f>
        <v/>
      </c>
      <c r="S1248" s="25">
        <f>IF($B1248="","",$B1248-WEEKDAY($B1248,3))</f>
        <v/>
      </c>
      <c r="T1248" s="24">
        <f>IF($B1248="",0,IF(COUNTIFS($B$5:$B1248,$B1248,$D$5:$D1248,$D1248)=1,1,0))</f>
        <v/>
      </c>
      <c r="U1248" s="24">
        <f>IF($B1248="",0,IF(COUNTIFS($B$5:$B1248,$B1248,$C$5:$C1248,$C1248)=1,1,0))</f>
        <v/>
      </c>
      <c r="V1248" s="24">
        <f>IF(OR($B1248="",$G1248="",$G1248="لا توجد مشاهدات"),0,1)</f>
        <v/>
      </c>
      <c r="W1248" s="24">
        <f>IF(AND($B1248&lt;&gt;"",$I1248="تم تحرير مخالفة"),1,0)</f>
        <v/>
      </c>
      <c r="X1248" s="24">
        <f>IF($B1248="","",IF($S1248=WkStart,COUNTIF($S$5:$S1248,WkStart),""))</f>
        <v/>
      </c>
    </row>
    <row r="1249">
      <c r="A1249" s="16">
        <f>IF($B1249="","",ROW()-4)</f>
        <v/>
      </c>
      <c r="B1249" s="17" t="n"/>
      <c r="C1249" s="18" t="n"/>
      <c r="D1249" s="18" t="n"/>
      <c r="E1249" s="19" t="n"/>
      <c r="F1249" s="19" t="n"/>
      <c r="G1249" s="18" t="n"/>
      <c r="H1249" s="18" t="n"/>
      <c r="I1249" s="18" t="n"/>
      <c r="J1249" s="20" t="n"/>
      <c r="K1249" s="21" t="n"/>
      <c r="L1249" s="21" t="n"/>
      <c r="M1249" s="18" t="n"/>
      <c r="N1249" s="22">
        <f>IF($B1249="","",CHOOSE(WEEKDAY($B1249),"الأحد","الاثنين","الثلاثاء","الأربعاء","الخميس","الجمعة","السبت"))</f>
        <v/>
      </c>
      <c r="O1249" s="23">
        <f>IF(OR($K1249="",$L1249=""),"",HYPERLINK("https://maps.google.com/?q="&amp;$K1249&amp;","&amp;$L1249,"عرض الموقع"))</f>
        <v/>
      </c>
      <c r="P1249" s="23">
        <f>IF(OR($B1249="",N($J1249)=0),"",HYPERLINK(PhotoDir&amp;"/"&amp;YEAR($B1249)&amp;"-"&amp;TEXT(MONTH($B1249),"00")&amp;"-"&amp;TEXT(DAY($B1249),"00")&amp;"_"&amp;$D1249,"فتح الصور ("&amp;$J1249&amp;")"))</f>
        <v/>
      </c>
      <c r="Q1249" s="24">
        <f>IF($B1249="","",MONTH($B1249))</f>
        <v/>
      </c>
      <c r="R1249" s="24">
        <f>IF($B1249="","",YEAR($B1249))</f>
        <v/>
      </c>
      <c r="S1249" s="25">
        <f>IF($B1249="","",$B1249-WEEKDAY($B1249,3))</f>
        <v/>
      </c>
      <c r="T1249" s="24">
        <f>IF($B1249="",0,IF(COUNTIFS($B$5:$B1249,$B1249,$D$5:$D1249,$D1249)=1,1,0))</f>
        <v/>
      </c>
      <c r="U1249" s="24">
        <f>IF($B1249="",0,IF(COUNTIFS($B$5:$B1249,$B1249,$C$5:$C1249,$C1249)=1,1,0))</f>
        <v/>
      </c>
      <c r="V1249" s="24">
        <f>IF(OR($B1249="",$G1249="",$G1249="لا توجد مشاهدات"),0,1)</f>
        <v/>
      </c>
      <c r="W1249" s="24">
        <f>IF(AND($B1249&lt;&gt;"",$I1249="تم تحرير مخالفة"),1,0)</f>
        <v/>
      </c>
      <c r="X1249" s="24">
        <f>IF($B1249="","",IF($S1249=WkStart,COUNTIF($S$5:$S1249,WkStart),""))</f>
        <v/>
      </c>
    </row>
    <row r="1250">
      <c r="A1250" s="16">
        <f>IF($B1250="","",ROW()-4)</f>
        <v/>
      </c>
      <c r="B1250" s="17" t="n"/>
      <c r="C1250" s="18" t="n"/>
      <c r="D1250" s="18" t="n"/>
      <c r="E1250" s="19" t="n"/>
      <c r="F1250" s="19" t="n"/>
      <c r="G1250" s="18" t="n"/>
      <c r="H1250" s="18" t="n"/>
      <c r="I1250" s="18" t="n"/>
      <c r="J1250" s="20" t="n"/>
      <c r="K1250" s="21" t="n"/>
      <c r="L1250" s="21" t="n"/>
      <c r="M1250" s="18" t="n"/>
      <c r="N1250" s="22">
        <f>IF($B1250="","",CHOOSE(WEEKDAY($B1250),"الأحد","الاثنين","الثلاثاء","الأربعاء","الخميس","الجمعة","السبت"))</f>
        <v/>
      </c>
      <c r="O1250" s="23">
        <f>IF(OR($K1250="",$L1250=""),"",HYPERLINK("https://maps.google.com/?q="&amp;$K1250&amp;","&amp;$L1250,"عرض الموقع"))</f>
        <v/>
      </c>
      <c r="P1250" s="23">
        <f>IF(OR($B1250="",N($J1250)=0),"",HYPERLINK(PhotoDir&amp;"/"&amp;YEAR($B1250)&amp;"-"&amp;TEXT(MONTH($B1250),"00")&amp;"-"&amp;TEXT(DAY($B1250),"00")&amp;"_"&amp;$D1250,"فتح الصور ("&amp;$J1250&amp;")"))</f>
        <v/>
      </c>
      <c r="Q1250" s="24">
        <f>IF($B1250="","",MONTH($B1250))</f>
        <v/>
      </c>
      <c r="R1250" s="24">
        <f>IF($B1250="","",YEAR($B1250))</f>
        <v/>
      </c>
      <c r="S1250" s="25">
        <f>IF($B1250="","",$B1250-WEEKDAY($B1250,3))</f>
        <v/>
      </c>
      <c r="T1250" s="24">
        <f>IF($B1250="",0,IF(COUNTIFS($B$5:$B1250,$B1250,$D$5:$D1250,$D1250)=1,1,0))</f>
        <v/>
      </c>
      <c r="U1250" s="24">
        <f>IF($B1250="",0,IF(COUNTIFS($B$5:$B1250,$B1250,$C$5:$C1250,$C1250)=1,1,0))</f>
        <v/>
      </c>
      <c r="V1250" s="24">
        <f>IF(OR($B1250="",$G1250="",$G1250="لا توجد مشاهدات"),0,1)</f>
        <v/>
      </c>
      <c r="W1250" s="24">
        <f>IF(AND($B1250&lt;&gt;"",$I1250="تم تحرير مخالفة"),1,0)</f>
        <v/>
      </c>
      <c r="X1250" s="24">
        <f>IF($B1250="","",IF($S1250=WkStart,COUNTIF($S$5:$S1250,WkStart),""))</f>
        <v/>
      </c>
    </row>
    <row r="1251">
      <c r="A1251" s="16">
        <f>IF($B1251="","",ROW()-4)</f>
        <v/>
      </c>
      <c r="B1251" s="17" t="n"/>
      <c r="C1251" s="18" t="n"/>
      <c r="D1251" s="18" t="n"/>
      <c r="E1251" s="19" t="n"/>
      <c r="F1251" s="19" t="n"/>
      <c r="G1251" s="18" t="n"/>
      <c r="H1251" s="18" t="n"/>
      <c r="I1251" s="18" t="n"/>
      <c r="J1251" s="20" t="n"/>
      <c r="K1251" s="21" t="n"/>
      <c r="L1251" s="21" t="n"/>
      <c r="M1251" s="18" t="n"/>
      <c r="N1251" s="22">
        <f>IF($B1251="","",CHOOSE(WEEKDAY($B1251),"الأحد","الاثنين","الثلاثاء","الأربعاء","الخميس","الجمعة","السبت"))</f>
        <v/>
      </c>
      <c r="O1251" s="23">
        <f>IF(OR($K1251="",$L1251=""),"",HYPERLINK("https://maps.google.com/?q="&amp;$K1251&amp;","&amp;$L1251,"عرض الموقع"))</f>
        <v/>
      </c>
      <c r="P1251" s="23">
        <f>IF(OR($B1251="",N($J1251)=0),"",HYPERLINK(PhotoDir&amp;"/"&amp;YEAR($B1251)&amp;"-"&amp;TEXT(MONTH($B1251),"00")&amp;"-"&amp;TEXT(DAY($B1251),"00")&amp;"_"&amp;$D1251,"فتح الصور ("&amp;$J1251&amp;")"))</f>
        <v/>
      </c>
      <c r="Q1251" s="24">
        <f>IF($B1251="","",MONTH($B1251))</f>
        <v/>
      </c>
      <c r="R1251" s="24">
        <f>IF($B1251="","",YEAR($B1251))</f>
        <v/>
      </c>
      <c r="S1251" s="25">
        <f>IF($B1251="","",$B1251-WEEKDAY($B1251,3))</f>
        <v/>
      </c>
      <c r="T1251" s="24">
        <f>IF($B1251="",0,IF(COUNTIFS($B$5:$B1251,$B1251,$D$5:$D1251,$D1251)=1,1,0))</f>
        <v/>
      </c>
      <c r="U1251" s="24">
        <f>IF($B1251="",0,IF(COUNTIFS($B$5:$B1251,$B1251,$C$5:$C1251,$C1251)=1,1,0))</f>
        <v/>
      </c>
      <c r="V1251" s="24">
        <f>IF(OR($B1251="",$G1251="",$G1251="لا توجد مشاهدات"),0,1)</f>
        <v/>
      </c>
      <c r="W1251" s="24">
        <f>IF(AND($B1251&lt;&gt;"",$I1251="تم تحرير مخالفة"),1,0)</f>
        <v/>
      </c>
      <c r="X1251" s="24">
        <f>IF($B1251="","",IF($S1251=WkStart,COUNTIF($S$5:$S1251,WkStart),""))</f>
        <v/>
      </c>
    </row>
    <row r="1252">
      <c r="A1252" s="16">
        <f>IF($B1252="","",ROW()-4)</f>
        <v/>
      </c>
      <c r="B1252" s="17" t="n"/>
      <c r="C1252" s="18" t="n"/>
      <c r="D1252" s="18" t="n"/>
      <c r="E1252" s="19" t="n"/>
      <c r="F1252" s="19" t="n"/>
      <c r="G1252" s="18" t="n"/>
      <c r="H1252" s="18" t="n"/>
      <c r="I1252" s="18" t="n"/>
      <c r="J1252" s="20" t="n"/>
      <c r="K1252" s="21" t="n"/>
      <c r="L1252" s="21" t="n"/>
      <c r="M1252" s="18" t="n"/>
      <c r="N1252" s="22">
        <f>IF($B1252="","",CHOOSE(WEEKDAY($B1252),"الأحد","الاثنين","الثلاثاء","الأربعاء","الخميس","الجمعة","السبت"))</f>
        <v/>
      </c>
      <c r="O1252" s="23">
        <f>IF(OR($K1252="",$L1252=""),"",HYPERLINK("https://maps.google.com/?q="&amp;$K1252&amp;","&amp;$L1252,"عرض الموقع"))</f>
        <v/>
      </c>
      <c r="P1252" s="23">
        <f>IF(OR($B1252="",N($J1252)=0),"",HYPERLINK(PhotoDir&amp;"/"&amp;YEAR($B1252)&amp;"-"&amp;TEXT(MONTH($B1252),"00")&amp;"-"&amp;TEXT(DAY($B1252),"00")&amp;"_"&amp;$D1252,"فتح الصور ("&amp;$J1252&amp;")"))</f>
        <v/>
      </c>
      <c r="Q1252" s="24">
        <f>IF($B1252="","",MONTH($B1252))</f>
        <v/>
      </c>
      <c r="R1252" s="24">
        <f>IF($B1252="","",YEAR($B1252))</f>
        <v/>
      </c>
      <c r="S1252" s="25">
        <f>IF($B1252="","",$B1252-WEEKDAY($B1252,3))</f>
        <v/>
      </c>
      <c r="T1252" s="24">
        <f>IF($B1252="",0,IF(COUNTIFS($B$5:$B1252,$B1252,$D$5:$D1252,$D1252)=1,1,0))</f>
        <v/>
      </c>
      <c r="U1252" s="24">
        <f>IF($B1252="",0,IF(COUNTIFS($B$5:$B1252,$B1252,$C$5:$C1252,$C1252)=1,1,0))</f>
        <v/>
      </c>
      <c r="V1252" s="24">
        <f>IF(OR($B1252="",$G1252="",$G1252="لا توجد مشاهدات"),0,1)</f>
        <v/>
      </c>
      <c r="W1252" s="24">
        <f>IF(AND($B1252&lt;&gt;"",$I1252="تم تحرير مخالفة"),1,0)</f>
        <v/>
      </c>
      <c r="X1252" s="24">
        <f>IF($B1252="","",IF($S1252=WkStart,COUNTIF($S$5:$S1252,WkStart),""))</f>
        <v/>
      </c>
    </row>
    <row r="1253">
      <c r="A1253" s="16">
        <f>IF($B1253="","",ROW()-4)</f>
        <v/>
      </c>
      <c r="B1253" s="17" t="n"/>
      <c r="C1253" s="18" t="n"/>
      <c r="D1253" s="18" t="n"/>
      <c r="E1253" s="19" t="n"/>
      <c r="F1253" s="19" t="n"/>
      <c r="G1253" s="18" t="n"/>
      <c r="H1253" s="18" t="n"/>
      <c r="I1253" s="18" t="n"/>
      <c r="J1253" s="20" t="n"/>
      <c r="K1253" s="21" t="n"/>
      <c r="L1253" s="21" t="n"/>
      <c r="M1253" s="18" t="n"/>
      <c r="N1253" s="22">
        <f>IF($B1253="","",CHOOSE(WEEKDAY($B1253),"الأحد","الاثنين","الثلاثاء","الأربعاء","الخميس","الجمعة","السبت"))</f>
        <v/>
      </c>
      <c r="O1253" s="23">
        <f>IF(OR($K1253="",$L1253=""),"",HYPERLINK("https://maps.google.com/?q="&amp;$K1253&amp;","&amp;$L1253,"عرض الموقع"))</f>
        <v/>
      </c>
      <c r="P1253" s="23">
        <f>IF(OR($B1253="",N($J1253)=0),"",HYPERLINK(PhotoDir&amp;"/"&amp;YEAR($B1253)&amp;"-"&amp;TEXT(MONTH($B1253),"00")&amp;"-"&amp;TEXT(DAY($B1253),"00")&amp;"_"&amp;$D1253,"فتح الصور ("&amp;$J1253&amp;")"))</f>
        <v/>
      </c>
      <c r="Q1253" s="24">
        <f>IF($B1253="","",MONTH($B1253))</f>
        <v/>
      </c>
      <c r="R1253" s="24">
        <f>IF($B1253="","",YEAR($B1253))</f>
        <v/>
      </c>
      <c r="S1253" s="25">
        <f>IF($B1253="","",$B1253-WEEKDAY($B1253,3))</f>
        <v/>
      </c>
      <c r="T1253" s="24">
        <f>IF($B1253="",0,IF(COUNTIFS($B$5:$B1253,$B1253,$D$5:$D1253,$D1253)=1,1,0))</f>
        <v/>
      </c>
      <c r="U1253" s="24">
        <f>IF($B1253="",0,IF(COUNTIFS($B$5:$B1253,$B1253,$C$5:$C1253,$C1253)=1,1,0))</f>
        <v/>
      </c>
      <c r="V1253" s="24">
        <f>IF(OR($B1253="",$G1253="",$G1253="لا توجد مشاهدات"),0,1)</f>
        <v/>
      </c>
      <c r="W1253" s="24">
        <f>IF(AND($B1253&lt;&gt;"",$I1253="تم تحرير مخالفة"),1,0)</f>
        <v/>
      </c>
      <c r="X1253" s="24">
        <f>IF($B1253="","",IF($S1253=WkStart,COUNTIF($S$5:$S1253,WkStart),""))</f>
        <v/>
      </c>
    </row>
    <row r="1254">
      <c r="A1254" s="16">
        <f>IF($B1254="","",ROW()-4)</f>
        <v/>
      </c>
      <c r="B1254" s="17" t="n"/>
      <c r="C1254" s="18" t="n"/>
      <c r="D1254" s="18" t="n"/>
      <c r="E1254" s="19" t="n"/>
      <c r="F1254" s="19" t="n"/>
      <c r="G1254" s="18" t="n"/>
      <c r="H1254" s="18" t="n"/>
      <c r="I1254" s="18" t="n"/>
      <c r="J1254" s="20" t="n"/>
      <c r="K1254" s="21" t="n"/>
      <c r="L1254" s="21" t="n"/>
      <c r="M1254" s="18" t="n"/>
      <c r="N1254" s="22">
        <f>IF($B1254="","",CHOOSE(WEEKDAY($B1254),"الأحد","الاثنين","الثلاثاء","الأربعاء","الخميس","الجمعة","السبت"))</f>
        <v/>
      </c>
      <c r="O1254" s="23">
        <f>IF(OR($K1254="",$L1254=""),"",HYPERLINK("https://maps.google.com/?q="&amp;$K1254&amp;","&amp;$L1254,"عرض الموقع"))</f>
        <v/>
      </c>
      <c r="P1254" s="23">
        <f>IF(OR($B1254="",N($J1254)=0),"",HYPERLINK(PhotoDir&amp;"/"&amp;YEAR($B1254)&amp;"-"&amp;TEXT(MONTH($B1254),"00")&amp;"-"&amp;TEXT(DAY($B1254),"00")&amp;"_"&amp;$D1254,"فتح الصور ("&amp;$J1254&amp;")"))</f>
        <v/>
      </c>
      <c r="Q1254" s="24">
        <f>IF($B1254="","",MONTH($B1254))</f>
        <v/>
      </c>
      <c r="R1254" s="24">
        <f>IF($B1254="","",YEAR($B1254))</f>
        <v/>
      </c>
      <c r="S1254" s="25">
        <f>IF($B1254="","",$B1254-WEEKDAY($B1254,3))</f>
        <v/>
      </c>
      <c r="T1254" s="24">
        <f>IF($B1254="",0,IF(COUNTIFS($B$5:$B1254,$B1254,$D$5:$D1254,$D1254)=1,1,0))</f>
        <v/>
      </c>
      <c r="U1254" s="24">
        <f>IF($B1254="",0,IF(COUNTIFS($B$5:$B1254,$B1254,$C$5:$C1254,$C1254)=1,1,0))</f>
        <v/>
      </c>
      <c r="V1254" s="24">
        <f>IF(OR($B1254="",$G1254="",$G1254="لا توجد مشاهدات"),0,1)</f>
        <v/>
      </c>
      <c r="W1254" s="24">
        <f>IF(AND($B1254&lt;&gt;"",$I1254="تم تحرير مخالفة"),1,0)</f>
        <v/>
      </c>
      <c r="X1254" s="24">
        <f>IF($B1254="","",IF($S1254=WkStart,COUNTIF($S$5:$S1254,WkStart),""))</f>
        <v/>
      </c>
    </row>
    <row r="1255">
      <c r="A1255" s="16">
        <f>IF($B1255="","",ROW()-4)</f>
        <v/>
      </c>
      <c r="B1255" s="17" t="n"/>
      <c r="C1255" s="18" t="n"/>
      <c r="D1255" s="18" t="n"/>
      <c r="E1255" s="19" t="n"/>
      <c r="F1255" s="19" t="n"/>
      <c r="G1255" s="18" t="n"/>
      <c r="H1255" s="18" t="n"/>
      <c r="I1255" s="18" t="n"/>
      <c r="J1255" s="20" t="n"/>
      <c r="K1255" s="21" t="n"/>
      <c r="L1255" s="21" t="n"/>
      <c r="M1255" s="18" t="n"/>
      <c r="N1255" s="22">
        <f>IF($B1255="","",CHOOSE(WEEKDAY($B1255),"الأحد","الاثنين","الثلاثاء","الأربعاء","الخميس","الجمعة","السبت"))</f>
        <v/>
      </c>
      <c r="O1255" s="23">
        <f>IF(OR($K1255="",$L1255=""),"",HYPERLINK("https://maps.google.com/?q="&amp;$K1255&amp;","&amp;$L1255,"عرض الموقع"))</f>
        <v/>
      </c>
      <c r="P1255" s="23">
        <f>IF(OR($B1255="",N($J1255)=0),"",HYPERLINK(PhotoDir&amp;"/"&amp;YEAR($B1255)&amp;"-"&amp;TEXT(MONTH($B1255),"00")&amp;"-"&amp;TEXT(DAY($B1255),"00")&amp;"_"&amp;$D1255,"فتح الصور ("&amp;$J1255&amp;")"))</f>
        <v/>
      </c>
      <c r="Q1255" s="24">
        <f>IF($B1255="","",MONTH($B1255))</f>
        <v/>
      </c>
      <c r="R1255" s="24">
        <f>IF($B1255="","",YEAR($B1255))</f>
        <v/>
      </c>
      <c r="S1255" s="25">
        <f>IF($B1255="","",$B1255-WEEKDAY($B1255,3))</f>
        <v/>
      </c>
      <c r="T1255" s="24">
        <f>IF($B1255="",0,IF(COUNTIFS($B$5:$B1255,$B1255,$D$5:$D1255,$D1255)=1,1,0))</f>
        <v/>
      </c>
      <c r="U1255" s="24">
        <f>IF($B1255="",0,IF(COUNTIFS($B$5:$B1255,$B1255,$C$5:$C1255,$C1255)=1,1,0))</f>
        <v/>
      </c>
      <c r="V1255" s="24">
        <f>IF(OR($B1255="",$G1255="",$G1255="لا توجد مشاهدات"),0,1)</f>
        <v/>
      </c>
      <c r="W1255" s="24">
        <f>IF(AND($B1255&lt;&gt;"",$I1255="تم تحرير مخالفة"),1,0)</f>
        <v/>
      </c>
      <c r="X1255" s="24">
        <f>IF($B1255="","",IF($S1255=WkStart,COUNTIF($S$5:$S1255,WkStart),""))</f>
        <v/>
      </c>
    </row>
    <row r="1256">
      <c r="A1256" s="16">
        <f>IF($B1256="","",ROW()-4)</f>
        <v/>
      </c>
      <c r="B1256" s="17" t="n"/>
      <c r="C1256" s="18" t="n"/>
      <c r="D1256" s="18" t="n"/>
      <c r="E1256" s="19" t="n"/>
      <c r="F1256" s="19" t="n"/>
      <c r="G1256" s="18" t="n"/>
      <c r="H1256" s="18" t="n"/>
      <c r="I1256" s="18" t="n"/>
      <c r="J1256" s="20" t="n"/>
      <c r="K1256" s="21" t="n"/>
      <c r="L1256" s="21" t="n"/>
      <c r="M1256" s="18" t="n"/>
      <c r="N1256" s="22">
        <f>IF($B1256="","",CHOOSE(WEEKDAY($B1256),"الأحد","الاثنين","الثلاثاء","الأربعاء","الخميس","الجمعة","السبت"))</f>
        <v/>
      </c>
      <c r="O1256" s="23">
        <f>IF(OR($K1256="",$L1256=""),"",HYPERLINK("https://maps.google.com/?q="&amp;$K1256&amp;","&amp;$L1256,"عرض الموقع"))</f>
        <v/>
      </c>
      <c r="P1256" s="23">
        <f>IF(OR($B1256="",N($J1256)=0),"",HYPERLINK(PhotoDir&amp;"/"&amp;YEAR($B1256)&amp;"-"&amp;TEXT(MONTH($B1256),"00")&amp;"-"&amp;TEXT(DAY($B1256),"00")&amp;"_"&amp;$D1256,"فتح الصور ("&amp;$J1256&amp;")"))</f>
        <v/>
      </c>
      <c r="Q1256" s="24">
        <f>IF($B1256="","",MONTH($B1256))</f>
        <v/>
      </c>
      <c r="R1256" s="24">
        <f>IF($B1256="","",YEAR($B1256))</f>
        <v/>
      </c>
      <c r="S1256" s="25">
        <f>IF($B1256="","",$B1256-WEEKDAY($B1256,3))</f>
        <v/>
      </c>
      <c r="T1256" s="24">
        <f>IF($B1256="",0,IF(COUNTIFS($B$5:$B1256,$B1256,$D$5:$D1256,$D1256)=1,1,0))</f>
        <v/>
      </c>
      <c r="U1256" s="24">
        <f>IF($B1256="",0,IF(COUNTIFS($B$5:$B1256,$B1256,$C$5:$C1256,$C1256)=1,1,0))</f>
        <v/>
      </c>
      <c r="V1256" s="24">
        <f>IF(OR($B1256="",$G1256="",$G1256="لا توجد مشاهدات"),0,1)</f>
        <v/>
      </c>
      <c r="W1256" s="24">
        <f>IF(AND($B1256&lt;&gt;"",$I1256="تم تحرير مخالفة"),1,0)</f>
        <v/>
      </c>
      <c r="X1256" s="24">
        <f>IF($B1256="","",IF($S1256=WkStart,COUNTIF($S$5:$S1256,WkStart),""))</f>
        <v/>
      </c>
    </row>
    <row r="1257">
      <c r="A1257" s="16">
        <f>IF($B1257="","",ROW()-4)</f>
        <v/>
      </c>
      <c r="B1257" s="17" t="n"/>
      <c r="C1257" s="18" t="n"/>
      <c r="D1257" s="18" t="n"/>
      <c r="E1257" s="19" t="n"/>
      <c r="F1257" s="19" t="n"/>
      <c r="G1257" s="18" t="n"/>
      <c r="H1257" s="18" t="n"/>
      <c r="I1257" s="18" t="n"/>
      <c r="J1257" s="20" t="n"/>
      <c r="K1257" s="21" t="n"/>
      <c r="L1257" s="21" t="n"/>
      <c r="M1257" s="18" t="n"/>
      <c r="N1257" s="22">
        <f>IF($B1257="","",CHOOSE(WEEKDAY($B1257),"الأحد","الاثنين","الثلاثاء","الأربعاء","الخميس","الجمعة","السبت"))</f>
        <v/>
      </c>
      <c r="O1257" s="23">
        <f>IF(OR($K1257="",$L1257=""),"",HYPERLINK("https://maps.google.com/?q="&amp;$K1257&amp;","&amp;$L1257,"عرض الموقع"))</f>
        <v/>
      </c>
      <c r="P1257" s="23">
        <f>IF(OR($B1257="",N($J1257)=0),"",HYPERLINK(PhotoDir&amp;"/"&amp;YEAR($B1257)&amp;"-"&amp;TEXT(MONTH($B1257),"00")&amp;"-"&amp;TEXT(DAY($B1257),"00")&amp;"_"&amp;$D1257,"فتح الصور ("&amp;$J1257&amp;")"))</f>
        <v/>
      </c>
      <c r="Q1257" s="24">
        <f>IF($B1257="","",MONTH($B1257))</f>
        <v/>
      </c>
      <c r="R1257" s="24">
        <f>IF($B1257="","",YEAR($B1257))</f>
        <v/>
      </c>
      <c r="S1257" s="25">
        <f>IF($B1257="","",$B1257-WEEKDAY($B1257,3))</f>
        <v/>
      </c>
      <c r="T1257" s="24">
        <f>IF($B1257="",0,IF(COUNTIFS($B$5:$B1257,$B1257,$D$5:$D1257,$D1257)=1,1,0))</f>
        <v/>
      </c>
      <c r="U1257" s="24">
        <f>IF($B1257="",0,IF(COUNTIFS($B$5:$B1257,$B1257,$C$5:$C1257,$C1257)=1,1,0))</f>
        <v/>
      </c>
      <c r="V1257" s="24">
        <f>IF(OR($B1257="",$G1257="",$G1257="لا توجد مشاهدات"),0,1)</f>
        <v/>
      </c>
      <c r="W1257" s="24">
        <f>IF(AND($B1257&lt;&gt;"",$I1257="تم تحرير مخالفة"),1,0)</f>
        <v/>
      </c>
      <c r="X1257" s="24">
        <f>IF($B1257="","",IF($S1257=WkStart,COUNTIF($S$5:$S1257,WkStart),""))</f>
        <v/>
      </c>
    </row>
    <row r="1258">
      <c r="A1258" s="16">
        <f>IF($B1258="","",ROW()-4)</f>
        <v/>
      </c>
      <c r="B1258" s="17" t="n"/>
      <c r="C1258" s="18" t="n"/>
      <c r="D1258" s="18" t="n"/>
      <c r="E1258" s="19" t="n"/>
      <c r="F1258" s="19" t="n"/>
      <c r="G1258" s="18" t="n"/>
      <c r="H1258" s="18" t="n"/>
      <c r="I1258" s="18" t="n"/>
      <c r="J1258" s="20" t="n"/>
      <c r="K1258" s="21" t="n"/>
      <c r="L1258" s="21" t="n"/>
      <c r="M1258" s="18" t="n"/>
      <c r="N1258" s="22">
        <f>IF($B1258="","",CHOOSE(WEEKDAY($B1258),"الأحد","الاثنين","الثلاثاء","الأربعاء","الخميس","الجمعة","السبت"))</f>
        <v/>
      </c>
      <c r="O1258" s="23">
        <f>IF(OR($K1258="",$L1258=""),"",HYPERLINK("https://maps.google.com/?q="&amp;$K1258&amp;","&amp;$L1258,"عرض الموقع"))</f>
        <v/>
      </c>
      <c r="P1258" s="23">
        <f>IF(OR($B1258="",N($J1258)=0),"",HYPERLINK(PhotoDir&amp;"/"&amp;YEAR($B1258)&amp;"-"&amp;TEXT(MONTH($B1258),"00")&amp;"-"&amp;TEXT(DAY($B1258),"00")&amp;"_"&amp;$D1258,"فتح الصور ("&amp;$J1258&amp;")"))</f>
        <v/>
      </c>
      <c r="Q1258" s="24">
        <f>IF($B1258="","",MONTH($B1258))</f>
        <v/>
      </c>
      <c r="R1258" s="24">
        <f>IF($B1258="","",YEAR($B1258))</f>
        <v/>
      </c>
      <c r="S1258" s="25">
        <f>IF($B1258="","",$B1258-WEEKDAY($B1258,3))</f>
        <v/>
      </c>
      <c r="T1258" s="24">
        <f>IF($B1258="",0,IF(COUNTIFS($B$5:$B1258,$B1258,$D$5:$D1258,$D1258)=1,1,0))</f>
        <v/>
      </c>
      <c r="U1258" s="24">
        <f>IF($B1258="",0,IF(COUNTIFS($B$5:$B1258,$B1258,$C$5:$C1258,$C1258)=1,1,0))</f>
        <v/>
      </c>
      <c r="V1258" s="24">
        <f>IF(OR($B1258="",$G1258="",$G1258="لا توجد مشاهدات"),0,1)</f>
        <v/>
      </c>
      <c r="W1258" s="24">
        <f>IF(AND($B1258&lt;&gt;"",$I1258="تم تحرير مخالفة"),1,0)</f>
        <v/>
      </c>
      <c r="X1258" s="24">
        <f>IF($B1258="","",IF($S1258=WkStart,COUNTIF($S$5:$S1258,WkStart),""))</f>
        <v/>
      </c>
    </row>
    <row r="1259">
      <c r="A1259" s="16">
        <f>IF($B1259="","",ROW()-4)</f>
        <v/>
      </c>
      <c r="B1259" s="17" t="n"/>
      <c r="C1259" s="18" t="n"/>
      <c r="D1259" s="18" t="n"/>
      <c r="E1259" s="19" t="n"/>
      <c r="F1259" s="19" t="n"/>
      <c r="G1259" s="18" t="n"/>
      <c r="H1259" s="18" t="n"/>
      <c r="I1259" s="18" t="n"/>
      <c r="J1259" s="20" t="n"/>
      <c r="K1259" s="21" t="n"/>
      <c r="L1259" s="21" t="n"/>
      <c r="M1259" s="18" t="n"/>
      <c r="N1259" s="22">
        <f>IF($B1259="","",CHOOSE(WEEKDAY($B1259),"الأحد","الاثنين","الثلاثاء","الأربعاء","الخميس","الجمعة","السبت"))</f>
        <v/>
      </c>
      <c r="O1259" s="23">
        <f>IF(OR($K1259="",$L1259=""),"",HYPERLINK("https://maps.google.com/?q="&amp;$K1259&amp;","&amp;$L1259,"عرض الموقع"))</f>
        <v/>
      </c>
      <c r="P1259" s="23">
        <f>IF(OR($B1259="",N($J1259)=0),"",HYPERLINK(PhotoDir&amp;"/"&amp;YEAR($B1259)&amp;"-"&amp;TEXT(MONTH($B1259),"00")&amp;"-"&amp;TEXT(DAY($B1259),"00")&amp;"_"&amp;$D1259,"فتح الصور ("&amp;$J1259&amp;")"))</f>
        <v/>
      </c>
      <c r="Q1259" s="24">
        <f>IF($B1259="","",MONTH($B1259))</f>
        <v/>
      </c>
      <c r="R1259" s="24">
        <f>IF($B1259="","",YEAR($B1259))</f>
        <v/>
      </c>
      <c r="S1259" s="25">
        <f>IF($B1259="","",$B1259-WEEKDAY($B1259,3))</f>
        <v/>
      </c>
      <c r="T1259" s="24">
        <f>IF($B1259="",0,IF(COUNTIFS($B$5:$B1259,$B1259,$D$5:$D1259,$D1259)=1,1,0))</f>
        <v/>
      </c>
      <c r="U1259" s="24">
        <f>IF($B1259="",0,IF(COUNTIFS($B$5:$B1259,$B1259,$C$5:$C1259,$C1259)=1,1,0))</f>
        <v/>
      </c>
      <c r="V1259" s="24">
        <f>IF(OR($B1259="",$G1259="",$G1259="لا توجد مشاهدات"),0,1)</f>
        <v/>
      </c>
      <c r="W1259" s="24">
        <f>IF(AND($B1259&lt;&gt;"",$I1259="تم تحرير مخالفة"),1,0)</f>
        <v/>
      </c>
      <c r="X1259" s="24">
        <f>IF($B1259="","",IF($S1259=WkStart,COUNTIF($S$5:$S1259,WkStart),""))</f>
        <v/>
      </c>
    </row>
    <row r="1260">
      <c r="A1260" s="16">
        <f>IF($B1260="","",ROW()-4)</f>
        <v/>
      </c>
      <c r="B1260" s="17" t="n"/>
      <c r="C1260" s="18" t="n"/>
      <c r="D1260" s="18" t="n"/>
      <c r="E1260" s="19" t="n"/>
      <c r="F1260" s="19" t="n"/>
      <c r="G1260" s="18" t="n"/>
      <c r="H1260" s="18" t="n"/>
      <c r="I1260" s="18" t="n"/>
      <c r="J1260" s="20" t="n"/>
      <c r="K1260" s="21" t="n"/>
      <c r="L1260" s="21" t="n"/>
      <c r="M1260" s="18" t="n"/>
      <c r="N1260" s="22">
        <f>IF($B1260="","",CHOOSE(WEEKDAY($B1260),"الأحد","الاثنين","الثلاثاء","الأربعاء","الخميس","الجمعة","السبت"))</f>
        <v/>
      </c>
      <c r="O1260" s="23">
        <f>IF(OR($K1260="",$L1260=""),"",HYPERLINK("https://maps.google.com/?q="&amp;$K1260&amp;","&amp;$L1260,"عرض الموقع"))</f>
        <v/>
      </c>
      <c r="P1260" s="23">
        <f>IF(OR($B1260="",N($J1260)=0),"",HYPERLINK(PhotoDir&amp;"/"&amp;YEAR($B1260)&amp;"-"&amp;TEXT(MONTH($B1260),"00")&amp;"-"&amp;TEXT(DAY($B1260),"00")&amp;"_"&amp;$D1260,"فتح الصور ("&amp;$J1260&amp;")"))</f>
        <v/>
      </c>
      <c r="Q1260" s="24">
        <f>IF($B1260="","",MONTH($B1260))</f>
        <v/>
      </c>
      <c r="R1260" s="24">
        <f>IF($B1260="","",YEAR($B1260))</f>
        <v/>
      </c>
      <c r="S1260" s="25">
        <f>IF($B1260="","",$B1260-WEEKDAY($B1260,3))</f>
        <v/>
      </c>
      <c r="T1260" s="24">
        <f>IF($B1260="",0,IF(COUNTIFS($B$5:$B1260,$B1260,$D$5:$D1260,$D1260)=1,1,0))</f>
        <v/>
      </c>
      <c r="U1260" s="24">
        <f>IF($B1260="",0,IF(COUNTIFS($B$5:$B1260,$B1260,$C$5:$C1260,$C1260)=1,1,0))</f>
        <v/>
      </c>
      <c r="V1260" s="24">
        <f>IF(OR($B1260="",$G1260="",$G1260="لا توجد مشاهدات"),0,1)</f>
        <v/>
      </c>
      <c r="W1260" s="24">
        <f>IF(AND($B1260&lt;&gt;"",$I1260="تم تحرير مخالفة"),1,0)</f>
        <v/>
      </c>
      <c r="X1260" s="24">
        <f>IF($B1260="","",IF($S1260=WkStart,COUNTIF($S$5:$S1260,WkStart),""))</f>
        <v/>
      </c>
    </row>
    <row r="1261">
      <c r="A1261" s="16">
        <f>IF($B1261="","",ROW()-4)</f>
        <v/>
      </c>
      <c r="B1261" s="17" t="n"/>
      <c r="C1261" s="18" t="n"/>
      <c r="D1261" s="18" t="n"/>
      <c r="E1261" s="19" t="n"/>
      <c r="F1261" s="19" t="n"/>
      <c r="G1261" s="18" t="n"/>
      <c r="H1261" s="18" t="n"/>
      <c r="I1261" s="18" t="n"/>
      <c r="J1261" s="20" t="n"/>
      <c r="K1261" s="21" t="n"/>
      <c r="L1261" s="21" t="n"/>
      <c r="M1261" s="18" t="n"/>
      <c r="N1261" s="22">
        <f>IF($B1261="","",CHOOSE(WEEKDAY($B1261),"الأحد","الاثنين","الثلاثاء","الأربعاء","الخميس","الجمعة","السبت"))</f>
        <v/>
      </c>
      <c r="O1261" s="23">
        <f>IF(OR($K1261="",$L1261=""),"",HYPERLINK("https://maps.google.com/?q="&amp;$K1261&amp;","&amp;$L1261,"عرض الموقع"))</f>
        <v/>
      </c>
      <c r="P1261" s="23">
        <f>IF(OR($B1261="",N($J1261)=0),"",HYPERLINK(PhotoDir&amp;"/"&amp;YEAR($B1261)&amp;"-"&amp;TEXT(MONTH($B1261),"00")&amp;"-"&amp;TEXT(DAY($B1261),"00")&amp;"_"&amp;$D1261,"فتح الصور ("&amp;$J1261&amp;")"))</f>
        <v/>
      </c>
      <c r="Q1261" s="24">
        <f>IF($B1261="","",MONTH($B1261))</f>
        <v/>
      </c>
      <c r="R1261" s="24">
        <f>IF($B1261="","",YEAR($B1261))</f>
        <v/>
      </c>
      <c r="S1261" s="25">
        <f>IF($B1261="","",$B1261-WEEKDAY($B1261,3))</f>
        <v/>
      </c>
      <c r="T1261" s="24">
        <f>IF($B1261="",0,IF(COUNTIFS($B$5:$B1261,$B1261,$D$5:$D1261,$D1261)=1,1,0))</f>
        <v/>
      </c>
      <c r="U1261" s="24">
        <f>IF($B1261="",0,IF(COUNTIFS($B$5:$B1261,$B1261,$C$5:$C1261,$C1261)=1,1,0))</f>
        <v/>
      </c>
      <c r="V1261" s="24">
        <f>IF(OR($B1261="",$G1261="",$G1261="لا توجد مشاهدات"),0,1)</f>
        <v/>
      </c>
      <c r="W1261" s="24">
        <f>IF(AND($B1261&lt;&gt;"",$I1261="تم تحرير مخالفة"),1,0)</f>
        <v/>
      </c>
      <c r="X1261" s="24">
        <f>IF($B1261="","",IF($S1261=WkStart,COUNTIF($S$5:$S1261,WkStart),""))</f>
        <v/>
      </c>
    </row>
    <row r="1262">
      <c r="A1262" s="16">
        <f>IF($B1262="","",ROW()-4)</f>
        <v/>
      </c>
      <c r="B1262" s="17" t="n"/>
      <c r="C1262" s="18" t="n"/>
      <c r="D1262" s="18" t="n"/>
      <c r="E1262" s="19" t="n"/>
      <c r="F1262" s="19" t="n"/>
      <c r="G1262" s="18" t="n"/>
      <c r="H1262" s="18" t="n"/>
      <c r="I1262" s="18" t="n"/>
      <c r="J1262" s="20" t="n"/>
      <c r="K1262" s="21" t="n"/>
      <c r="L1262" s="21" t="n"/>
      <c r="M1262" s="18" t="n"/>
      <c r="N1262" s="22">
        <f>IF($B1262="","",CHOOSE(WEEKDAY($B1262),"الأحد","الاثنين","الثلاثاء","الأربعاء","الخميس","الجمعة","السبت"))</f>
        <v/>
      </c>
      <c r="O1262" s="23">
        <f>IF(OR($K1262="",$L1262=""),"",HYPERLINK("https://maps.google.com/?q="&amp;$K1262&amp;","&amp;$L1262,"عرض الموقع"))</f>
        <v/>
      </c>
      <c r="P1262" s="23">
        <f>IF(OR($B1262="",N($J1262)=0),"",HYPERLINK(PhotoDir&amp;"/"&amp;YEAR($B1262)&amp;"-"&amp;TEXT(MONTH($B1262),"00")&amp;"-"&amp;TEXT(DAY($B1262),"00")&amp;"_"&amp;$D1262,"فتح الصور ("&amp;$J1262&amp;")"))</f>
        <v/>
      </c>
      <c r="Q1262" s="24">
        <f>IF($B1262="","",MONTH($B1262))</f>
        <v/>
      </c>
      <c r="R1262" s="24">
        <f>IF($B1262="","",YEAR($B1262))</f>
        <v/>
      </c>
      <c r="S1262" s="25">
        <f>IF($B1262="","",$B1262-WEEKDAY($B1262,3))</f>
        <v/>
      </c>
      <c r="T1262" s="24">
        <f>IF($B1262="",0,IF(COUNTIFS($B$5:$B1262,$B1262,$D$5:$D1262,$D1262)=1,1,0))</f>
        <v/>
      </c>
      <c r="U1262" s="24">
        <f>IF($B1262="",0,IF(COUNTIFS($B$5:$B1262,$B1262,$C$5:$C1262,$C1262)=1,1,0))</f>
        <v/>
      </c>
      <c r="V1262" s="24">
        <f>IF(OR($B1262="",$G1262="",$G1262="لا توجد مشاهدات"),0,1)</f>
        <v/>
      </c>
      <c r="W1262" s="24">
        <f>IF(AND($B1262&lt;&gt;"",$I1262="تم تحرير مخالفة"),1,0)</f>
        <v/>
      </c>
      <c r="X1262" s="24">
        <f>IF($B1262="","",IF($S1262=WkStart,COUNTIF($S$5:$S1262,WkStart),""))</f>
        <v/>
      </c>
    </row>
    <row r="1263">
      <c r="A1263" s="16">
        <f>IF($B1263="","",ROW()-4)</f>
        <v/>
      </c>
      <c r="B1263" s="17" t="n"/>
      <c r="C1263" s="18" t="n"/>
      <c r="D1263" s="18" t="n"/>
      <c r="E1263" s="19" t="n"/>
      <c r="F1263" s="19" t="n"/>
      <c r="G1263" s="18" t="n"/>
      <c r="H1263" s="18" t="n"/>
      <c r="I1263" s="18" t="n"/>
      <c r="J1263" s="20" t="n"/>
      <c r="K1263" s="21" t="n"/>
      <c r="L1263" s="21" t="n"/>
      <c r="M1263" s="18" t="n"/>
      <c r="N1263" s="22">
        <f>IF($B1263="","",CHOOSE(WEEKDAY($B1263),"الأحد","الاثنين","الثلاثاء","الأربعاء","الخميس","الجمعة","السبت"))</f>
        <v/>
      </c>
      <c r="O1263" s="23">
        <f>IF(OR($K1263="",$L1263=""),"",HYPERLINK("https://maps.google.com/?q="&amp;$K1263&amp;","&amp;$L1263,"عرض الموقع"))</f>
        <v/>
      </c>
      <c r="P1263" s="23">
        <f>IF(OR($B1263="",N($J1263)=0),"",HYPERLINK(PhotoDir&amp;"/"&amp;YEAR($B1263)&amp;"-"&amp;TEXT(MONTH($B1263),"00")&amp;"-"&amp;TEXT(DAY($B1263),"00")&amp;"_"&amp;$D1263,"فتح الصور ("&amp;$J1263&amp;")"))</f>
        <v/>
      </c>
      <c r="Q1263" s="24">
        <f>IF($B1263="","",MONTH($B1263))</f>
        <v/>
      </c>
      <c r="R1263" s="24">
        <f>IF($B1263="","",YEAR($B1263))</f>
        <v/>
      </c>
      <c r="S1263" s="25">
        <f>IF($B1263="","",$B1263-WEEKDAY($B1263,3))</f>
        <v/>
      </c>
      <c r="T1263" s="24">
        <f>IF($B1263="",0,IF(COUNTIFS($B$5:$B1263,$B1263,$D$5:$D1263,$D1263)=1,1,0))</f>
        <v/>
      </c>
      <c r="U1263" s="24">
        <f>IF($B1263="",0,IF(COUNTIFS($B$5:$B1263,$B1263,$C$5:$C1263,$C1263)=1,1,0))</f>
        <v/>
      </c>
      <c r="V1263" s="24">
        <f>IF(OR($B1263="",$G1263="",$G1263="لا توجد مشاهدات"),0,1)</f>
        <v/>
      </c>
      <c r="W1263" s="24">
        <f>IF(AND($B1263&lt;&gt;"",$I1263="تم تحرير مخالفة"),1,0)</f>
        <v/>
      </c>
      <c r="X1263" s="24">
        <f>IF($B1263="","",IF($S1263=WkStart,COUNTIF($S$5:$S1263,WkStart),""))</f>
        <v/>
      </c>
    </row>
    <row r="1264">
      <c r="A1264" s="16">
        <f>IF($B1264="","",ROW()-4)</f>
        <v/>
      </c>
      <c r="B1264" s="17" t="n"/>
      <c r="C1264" s="18" t="n"/>
      <c r="D1264" s="18" t="n"/>
      <c r="E1264" s="19" t="n"/>
      <c r="F1264" s="19" t="n"/>
      <c r="G1264" s="18" t="n"/>
      <c r="H1264" s="18" t="n"/>
      <c r="I1264" s="18" t="n"/>
      <c r="J1264" s="20" t="n"/>
      <c r="K1264" s="21" t="n"/>
      <c r="L1264" s="21" t="n"/>
      <c r="M1264" s="18" t="n"/>
      <c r="N1264" s="22">
        <f>IF($B1264="","",CHOOSE(WEEKDAY($B1264),"الأحد","الاثنين","الثلاثاء","الأربعاء","الخميس","الجمعة","السبت"))</f>
        <v/>
      </c>
      <c r="O1264" s="23">
        <f>IF(OR($K1264="",$L1264=""),"",HYPERLINK("https://maps.google.com/?q="&amp;$K1264&amp;","&amp;$L1264,"عرض الموقع"))</f>
        <v/>
      </c>
      <c r="P1264" s="23">
        <f>IF(OR($B1264="",N($J1264)=0),"",HYPERLINK(PhotoDir&amp;"/"&amp;YEAR($B1264)&amp;"-"&amp;TEXT(MONTH($B1264),"00")&amp;"-"&amp;TEXT(DAY($B1264),"00")&amp;"_"&amp;$D1264,"فتح الصور ("&amp;$J1264&amp;")"))</f>
        <v/>
      </c>
      <c r="Q1264" s="24">
        <f>IF($B1264="","",MONTH($B1264))</f>
        <v/>
      </c>
      <c r="R1264" s="24">
        <f>IF($B1264="","",YEAR($B1264))</f>
        <v/>
      </c>
      <c r="S1264" s="25">
        <f>IF($B1264="","",$B1264-WEEKDAY($B1264,3))</f>
        <v/>
      </c>
      <c r="T1264" s="24">
        <f>IF($B1264="",0,IF(COUNTIFS($B$5:$B1264,$B1264,$D$5:$D1264,$D1264)=1,1,0))</f>
        <v/>
      </c>
      <c r="U1264" s="24">
        <f>IF($B1264="",0,IF(COUNTIFS($B$5:$B1264,$B1264,$C$5:$C1264,$C1264)=1,1,0))</f>
        <v/>
      </c>
      <c r="V1264" s="24">
        <f>IF(OR($B1264="",$G1264="",$G1264="لا توجد مشاهدات"),0,1)</f>
        <v/>
      </c>
      <c r="W1264" s="24">
        <f>IF(AND($B1264&lt;&gt;"",$I1264="تم تحرير مخالفة"),1,0)</f>
        <v/>
      </c>
      <c r="X1264" s="24">
        <f>IF($B1264="","",IF($S1264=WkStart,COUNTIF($S$5:$S1264,WkStart),""))</f>
        <v/>
      </c>
    </row>
    <row r="1265">
      <c r="A1265" s="16">
        <f>IF($B1265="","",ROW()-4)</f>
        <v/>
      </c>
      <c r="B1265" s="17" t="n"/>
      <c r="C1265" s="18" t="n"/>
      <c r="D1265" s="18" t="n"/>
      <c r="E1265" s="19" t="n"/>
      <c r="F1265" s="19" t="n"/>
      <c r="G1265" s="18" t="n"/>
      <c r="H1265" s="18" t="n"/>
      <c r="I1265" s="18" t="n"/>
      <c r="J1265" s="20" t="n"/>
      <c r="K1265" s="21" t="n"/>
      <c r="L1265" s="21" t="n"/>
      <c r="M1265" s="18" t="n"/>
      <c r="N1265" s="22">
        <f>IF($B1265="","",CHOOSE(WEEKDAY($B1265),"الأحد","الاثنين","الثلاثاء","الأربعاء","الخميس","الجمعة","السبت"))</f>
        <v/>
      </c>
      <c r="O1265" s="23">
        <f>IF(OR($K1265="",$L1265=""),"",HYPERLINK("https://maps.google.com/?q="&amp;$K1265&amp;","&amp;$L1265,"عرض الموقع"))</f>
        <v/>
      </c>
      <c r="P1265" s="23">
        <f>IF(OR($B1265="",N($J1265)=0),"",HYPERLINK(PhotoDir&amp;"/"&amp;YEAR($B1265)&amp;"-"&amp;TEXT(MONTH($B1265),"00")&amp;"-"&amp;TEXT(DAY($B1265),"00")&amp;"_"&amp;$D1265,"فتح الصور ("&amp;$J1265&amp;")"))</f>
        <v/>
      </c>
      <c r="Q1265" s="24">
        <f>IF($B1265="","",MONTH($B1265))</f>
        <v/>
      </c>
      <c r="R1265" s="24">
        <f>IF($B1265="","",YEAR($B1265))</f>
        <v/>
      </c>
      <c r="S1265" s="25">
        <f>IF($B1265="","",$B1265-WEEKDAY($B1265,3))</f>
        <v/>
      </c>
      <c r="T1265" s="24">
        <f>IF($B1265="",0,IF(COUNTIFS($B$5:$B1265,$B1265,$D$5:$D1265,$D1265)=1,1,0))</f>
        <v/>
      </c>
      <c r="U1265" s="24">
        <f>IF($B1265="",0,IF(COUNTIFS($B$5:$B1265,$B1265,$C$5:$C1265,$C1265)=1,1,0))</f>
        <v/>
      </c>
      <c r="V1265" s="24">
        <f>IF(OR($B1265="",$G1265="",$G1265="لا توجد مشاهدات"),0,1)</f>
        <v/>
      </c>
      <c r="W1265" s="24">
        <f>IF(AND($B1265&lt;&gt;"",$I1265="تم تحرير مخالفة"),1,0)</f>
        <v/>
      </c>
      <c r="X1265" s="24">
        <f>IF($B1265="","",IF($S1265=WkStart,COUNTIF($S$5:$S1265,WkStart),""))</f>
        <v/>
      </c>
    </row>
    <row r="1266">
      <c r="A1266" s="16">
        <f>IF($B1266="","",ROW()-4)</f>
        <v/>
      </c>
      <c r="B1266" s="17" t="n"/>
      <c r="C1266" s="18" t="n"/>
      <c r="D1266" s="18" t="n"/>
      <c r="E1266" s="19" t="n"/>
      <c r="F1266" s="19" t="n"/>
      <c r="G1266" s="18" t="n"/>
      <c r="H1266" s="18" t="n"/>
      <c r="I1266" s="18" t="n"/>
      <c r="J1266" s="20" t="n"/>
      <c r="K1266" s="21" t="n"/>
      <c r="L1266" s="21" t="n"/>
      <c r="M1266" s="18" t="n"/>
      <c r="N1266" s="22">
        <f>IF($B1266="","",CHOOSE(WEEKDAY($B1266),"الأحد","الاثنين","الثلاثاء","الأربعاء","الخميس","الجمعة","السبت"))</f>
        <v/>
      </c>
      <c r="O1266" s="23">
        <f>IF(OR($K1266="",$L1266=""),"",HYPERLINK("https://maps.google.com/?q="&amp;$K1266&amp;","&amp;$L1266,"عرض الموقع"))</f>
        <v/>
      </c>
      <c r="P1266" s="23">
        <f>IF(OR($B1266="",N($J1266)=0),"",HYPERLINK(PhotoDir&amp;"/"&amp;YEAR($B1266)&amp;"-"&amp;TEXT(MONTH($B1266),"00")&amp;"-"&amp;TEXT(DAY($B1266),"00")&amp;"_"&amp;$D1266,"فتح الصور ("&amp;$J1266&amp;")"))</f>
        <v/>
      </c>
      <c r="Q1266" s="24">
        <f>IF($B1266="","",MONTH($B1266))</f>
        <v/>
      </c>
      <c r="R1266" s="24">
        <f>IF($B1266="","",YEAR($B1266))</f>
        <v/>
      </c>
      <c r="S1266" s="25">
        <f>IF($B1266="","",$B1266-WEEKDAY($B1266,3))</f>
        <v/>
      </c>
      <c r="T1266" s="24">
        <f>IF($B1266="",0,IF(COUNTIFS($B$5:$B1266,$B1266,$D$5:$D1266,$D1266)=1,1,0))</f>
        <v/>
      </c>
      <c r="U1266" s="24">
        <f>IF($B1266="",0,IF(COUNTIFS($B$5:$B1266,$B1266,$C$5:$C1266,$C1266)=1,1,0))</f>
        <v/>
      </c>
      <c r="V1266" s="24">
        <f>IF(OR($B1266="",$G1266="",$G1266="لا توجد مشاهدات"),0,1)</f>
        <v/>
      </c>
      <c r="W1266" s="24">
        <f>IF(AND($B1266&lt;&gt;"",$I1266="تم تحرير مخالفة"),1,0)</f>
        <v/>
      </c>
      <c r="X1266" s="24">
        <f>IF($B1266="","",IF($S1266=WkStart,COUNTIF($S$5:$S1266,WkStart),""))</f>
        <v/>
      </c>
    </row>
    <row r="1267">
      <c r="A1267" s="16">
        <f>IF($B1267="","",ROW()-4)</f>
        <v/>
      </c>
      <c r="B1267" s="17" t="n"/>
      <c r="C1267" s="18" t="n"/>
      <c r="D1267" s="18" t="n"/>
      <c r="E1267" s="19" t="n"/>
      <c r="F1267" s="19" t="n"/>
      <c r="G1267" s="18" t="n"/>
      <c r="H1267" s="18" t="n"/>
      <c r="I1267" s="18" t="n"/>
      <c r="J1267" s="20" t="n"/>
      <c r="K1267" s="21" t="n"/>
      <c r="L1267" s="21" t="n"/>
      <c r="M1267" s="18" t="n"/>
      <c r="N1267" s="22">
        <f>IF($B1267="","",CHOOSE(WEEKDAY($B1267),"الأحد","الاثنين","الثلاثاء","الأربعاء","الخميس","الجمعة","السبت"))</f>
        <v/>
      </c>
      <c r="O1267" s="23">
        <f>IF(OR($K1267="",$L1267=""),"",HYPERLINK("https://maps.google.com/?q="&amp;$K1267&amp;","&amp;$L1267,"عرض الموقع"))</f>
        <v/>
      </c>
      <c r="P1267" s="23">
        <f>IF(OR($B1267="",N($J1267)=0),"",HYPERLINK(PhotoDir&amp;"/"&amp;YEAR($B1267)&amp;"-"&amp;TEXT(MONTH($B1267),"00")&amp;"-"&amp;TEXT(DAY($B1267),"00")&amp;"_"&amp;$D1267,"فتح الصور ("&amp;$J1267&amp;")"))</f>
        <v/>
      </c>
      <c r="Q1267" s="24">
        <f>IF($B1267="","",MONTH($B1267))</f>
        <v/>
      </c>
      <c r="R1267" s="24">
        <f>IF($B1267="","",YEAR($B1267))</f>
        <v/>
      </c>
      <c r="S1267" s="25">
        <f>IF($B1267="","",$B1267-WEEKDAY($B1267,3))</f>
        <v/>
      </c>
      <c r="T1267" s="24">
        <f>IF($B1267="",0,IF(COUNTIFS($B$5:$B1267,$B1267,$D$5:$D1267,$D1267)=1,1,0))</f>
        <v/>
      </c>
      <c r="U1267" s="24">
        <f>IF($B1267="",0,IF(COUNTIFS($B$5:$B1267,$B1267,$C$5:$C1267,$C1267)=1,1,0))</f>
        <v/>
      </c>
      <c r="V1267" s="24">
        <f>IF(OR($B1267="",$G1267="",$G1267="لا توجد مشاهدات"),0,1)</f>
        <v/>
      </c>
      <c r="W1267" s="24">
        <f>IF(AND($B1267&lt;&gt;"",$I1267="تم تحرير مخالفة"),1,0)</f>
        <v/>
      </c>
      <c r="X1267" s="24">
        <f>IF($B1267="","",IF($S1267=WkStart,COUNTIF($S$5:$S1267,WkStart),""))</f>
        <v/>
      </c>
    </row>
    <row r="1268">
      <c r="A1268" s="16">
        <f>IF($B1268="","",ROW()-4)</f>
        <v/>
      </c>
      <c r="B1268" s="17" t="n"/>
      <c r="C1268" s="18" t="n"/>
      <c r="D1268" s="18" t="n"/>
      <c r="E1268" s="19" t="n"/>
      <c r="F1268" s="19" t="n"/>
      <c r="G1268" s="18" t="n"/>
      <c r="H1268" s="18" t="n"/>
      <c r="I1268" s="18" t="n"/>
      <c r="J1268" s="20" t="n"/>
      <c r="K1268" s="21" t="n"/>
      <c r="L1268" s="21" t="n"/>
      <c r="M1268" s="18" t="n"/>
      <c r="N1268" s="22">
        <f>IF($B1268="","",CHOOSE(WEEKDAY($B1268),"الأحد","الاثنين","الثلاثاء","الأربعاء","الخميس","الجمعة","السبت"))</f>
        <v/>
      </c>
      <c r="O1268" s="23">
        <f>IF(OR($K1268="",$L1268=""),"",HYPERLINK("https://maps.google.com/?q="&amp;$K1268&amp;","&amp;$L1268,"عرض الموقع"))</f>
        <v/>
      </c>
      <c r="P1268" s="23">
        <f>IF(OR($B1268="",N($J1268)=0),"",HYPERLINK(PhotoDir&amp;"/"&amp;YEAR($B1268)&amp;"-"&amp;TEXT(MONTH($B1268),"00")&amp;"-"&amp;TEXT(DAY($B1268),"00")&amp;"_"&amp;$D1268,"فتح الصور ("&amp;$J1268&amp;")"))</f>
        <v/>
      </c>
      <c r="Q1268" s="24">
        <f>IF($B1268="","",MONTH($B1268))</f>
        <v/>
      </c>
      <c r="R1268" s="24">
        <f>IF($B1268="","",YEAR($B1268))</f>
        <v/>
      </c>
      <c r="S1268" s="25">
        <f>IF($B1268="","",$B1268-WEEKDAY($B1268,3))</f>
        <v/>
      </c>
      <c r="T1268" s="24">
        <f>IF($B1268="",0,IF(COUNTIFS($B$5:$B1268,$B1268,$D$5:$D1268,$D1268)=1,1,0))</f>
        <v/>
      </c>
      <c r="U1268" s="24">
        <f>IF($B1268="",0,IF(COUNTIFS($B$5:$B1268,$B1268,$C$5:$C1268,$C1268)=1,1,0))</f>
        <v/>
      </c>
      <c r="V1268" s="24">
        <f>IF(OR($B1268="",$G1268="",$G1268="لا توجد مشاهدات"),0,1)</f>
        <v/>
      </c>
      <c r="W1268" s="24">
        <f>IF(AND($B1268&lt;&gt;"",$I1268="تم تحرير مخالفة"),1,0)</f>
        <v/>
      </c>
      <c r="X1268" s="24">
        <f>IF($B1268="","",IF($S1268=WkStart,COUNTIF($S$5:$S1268,WkStart),""))</f>
        <v/>
      </c>
    </row>
    <row r="1269">
      <c r="A1269" s="16">
        <f>IF($B1269="","",ROW()-4)</f>
        <v/>
      </c>
      <c r="B1269" s="17" t="n"/>
      <c r="C1269" s="18" t="n"/>
      <c r="D1269" s="18" t="n"/>
      <c r="E1269" s="19" t="n"/>
      <c r="F1269" s="19" t="n"/>
      <c r="G1269" s="18" t="n"/>
      <c r="H1269" s="18" t="n"/>
      <c r="I1269" s="18" t="n"/>
      <c r="J1269" s="20" t="n"/>
      <c r="K1269" s="21" t="n"/>
      <c r="L1269" s="21" t="n"/>
      <c r="M1269" s="18" t="n"/>
      <c r="N1269" s="22">
        <f>IF($B1269="","",CHOOSE(WEEKDAY($B1269),"الأحد","الاثنين","الثلاثاء","الأربعاء","الخميس","الجمعة","السبت"))</f>
        <v/>
      </c>
      <c r="O1269" s="23">
        <f>IF(OR($K1269="",$L1269=""),"",HYPERLINK("https://maps.google.com/?q="&amp;$K1269&amp;","&amp;$L1269,"عرض الموقع"))</f>
        <v/>
      </c>
      <c r="P1269" s="23">
        <f>IF(OR($B1269="",N($J1269)=0),"",HYPERLINK(PhotoDir&amp;"/"&amp;YEAR($B1269)&amp;"-"&amp;TEXT(MONTH($B1269),"00")&amp;"-"&amp;TEXT(DAY($B1269),"00")&amp;"_"&amp;$D1269,"فتح الصور ("&amp;$J1269&amp;")"))</f>
        <v/>
      </c>
      <c r="Q1269" s="24">
        <f>IF($B1269="","",MONTH($B1269))</f>
        <v/>
      </c>
      <c r="R1269" s="24">
        <f>IF($B1269="","",YEAR($B1269))</f>
        <v/>
      </c>
      <c r="S1269" s="25">
        <f>IF($B1269="","",$B1269-WEEKDAY($B1269,3))</f>
        <v/>
      </c>
      <c r="T1269" s="24">
        <f>IF($B1269="",0,IF(COUNTIFS($B$5:$B1269,$B1269,$D$5:$D1269,$D1269)=1,1,0))</f>
        <v/>
      </c>
      <c r="U1269" s="24">
        <f>IF($B1269="",0,IF(COUNTIFS($B$5:$B1269,$B1269,$C$5:$C1269,$C1269)=1,1,0))</f>
        <v/>
      </c>
      <c r="V1269" s="24">
        <f>IF(OR($B1269="",$G1269="",$G1269="لا توجد مشاهدات"),0,1)</f>
        <v/>
      </c>
      <c r="W1269" s="24">
        <f>IF(AND($B1269&lt;&gt;"",$I1269="تم تحرير مخالفة"),1,0)</f>
        <v/>
      </c>
      <c r="X1269" s="24">
        <f>IF($B1269="","",IF($S1269=WkStart,COUNTIF($S$5:$S1269,WkStart),""))</f>
        <v/>
      </c>
    </row>
    <row r="1270">
      <c r="A1270" s="16">
        <f>IF($B1270="","",ROW()-4)</f>
        <v/>
      </c>
      <c r="B1270" s="17" t="n"/>
      <c r="C1270" s="18" t="n"/>
      <c r="D1270" s="18" t="n"/>
      <c r="E1270" s="19" t="n"/>
      <c r="F1270" s="19" t="n"/>
      <c r="G1270" s="18" t="n"/>
      <c r="H1270" s="18" t="n"/>
      <c r="I1270" s="18" t="n"/>
      <c r="J1270" s="20" t="n"/>
      <c r="K1270" s="21" t="n"/>
      <c r="L1270" s="21" t="n"/>
      <c r="M1270" s="18" t="n"/>
      <c r="N1270" s="22">
        <f>IF($B1270="","",CHOOSE(WEEKDAY($B1270),"الأحد","الاثنين","الثلاثاء","الأربعاء","الخميس","الجمعة","السبت"))</f>
        <v/>
      </c>
      <c r="O1270" s="23">
        <f>IF(OR($K1270="",$L1270=""),"",HYPERLINK("https://maps.google.com/?q="&amp;$K1270&amp;","&amp;$L1270,"عرض الموقع"))</f>
        <v/>
      </c>
      <c r="P1270" s="23">
        <f>IF(OR($B1270="",N($J1270)=0),"",HYPERLINK(PhotoDir&amp;"/"&amp;YEAR($B1270)&amp;"-"&amp;TEXT(MONTH($B1270),"00")&amp;"-"&amp;TEXT(DAY($B1270),"00")&amp;"_"&amp;$D1270,"فتح الصور ("&amp;$J1270&amp;")"))</f>
        <v/>
      </c>
      <c r="Q1270" s="24">
        <f>IF($B1270="","",MONTH($B1270))</f>
        <v/>
      </c>
      <c r="R1270" s="24">
        <f>IF($B1270="","",YEAR($B1270))</f>
        <v/>
      </c>
      <c r="S1270" s="25">
        <f>IF($B1270="","",$B1270-WEEKDAY($B1270,3))</f>
        <v/>
      </c>
      <c r="T1270" s="24">
        <f>IF($B1270="",0,IF(COUNTIFS($B$5:$B1270,$B1270,$D$5:$D1270,$D1270)=1,1,0))</f>
        <v/>
      </c>
      <c r="U1270" s="24">
        <f>IF($B1270="",0,IF(COUNTIFS($B$5:$B1270,$B1270,$C$5:$C1270,$C1270)=1,1,0))</f>
        <v/>
      </c>
      <c r="V1270" s="24">
        <f>IF(OR($B1270="",$G1270="",$G1270="لا توجد مشاهدات"),0,1)</f>
        <v/>
      </c>
      <c r="W1270" s="24">
        <f>IF(AND($B1270&lt;&gt;"",$I1270="تم تحرير مخالفة"),1,0)</f>
        <v/>
      </c>
      <c r="X1270" s="24">
        <f>IF($B1270="","",IF($S1270=WkStart,COUNTIF($S$5:$S1270,WkStart),""))</f>
        <v/>
      </c>
    </row>
    <row r="1271">
      <c r="A1271" s="16">
        <f>IF($B1271="","",ROW()-4)</f>
        <v/>
      </c>
      <c r="B1271" s="17" t="n"/>
      <c r="C1271" s="18" t="n"/>
      <c r="D1271" s="18" t="n"/>
      <c r="E1271" s="19" t="n"/>
      <c r="F1271" s="19" t="n"/>
      <c r="G1271" s="18" t="n"/>
      <c r="H1271" s="18" t="n"/>
      <c r="I1271" s="18" t="n"/>
      <c r="J1271" s="20" t="n"/>
      <c r="K1271" s="21" t="n"/>
      <c r="L1271" s="21" t="n"/>
      <c r="M1271" s="18" t="n"/>
      <c r="N1271" s="22">
        <f>IF($B1271="","",CHOOSE(WEEKDAY($B1271),"الأحد","الاثنين","الثلاثاء","الأربعاء","الخميس","الجمعة","السبت"))</f>
        <v/>
      </c>
      <c r="O1271" s="23">
        <f>IF(OR($K1271="",$L1271=""),"",HYPERLINK("https://maps.google.com/?q="&amp;$K1271&amp;","&amp;$L1271,"عرض الموقع"))</f>
        <v/>
      </c>
      <c r="P1271" s="23">
        <f>IF(OR($B1271="",N($J1271)=0),"",HYPERLINK(PhotoDir&amp;"/"&amp;YEAR($B1271)&amp;"-"&amp;TEXT(MONTH($B1271),"00")&amp;"-"&amp;TEXT(DAY($B1271),"00")&amp;"_"&amp;$D1271,"فتح الصور ("&amp;$J1271&amp;")"))</f>
        <v/>
      </c>
      <c r="Q1271" s="24">
        <f>IF($B1271="","",MONTH($B1271))</f>
        <v/>
      </c>
      <c r="R1271" s="24">
        <f>IF($B1271="","",YEAR($B1271))</f>
        <v/>
      </c>
      <c r="S1271" s="25">
        <f>IF($B1271="","",$B1271-WEEKDAY($B1271,3))</f>
        <v/>
      </c>
      <c r="T1271" s="24">
        <f>IF($B1271="",0,IF(COUNTIFS($B$5:$B1271,$B1271,$D$5:$D1271,$D1271)=1,1,0))</f>
        <v/>
      </c>
      <c r="U1271" s="24">
        <f>IF($B1271="",0,IF(COUNTIFS($B$5:$B1271,$B1271,$C$5:$C1271,$C1271)=1,1,0))</f>
        <v/>
      </c>
      <c r="V1271" s="24">
        <f>IF(OR($B1271="",$G1271="",$G1271="لا توجد مشاهدات"),0,1)</f>
        <v/>
      </c>
      <c r="W1271" s="24">
        <f>IF(AND($B1271&lt;&gt;"",$I1271="تم تحرير مخالفة"),1,0)</f>
        <v/>
      </c>
      <c r="X1271" s="24">
        <f>IF($B1271="","",IF($S1271=WkStart,COUNTIF($S$5:$S1271,WkStart),""))</f>
        <v/>
      </c>
    </row>
    <row r="1272">
      <c r="A1272" s="16">
        <f>IF($B1272="","",ROW()-4)</f>
        <v/>
      </c>
      <c r="B1272" s="17" t="n"/>
      <c r="C1272" s="18" t="n"/>
      <c r="D1272" s="18" t="n"/>
      <c r="E1272" s="19" t="n"/>
      <c r="F1272" s="19" t="n"/>
      <c r="G1272" s="18" t="n"/>
      <c r="H1272" s="18" t="n"/>
      <c r="I1272" s="18" t="n"/>
      <c r="J1272" s="20" t="n"/>
      <c r="K1272" s="21" t="n"/>
      <c r="L1272" s="21" t="n"/>
      <c r="M1272" s="18" t="n"/>
      <c r="N1272" s="22">
        <f>IF($B1272="","",CHOOSE(WEEKDAY($B1272),"الأحد","الاثنين","الثلاثاء","الأربعاء","الخميس","الجمعة","السبت"))</f>
        <v/>
      </c>
      <c r="O1272" s="23">
        <f>IF(OR($K1272="",$L1272=""),"",HYPERLINK("https://maps.google.com/?q="&amp;$K1272&amp;","&amp;$L1272,"عرض الموقع"))</f>
        <v/>
      </c>
      <c r="P1272" s="23">
        <f>IF(OR($B1272="",N($J1272)=0),"",HYPERLINK(PhotoDir&amp;"/"&amp;YEAR($B1272)&amp;"-"&amp;TEXT(MONTH($B1272),"00")&amp;"-"&amp;TEXT(DAY($B1272),"00")&amp;"_"&amp;$D1272,"فتح الصور ("&amp;$J1272&amp;")"))</f>
        <v/>
      </c>
      <c r="Q1272" s="24">
        <f>IF($B1272="","",MONTH($B1272))</f>
        <v/>
      </c>
      <c r="R1272" s="24">
        <f>IF($B1272="","",YEAR($B1272))</f>
        <v/>
      </c>
      <c r="S1272" s="25">
        <f>IF($B1272="","",$B1272-WEEKDAY($B1272,3))</f>
        <v/>
      </c>
      <c r="T1272" s="24">
        <f>IF($B1272="",0,IF(COUNTIFS($B$5:$B1272,$B1272,$D$5:$D1272,$D1272)=1,1,0))</f>
        <v/>
      </c>
      <c r="U1272" s="24">
        <f>IF($B1272="",0,IF(COUNTIFS($B$5:$B1272,$B1272,$C$5:$C1272,$C1272)=1,1,0))</f>
        <v/>
      </c>
      <c r="V1272" s="24">
        <f>IF(OR($B1272="",$G1272="",$G1272="لا توجد مشاهدات"),0,1)</f>
        <v/>
      </c>
      <c r="W1272" s="24">
        <f>IF(AND($B1272&lt;&gt;"",$I1272="تم تحرير مخالفة"),1,0)</f>
        <v/>
      </c>
      <c r="X1272" s="24">
        <f>IF($B1272="","",IF($S1272=WkStart,COUNTIF($S$5:$S1272,WkStart),""))</f>
        <v/>
      </c>
    </row>
    <row r="1273">
      <c r="A1273" s="16">
        <f>IF($B1273="","",ROW()-4)</f>
        <v/>
      </c>
      <c r="B1273" s="17" t="n"/>
      <c r="C1273" s="18" t="n"/>
      <c r="D1273" s="18" t="n"/>
      <c r="E1273" s="19" t="n"/>
      <c r="F1273" s="19" t="n"/>
      <c r="G1273" s="18" t="n"/>
      <c r="H1273" s="18" t="n"/>
      <c r="I1273" s="18" t="n"/>
      <c r="J1273" s="20" t="n"/>
      <c r="K1273" s="21" t="n"/>
      <c r="L1273" s="21" t="n"/>
      <c r="M1273" s="18" t="n"/>
      <c r="N1273" s="22">
        <f>IF($B1273="","",CHOOSE(WEEKDAY($B1273),"الأحد","الاثنين","الثلاثاء","الأربعاء","الخميس","الجمعة","السبت"))</f>
        <v/>
      </c>
      <c r="O1273" s="23">
        <f>IF(OR($K1273="",$L1273=""),"",HYPERLINK("https://maps.google.com/?q="&amp;$K1273&amp;","&amp;$L1273,"عرض الموقع"))</f>
        <v/>
      </c>
      <c r="P1273" s="23">
        <f>IF(OR($B1273="",N($J1273)=0),"",HYPERLINK(PhotoDir&amp;"/"&amp;YEAR($B1273)&amp;"-"&amp;TEXT(MONTH($B1273),"00")&amp;"-"&amp;TEXT(DAY($B1273),"00")&amp;"_"&amp;$D1273,"فتح الصور ("&amp;$J1273&amp;")"))</f>
        <v/>
      </c>
      <c r="Q1273" s="24">
        <f>IF($B1273="","",MONTH($B1273))</f>
        <v/>
      </c>
      <c r="R1273" s="24">
        <f>IF($B1273="","",YEAR($B1273))</f>
        <v/>
      </c>
      <c r="S1273" s="25">
        <f>IF($B1273="","",$B1273-WEEKDAY($B1273,3))</f>
        <v/>
      </c>
      <c r="T1273" s="24">
        <f>IF($B1273="",0,IF(COUNTIFS($B$5:$B1273,$B1273,$D$5:$D1273,$D1273)=1,1,0))</f>
        <v/>
      </c>
      <c r="U1273" s="24">
        <f>IF($B1273="",0,IF(COUNTIFS($B$5:$B1273,$B1273,$C$5:$C1273,$C1273)=1,1,0))</f>
        <v/>
      </c>
      <c r="V1273" s="24">
        <f>IF(OR($B1273="",$G1273="",$G1273="لا توجد مشاهدات"),0,1)</f>
        <v/>
      </c>
      <c r="W1273" s="24">
        <f>IF(AND($B1273&lt;&gt;"",$I1273="تم تحرير مخالفة"),1,0)</f>
        <v/>
      </c>
      <c r="X1273" s="24">
        <f>IF($B1273="","",IF($S1273=WkStart,COUNTIF($S$5:$S1273,WkStart),""))</f>
        <v/>
      </c>
    </row>
    <row r="1274">
      <c r="A1274" s="16">
        <f>IF($B1274="","",ROW()-4)</f>
        <v/>
      </c>
      <c r="B1274" s="17" t="n"/>
      <c r="C1274" s="18" t="n"/>
      <c r="D1274" s="18" t="n"/>
      <c r="E1274" s="19" t="n"/>
      <c r="F1274" s="19" t="n"/>
      <c r="G1274" s="18" t="n"/>
      <c r="H1274" s="18" t="n"/>
      <c r="I1274" s="18" t="n"/>
      <c r="J1274" s="20" t="n"/>
      <c r="K1274" s="21" t="n"/>
      <c r="L1274" s="21" t="n"/>
      <c r="M1274" s="18" t="n"/>
      <c r="N1274" s="22">
        <f>IF($B1274="","",CHOOSE(WEEKDAY($B1274),"الأحد","الاثنين","الثلاثاء","الأربعاء","الخميس","الجمعة","السبت"))</f>
        <v/>
      </c>
      <c r="O1274" s="23">
        <f>IF(OR($K1274="",$L1274=""),"",HYPERLINK("https://maps.google.com/?q="&amp;$K1274&amp;","&amp;$L1274,"عرض الموقع"))</f>
        <v/>
      </c>
      <c r="P1274" s="23">
        <f>IF(OR($B1274="",N($J1274)=0),"",HYPERLINK(PhotoDir&amp;"/"&amp;YEAR($B1274)&amp;"-"&amp;TEXT(MONTH($B1274),"00")&amp;"-"&amp;TEXT(DAY($B1274),"00")&amp;"_"&amp;$D1274,"فتح الصور ("&amp;$J1274&amp;")"))</f>
        <v/>
      </c>
      <c r="Q1274" s="24">
        <f>IF($B1274="","",MONTH($B1274))</f>
        <v/>
      </c>
      <c r="R1274" s="24">
        <f>IF($B1274="","",YEAR($B1274))</f>
        <v/>
      </c>
      <c r="S1274" s="25">
        <f>IF($B1274="","",$B1274-WEEKDAY($B1274,3))</f>
        <v/>
      </c>
      <c r="T1274" s="24">
        <f>IF($B1274="",0,IF(COUNTIFS($B$5:$B1274,$B1274,$D$5:$D1274,$D1274)=1,1,0))</f>
        <v/>
      </c>
      <c r="U1274" s="24">
        <f>IF($B1274="",0,IF(COUNTIFS($B$5:$B1274,$B1274,$C$5:$C1274,$C1274)=1,1,0))</f>
        <v/>
      </c>
      <c r="V1274" s="24">
        <f>IF(OR($B1274="",$G1274="",$G1274="لا توجد مشاهدات"),0,1)</f>
        <v/>
      </c>
      <c r="W1274" s="24">
        <f>IF(AND($B1274&lt;&gt;"",$I1274="تم تحرير مخالفة"),1,0)</f>
        <v/>
      </c>
      <c r="X1274" s="24">
        <f>IF($B1274="","",IF($S1274=WkStart,COUNTIF($S$5:$S1274,WkStart),""))</f>
        <v/>
      </c>
    </row>
    <row r="1275">
      <c r="A1275" s="16">
        <f>IF($B1275="","",ROW()-4)</f>
        <v/>
      </c>
      <c r="B1275" s="17" t="n"/>
      <c r="C1275" s="18" t="n"/>
      <c r="D1275" s="18" t="n"/>
      <c r="E1275" s="19" t="n"/>
      <c r="F1275" s="19" t="n"/>
      <c r="G1275" s="18" t="n"/>
      <c r="H1275" s="18" t="n"/>
      <c r="I1275" s="18" t="n"/>
      <c r="J1275" s="20" t="n"/>
      <c r="K1275" s="21" t="n"/>
      <c r="L1275" s="21" t="n"/>
      <c r="M1275" s="18" t="n"/>
      <c r="N1275" s="22">
        <f>IF($B1275="","",CHOOSE(WEEKDAY($B1275),"الأحد","الاثنين","الثلاثاء","الأربعاء","الخميس","الجمعة","السبت"))</f>
        <v/>
      </c>
      <c r="O1275" s="23">
        <f>IF(OR($K1275="",$L1275=""),"",HYPERLINK("https://maps.google.com/?q="&amp;$K1275&amp;","&amp;$L1275,"عرض الموقع"))</f>
        <v/>
      </c>
      <c r="P1275" s="23">
        <f>IF(OR($B1275="",N($J1275)=0),"",HYPERLINK(PhotoDir&amp;"/"&amp;YEAR($B1275)&amp;"-"&amp;TEXT(MONTH($B1275),"00")&amp;"-"&amp;TEXT(DAY($B1275),"00")&amp;"_"&amp;$D1275,"فتح الصور ("&amp;$J1275&amp;")"))</f>
        <v/>
      </c>
      <c r="Q1275" s="24">
        <f>IF($B1275="","",MONTH($B1275))</f>
        <v/>
      </c>
      <c r="R1275" s="24">
        <f>IF($B1275="","",YEAR($B1275))</f>
        <v/>
      </c>
      <c r="S1275" s="25">
        <f>IF($B1275="","",$B1275-WEEKDAY($B1275,3))</f>
        <v/>
      </c>
      <c r="T1275" s="24">
        <f>IF($B1275="",0,IF(COUNTIFS($B$5:$B1275,$B1275,$D$5:$D1275,$D1275)=1,1,0))</f>
        <v/>
      </c>
      <c r="U1275" s="24">
        <f>IF($B1275="",0,IF(COUNTIFS($B$5:$B1275,$B1275,$C$5:$C1275,$C1275)=1,1,0))</f>
        <v/>
      </c>
      <c r="V1275" s="24">
        <f>IF(OR($B1275="",$G1275="",$G1275="لا توجد مشاهدات"),0,1)</f>
        <v/>
      </c>
      <c r="W1275" s="24">
        <f>IF(AND($B1275&lt;&gt;"",$I1275="تم تحرير مخالفة"),1,0)</f>
        <v/>
      </c>
      <c r="X1275" s="24">
        <f>IF($B1275="","",IF($S1275=WkStart,COUNTIF($S$5:$S1275,WkStart),""))</f>
        <v/>
      </c>
    </row>
    <row r="1276">
      <c r="A1276" s="16">
        <f>IF($B1276="","",ROW()-4)</f>
        <v/>
      </c>
      <c r="B1276" s="17" t="n"/>
      <c r="C1276" s="18" t="n"/>
      <c r="D1276" s="18" t="n"/>
      <c r="E1276" s="19" t="n"/>
      <c r="F1276" s="19" t="n"/>
      <c r="G1276" s="18" t="n"/>
      <c r="H1276" s="18" t="n"/>
      <c r="I1276" s="18" t="n"/>
      <c r="J1276" s="20" t="n"/>
      <c r="K1276" s="21" t="n"/>
      <c r="L1276" s="21" t="n"/>
      <c r="M1276" s="18" t="n"/>
      <c r="N1276" s="22">
        <f>IF($B1276="","",CHOOSE(WEEKDAY($B1276),"الأحد","الاثنين","الثلاثاء","الأربعاء","الخميس","الجمعة","السبت"))</f>
        <v/>
      </c>
      <c r="O1276" s="23">
        <f>IF(OR($K1276="",$L1276=""),"",HYPERLINK("https://maps.google.com/?q="&amp;$K1276&amp;","&amp;$L1276,"عرض الموقع"))</f>
        <v/>
      </c>
      <c r="P1276" s="23">
        <f>IF(OR($B1276="",N($J1276)=0),"",HYPERLINK(PhotoDir&amp;"/"&amp;YEAR($B1276)&amp;"-"&amp;TEXT(MONTH($B1276),"00")&amp;"-"&amp;TEXT(DAY($B1276),"00")&amp;"_"&amp;$D1276,"فتح الصور ("&amp;$J1276&amp;")"))</f>
        <v/>
      </c>
      <c r="Q1276" s="24">
        <f>IF($B1276="","",MONTH($B1276))</f>
        <v/>
      </c>
      <c r="R1276" s="24">
        <f>IF($B1276="","",YEAR($B1276))</f>
        <v/>
      </c>
      <c r="S1276" s="25">
        <f>IF($B1276="","",$B1276-WEEKDAY($B1276,3))</f>
        <v/>
      </c>
      <c r="T1276" s="24">
        <f>IF($B1276="",0,IF(COUNTIFS($B$5:$B1276,$B1276,$D$5:$D1276,$D1276)=1,1,0))</f>
        <v/>
      </c>
      <c r="U1276" s="24">
        <f>IF($B1276="",0,IF(COUNTIFS($B$5:$B1276,$B1276,$C$5:$C1276,$C1276)=1,1,0))</f>
        <v/>
      </c>
      <c r="V1276" s="24">
        <f>IF(OR($B1276="",$G1276="",$G1276="لا توجد مشاهدات"),0,1)</f>
        <v/>
      </c>
      <c r="W1276" s="24">
        <f>IF(AND($B1276&lt;&gt;"",$I1276="تم تحرير مخالفة"),1,0)</f>
        <v/>
      </c>
      <c r="X1276" s="24">
        <f>IF($B1276="","",IF($S1276=WkStart,COUNTIF($S$5:$S1276,WkStart),""))</f>
        <v/>
      </c>
    </row>
    <row r="1277">
      <c r="A1277" s="16">
        <f>IF($B1277="","",ROW()-4)</f>
        <v/>
      </c>
      <c r="B1277" s="17" t="n"/>
      <c r="C1277" s="18" t="n"/>
      <c r="D1277" s="18" t="n"/>
      <c r="E1277" s="19" t="n"/>
      <c r="F1277" s="19" t="n"/>
      <c r="G1277" s="18" t="n"/>
      <c r="H1277" s="18" t="n"/>
      <c r="I1277" s="18" t="n"/>
      <c r="J1277" s="20" t="n"/>
      <c r="K1277" s="21" t="n"/>
      <c r="L1277" s="21" t="n"/>
      <c r="M1277" s="18" t="n"/>
      <c r="N1277" s="22">
        <f>IF($B1277="","",CHOOSE(WEEKDAY($B1277),"الأحد","الاثنين","الثلاثاء","الأربعاء","الخميس","الجمعة","السبت"))</f>
        <v/>
      </c>
      <c r="O1277" s="23">
        <f>IF(OR($K1277="",$L1277=""),"",HYPERLINK("https://maps.google.com/?q="&amp;$K1277&amp;","&amp;$L1277,"عرض الموقع"))</f>
        <v/>
      </c>
      <c r="P1277" s="23">
        <f>IF(OR($B1277="",N($J1277)=0),"",HYPERLINK(PhotoDir&amp;"/"&amp;YEAR($B1277)&amp;"-"&amp;TEXT(MONTH($B1277),"00")&amp;"-"&amp;TEXT(DAY($B1277),"00")&amp;"_"&amp;$D1277,"فتح الصور ("&amp;$J1277&amp;")"))</f>
        <v/>
      </c>
      <c r="Q1277" s="24">
        <f>IF($B1277="","",MONTH($B1277))</f>
        <v/>
      </c>
      <c r="R1277" s="24">
        <f>IF($B1277="","",YEAR($B1277))</f>
        <v/>
      </c>
      <c r="S1277" s="25">
        <f>IF($B1277="","",$B1277-WEEKDAY($B1277,3))</f>
        <v/>
      </c>
      <c r="T1277" s="24">
        <f>IF($B1277="",0,IF(COUNTIFS($B$5:$B1277,$B1277,$D$5:$D1277,$D1277)=1,1,0))</f>
        <v/>
      </c>
      <c r="U1277" s="24">
        <f>IF($B1277="",0,IF(COUNTIFS($B$5:$B1277,$B1277,$C$5:$C1277,$C1277)=1,1,0))</f>
        <v/>
      </c>
      <c r="V1277" s="24">
        <f>IF(OR($B1277="",$G1277="",$G1277="لا توجد مشاهدات"),0,1)</f>
        <v/>
      </c>
      <c r="W1277" s="24">
        <f>IF(AND($B1277&lt;&gt;"",$I1277="تم تحرير مخالفة"),1,0)</f>
        <v/>
      </c>
      <c r="X1277" s="24">
        <f>IF($B1277="","",IF($S1277=WkStart,COUNTIF($S$5:$S1277,WkStart),""))</f>
        <v/>
      </c>
    </row>
    <row r="1278">
      <c r="A1278" s="16">
        <f>IF($B1278="","",ROW()-4)</f>
        <v/>
      </c>
      <c r="B1278" s="17" t="n"/>
      <c r="C1278" s="18" t="n"/>
      <c r="D1278" s="18" t="n"/>
      <c r="E1278" s="19" t="n"/>
      <c r="F1278" s="19" t="n"/>
      <c r="G1278" s="18" t="n"/>
      <c r="H1278" s="18" t="n"/>
      <c r="I1278" s="18" t="n"/>
      <c r="J1278" s="20" t="n"/>
      <c r="K1278" s="21" t="n"/>
      <c r="L1278" s="21" t="n"/>
      <c r="M1278" s="18" t="n"/>
      <c r="N1278" s="22">
        <f>IF($B1278="","",CHOOSE(WEEKDAY($B1278),"الأحد","الاثنين","الثلاثاء","الأربعاء","الخميس","الجمعة","السبت"))</f>
        <v/>
      </c>
      <c r="O1278" s="23">
        <f>IF(OR($K1278="",$L1278=""),"",HYPERLINK("https://maps.google.com/?q="&amp;$K1278&amp;","&amp;$L1278,"عرض الموقع"))</f>
        <v/>
      </c>
      <c r="P1278" s="23">
        <f>IF(OR($B1278="",N($J1278)=0),"",HYPERLINK(PhotoDir&amp;"/"&amp;YEAR($B1278)&amp;"-"&amp;TEXT(MONTH($B1278),"00")&amp;"-"&amp;TEXT(DAY($B1278),"00")&amp;"_"&amp;$D1278,"فتح الصور ("&amp;$J1278&amp;")"))</f>
        <v/>
      </c>
      <c r="Q1278" s="24">
        <f>IF($B1278="","",MONTH($B1278))</f>
        <v/>
      </c>
      <c r="R1278" s="24">
        <f>IF($B1278="","",YEAR($B1278))</f>
        <v/>
      </c>
      <c r="S1278" s="25">
        <f>IF($B1278="","",$B1278-WEEKDAY($B1278,3))</f>
        <v/>
      </c>
      <c r="T1278" s="24">
        <f>IF($B1278="",0,IF(COUNTIFS($B$5:$B1278,$B1278,$D$5:$D1278,$D1278)=1,1,0))</f>
        <v/>
      </c>
      <c r="U1278" s="24">
        <f>IF($B1278="",0,IF(COUNTIFS($B$5:$B1278,$B1278,$C$5:$C1278,$C1278)=1,1,0))</f>
        <v/>
      </c>
      <c r="V1278" s="24">
        <f>IF(OR($B1278="",$G1278="",$G1278="لا توجد مشاهدات"),0,1)</f>
        <v/>
      </c>
      <c r="W1278" s="24">
        <f>IF(AND($B1278&lt;&gt;"",$I1278="تم تحرير مخالفة"),1,0)</f>
        <v/>
      </c>
      <c r="X1278" s="24">
        <f>IF($B1278="","",IF($S1278=WkStart,COUNTIF($S$5:$S1278,WkStart),""))</f>
        <v/>
      </c>
    </row>
    <row r="1279">
      <c r="A1279" s="16">
        <f>IF($B1279="","",ROW()-4)</f>
        <v/>
      </c>
      <c r="B1279" s="17" t="n"/>
      <c r="C1279" s="18" t="n"/>
      <c r="D1279" s="18" t="n"/>
      <c r="E1279" s="19" t="n"/>
      <c r="F1279" s="19" t="n"/>
      <c r="G1279" s="18" t="n"/>
      <c r="H1279" s="18" t="n"/>
      <c r="I1279" s="18" t="n"/>
      <c r="J1279" s="20" t="n"/>
      <c r="K1279" s="21" t="n"/>
      <c r="L1279" s="21" t="n"/>
      <c r="M1279" s="18" t="n"/>
      <c r="N1279" s="22">
        <f>IF($B1279="","",CHOOSE(WEEKDAY($B1279),"الأحد","الاثنين","الثلاثاء","الأربعاء","الخميس","الجمعة","السبت"))</f>
        <v/>
      </c>
      <c r="O1279" s="23">
        <f>IF(OR($K1279="",$L1279=""),"",HYPERLINK("https://maps.google.com/?q="&amp;$K1279&amp;","&amp;$L1279,"عرض الموقع"))</f>
        <v/>
      </c>
      <c r="P1279" s="23">
        <f>IF(OR($B1279="",N($J1279)=0),"",HYPERLINK(PhotoDir&amp;"/"&amp;YEAR($B1279)&amp;"-"&amp;TEXT(MONTH($B1279),"00")&amp;"-"&amp;TEXT(DAY($B1279),"00")&amp;"_"&amp;$D1279,"فتح الصور ("&amp;$J1279&amp;")"))</f>
        <v/>
      </c>
      <c r="Q1279" s="24">
        <f>IF($B1279="","",MONTH($B1279))</f>
        <v/>
      </c>
      <c r="R1279" s="24">
        <f>IF($B1279="","",YEAR($B1279))</f>
        <v/>
      </c>
      <c r="S1279" s="25">
        <f>IF($B1279="","",$B1279-WEEKDAY($B1279,3))</f>
        <v/>
      </c>
      <c r="T1279" s="24">
        <f>IF($B1279="",0,IF(COUNTIFS($B$5:$B1279,$B1279,$D$5:$D1279,$D1279)=1,1,0))</f>
        <v/>
      </c>
      <c r="U1279" s="24">
        <f>IF($B1279="",0,IF(COUNTIFS($B$5:$B1279,$B1279,$C$5:$C1279,$C1279)=1,1,0))</f>
        <v/>
      </c>
      <c r="V1279" s="24">
        <f>IF(OR($B1279="",$G1279="",$G1279="لا توجد مشاهدات"),0,1)</f>
        <v/>
      </c>
      <c r="W1279" s="24">
        <f>IF(AND($B1279&lt;&gt;"",$I1279="تم تحرير مخالفة"),1,0)</f>
        <v/>
      </c>
      <c r="X1279" s="24">
        <f>IF($B1279="","",IF($S1279=WkStart,COUNTIF($S$5:$S1279,WkStart),""))</f>
        <v/>
      </c>
    </row>
    <row r="1280">
      <c r="A1280" s="16">
        <f>IF($B1280="","",ROW()-4)</f>
        <v/>
      </c>
      <c r="B1280" s="17" t="n"/>
      <c r="C1280" s="18" t="n"/>
      <c r="D1280" s="18" t="n"/>
      <c r="E1280" s="19" t="n"/>
      <c r="F1280" s="19" t="n"/>
      <c r="G1280" s="18" t="n"/>
      <c r="H1280" s="18" t="n"/>
      <c r="I1280" s="18" t="n"/>
      <c r="J1280" s="20" t="n"/>
      <c r="K1280" s="21" t="n"/>
      <c r="L1280" s="21" t="n"/>
      <c r="M1280" s="18" t="n"/>
      <c r="N1280" s="22">
        <f>IF($B1280="","",CHOOSE(WEEKDAY($B1280),"الأحد","الاثنين","الثلاثاء","الأربعاء","الخميس","الجمعة","السبت"))</f>
        <v/>
      </c>
      <c r="O1280" s="23">
        <f>IF(OR($K1280="",$L1280=""),"",HYPERLINK("https://maps.google.com/?q="&amp;$K1280&amp;","&amp;$L1280,"عرض الموقع"))</f>
        <v/>
      </c>
      <c r="P1280" s="23">
        <f>IF(OR($B1280="",N($J1280)=0),"",HYPERLINK(PhotoDir&amp;"/"&amp;YEAR($B1280)&amp;"-"&amp;TEXT(MONTH($B1280),"00")&amp;"-"&amp;TEXT(DAY($B1280),"00")&amp;"_"&amp;$D1280,"فتح الصور ("&amp;$J1280&amp;")"))</f>
        <v/>
      </c>
      <c r="Q1280" s="24">
        <f>IF($B1280="","",MONTH($B1280))</f>
        <v/>
      </c>
      <c r="R1280" s="24">
        <f>IF($B1280="","",YEAR($B1280))</f>
        <v/>
      </c>
      <c r="S1280" s="25">
        <f>IF($B1280="","",$B1280-WEEKDAY($B1280,3))</f>
        <v/>
      </c>
      <c r="T1280" s="24">
        <f>IF($B1280="",0,IF(COUNTIFS($B$5:$B1280,$B1280,$D$5:$D1280,$D1280)=1,1,0))</f>
        <v/>
      </c>
      <c r="U1280" s="24">
        <f>IF($B1280="",0,IF(COUNTIFS($B$5:$B1280,$B1280,$C$5:$C1280,$C1280)=1,1,0))</f>
        <v/>
      </c>
      <c r="V1280" s="24">
        <f>IF(OR($B1280="",$G1280="",$G1280="لا توجد مشاهدات"),0,1)</f>
        <v/>
      </c>
      <c r="W1280" s="24">
        <f>IF(AND($B1280&lt;&gt;"",$I1280="تم تحرير مخالفة"),1,0)</f>
        <v/>
      </c>
      <c r="X1280" s="24">
        <f>IF($B1280="","",IF($S1280=WkStart,COUNTIF($S$5:$S1280,WkStart),""))</f>
        <v/>
      </c>
    </row>
    <row r="1281">
      <c r="A1281" s="16">
        <f>IF($B1281="","",ROW()-4)</f>
        <v/>
      </c>
      <c r="B1281" s="17" t="n"/>
      <c r="C1281" s="18" t="n"/>
      <c r="D1281" s="18" t="n"/>
      <c r="E1281" s="19" t="n"/>
      <c r="F1281" s="19" t="n"/>
      <c r="G1281" s="18" t="n"/>
      <c r="H1281" s="18" t="n"/>
      <c r="I1281" s="18" t="n"/>
      <c r="J1281" s="20" t="n"/>
      <c r="K1281" s="21" t="n"/>
      <c r="L1281" s="21" t="n"/>
      <c r="M1281" s="18" t="n"/>
      <c r="N1281" s="22">
        <f>IF($B1281="","",CHOOSE(WEEKDAY($B1281),"الأحد","الاثنين","الثلاثاء","الأربعاء","الخميس","الجمعة","السبت"))</f>
        <v/>
      </c>
      <c r="O1281" s="23">
        <f>IF(OR($K1281="",$L1281=""),"",HYPERLINK("https://maps.google.com/?q="&amp;$K1281&amp;","&amp;$L1281,"عرض الموقع"))</f>
        <v/>
      </c>
      <c r="P1281" s="23">
        <f>IF(OR($B1281="",N($J1281)=0),"",HYPERLINK(PhotoDir&amp;"/"&amp;YEAR($B1281)&amp;"-"&amp;TEXT(MONTH($B1281),"00")&amp;"-"&amp;TEXT(DAY($B1281),"00")&amp;"_"&amp;$D1281,"فتح الصور ("&amp;$J1281&amp;")"))</f>
        <v/>
      </c>
      <c r="Q1281" s="24">
        <f>IF($B1281="","",MONTH($B1281))</f>
        <v/>
      </c>
      <c r="R1281" s="24">
        <f>IF($B1281="","",YEAR($B1281))</f>
        <v/>
      </c>
      <c r="S1281" s="25">
        <f>IF($B1281="","",$B1281-WEEKDAY($B1281,3))</f>
        <v/>
      </c>
      <c r="T1281" s="24">
        <f>IF($B1281="",0,IF(COUNTIFS($B$5:$B1281,$B1281,$D$5:$D1281,$D1281)=1,1,0))</f>
        <v/>
      </c>
      <c r="U1281" s="24">
        <f>IF($B1281="",0,IF(COUNTIFS($B$5:$B1281,$B1281,$C$5:$C1281,$C1281)=1,1,0))</f>
        <v/>
      </c>
      <c r="V1281" s="24">
        <f>IF(OR($B1281="",$G1281="",$G1281="لا توجد مشاهدات"),0,1)</f>
        <v/>
      </c>
      <c r="W1281" s="24">
        <f>IF(AND($B1281&lt;&gt;"",$I1281="تم تحرير مخالفة"),1,0)</f>
        <v/>
      </c>
      <c r="X1281" s="24">
        <f>IF($B1281="","",IF($S1281=WkStart,COUNTIF($S$5:$S1281,WkStart),""))</f>
        <v/>
      </c>
    </row>
    <row r="1282">
      <c r="A1282" s="16">
        <f>IF($B1282="","",ROW()-4)</f>
        <v/>
      </c>
      <c r="B1282" s="17" t="n"/>
      <c r="C1282" s="18" t="n"/>
      <c r="D1282" s="18" t="n"/>
      <c r="E1282" s="19" t="n"/>
      <c r="F1282" s="19" t="n"/>
      <c r="G1282" s="18" t="n"/>
      <c r="H1282" s="18" t="n"/>
      <c r="I1282" s="18" t="n"/>
      <c r="J1282" s="20" t="n"/>
      <c r="K1282" s="21" t="n"/>
      <c r="L1282" s="21" t="n"/>
      <c r="M1282" s="18" t="n"/>
      <c r="N1282" s="22">
        <f>IF($B1282="","",CHOOSE(WEEKDAY($B1282),"الأحد","الاثنين","الثلاثاء","الأربعاء","الخميس","الجمعة","السبت"))</f>
        <v/>
      </c>
      <c r="O1282" s="23">
        <f>IF(OR($K1282="",$L1282=""),"",HYPERLINK("https://maps.google.com/?q="&amp;$K1282&amp;","&amp;$L1282,"عرض الموقع"))</f>
        <v/>
      </c>
      <c r="P1282" s="23">
        <f>IF(OR($B1282="",N($J1282)=0),"",HYPERLINK(PhotoDir&amp;"/"&amp;YEAR($B1282)&amp;"-"&amp;TEXT(MONTH($B1282),"00")&amp;"-"&amp;TEXT(DAY($B1282),"00")&amp;"_"&amp;$D1282,"فتح الصور ("&amp;$J1282&amp;")"))</f>
        <v/>
      </c>
      <c r="Q1282" s="24">
        <f>IF($B1282="","",MONTH($B1282))</f>
        <v/>
      </c>
      <c r="R1282" s="24">
        <f>IF($B1282="","",YEAR($B1282))</f>
        <v/>
      </c>
      <c r="S1282" s="25">
        <f>IF($B1282="","",$B1282-WEEKDAY($B1282,3))</f>
        <v/>
      </c>
      <c r="T1282" s="24">
        <f>IF($B1282="",0,IF(COUNTIFS($B$5:$B1282,$B1282,$D$5:$D1282,$D1282)=1,1,0))</f>
        <v/>
      </c>
      <c r="U1282" s="24">
        <f>IF($B1282="",0,IF(COUNTIFS($B$5:$B1282,$B1282,$C$5:$C1282,$C1282)=1,1,0))</f>
        <v/>
      </c>
      <c r="V1282" s="24">
        <f>IF(OR($B1282="",$G1282="",$G1282="لا توجد مشاهدات"),0,1)</f>
        <v/>
      </c>
      <c r="W1282" s="24">
        <f>IF(AND($B1282&lt;&gt;"",$I1282="تم تحرير مخالفة"),1,0)</f>
        <v/>
      </c>
      <c r="X1282" s="24">
        <f>IF($B1282="","",IF($S1282=WkStart,COUNTIF($S$5:$S1282,WkStart),""))</f>
        <v/>
      </c>
    </row>
    <row r="1283">
      <c r="A1283" s="16">
        <f>IF($B1283="","",ROW()-4)</f>
        <v/>
      </c>
      <c r="B1283" s="17" t="n"/>
      <c r="C1283" s="18" t="n"/>
      <c r="D1283" s="18" t="n"/>
      <c r="E1283" s="19" t="n"/>
      <c r="F1283" s="19" t="n"/>
      <c r="G1283" s="18" t="n"/>
      <c r="H1283" s="18" t="n"/>
      <c r="I1283" s="18" t="n"/>
      <c r="J1283" s="20" t="n"/>
      <c r="K1283" s="21" t="n"/>
      <c r="L1283" s="21" t="n"/>
      <c r="M1283" s="18" t="n"/>
      <c r="N1283" s="22">
        <f>IF($B1283="","",CHOOSE(WEEKDAY($B1283),"الأحد","الاثنين","الثلاثاء","الأربعاء","الخميس","الجمعة","السبت"))</f>
        <v/>
      </c>
      <c r="O1283" s="23">
        <f>IF(OR($K1283="",$L1283=""),"",HYPERLINK("https://maps.google.com/?q="&amp;$K1283&amp;","&amp;$L1283,"عرض الموقع"))</f>
        <v/>
      </c>
      <c r="P1283" s="23">
        <f>IF(OR($B1283="",N($J1283)=0),"",HYPERLINK(PhotoDir&amp;"/"&amp;YEAR($B1283)&amp;"-"&amp;TEXT(MONTH($B1283),"00")&amp;"-"&amp;TEXT(DAY($B1283),"00")&amp;"_"&amp;$D1283,"فتح الصور ("&amp;$J1283&amp;")"))</f>
        <v/>
      </c>
      <c r="Q1283" s="24">
        <f>IF($B1283="","",MONTH($B1283))</f>
        <v/>
      </c>
      <c r="R1283" s="24">
        <f>IF($B1283="","",YEAR($B1283))</f>
        <v/>
      </c>
      <c r="S1283" s="25">
        <f>IF($B1283="","",$B1283-WEEKDAY($B1283,3))</f>
        <v/>
      </c>
      <c r="T1283" s="24">
        <f>IF($B1283="",0,IF(COUNTIFS($B$5:$B1283,$B1283,$D$5:$D1283,$D1283)=1,1,0))</f>
        <v/>
      </c>
      <c r="U1283" s="24">
        <f>IF($B1283="",0,IF(COUNTIFS($B$5:$B1283,$B1283,$C$5:$C1283,$C1283)=1,1,0))</f>
        <v/>
      </c>
      <c r="V1283" s="24">
        <f>IF(OR($B1283="",$G1283="",$G1283="لا توجد مشاهدات"),0,1)</f>
        <v/>
      </c>
      <c r="W1283" s="24">
        <f>IF(AND($B1283&lt;&gt;"",$I1283="تم تحرير مخالفة"),1,0)</f>
        <v/>
      </c>
      <c r="X1283" s="24">
        <f>IF($B1283="","",IF($S1283=WkStart,COUNTIF($S$5:$S1283,WkStart),""))</f>
        <v/>
      </c>
    </row>
    <row r="1284">
      <c r="A1284" s="16">
        <f>IF($B1284="","",ROW()-4)</f>
        <v/>
      </c>
      <c r="B1284" s="17" t="n"/>
      <c r="C1284" s="18" t="n"/>
      <c r="D1284" s="18" t="n"/>
      <c r="E1284" s="19" t="n"/>
      <c r="F1284" s="19" t="n"/>
      <c r="G1284" s="18" t="n"/>
      <c r="H1284" s="18" t="n"/>
      <c r="I1284" s="18" t="n"/>
      <c r="J1284" s="20" t="n"/>
      <c r="K1284" s="21" t="n"/>
      <c r="L1284" s="21" t="n"/>
      <c r="M1284" s="18" t="n"/>
      <c r="N1284" s="22">
        <f>IF($B1284="","",CHOOSE(WEEKDAY($B1284),"الأحد","الاثنين","الثلاثاء","الأربعاء","الخميس","الجمعة","السبت"))</f>
        <v/>
      </c>
      <c r="O1284" s="23">
        <f>IF(OR($K1284="",$L1284=""),"",HYPERLINK("https://maps.google.com/?q="&amp;$K1284&amp;","&amp;$L1284,"عرض الموقع"))</f>
        <v/>
      </c>
      <c r="P1284" s="23">
        <f>IF(OR($B1284="",N($J1284)=0),"",HYPERLINK(PhotoDir&amp;"/"&amp;YEAR($B1284)&amp;"-"&amp;TEXT(MONTH($B1284),"00")&amp;"-"&amp;TEXT(DAY($B1284),"00")&amp;"_"&amp;$D1284,"فتح الصور ("&amp;$J1284&amp;")"))</f>
        <v/>
      </c>
      <c r="Q1284" s="24">
        <f>IF($B1284="","",MONTH($B1284))</f>
        <v/>
      </c>
      <c r="R1284" s="24">
        <f>IF($B1284="","",YEAR($B1284))</f>
        <v/>
      </c>
      <c r="S1284" s="25">
        <f>IF($B1284="","",$B1284-WEEKDAY($B1284,3))</f>
        <v/>
      </c>
      <c r="T1284" s="24">
        <f>IF($B1284="",0,IF(COUNTIFS($B$5:$B1284,$B1284,$D$5:$D1284,$D1284)=1,1,0))</f>
        <v/>
      </c>
      <c r="U1284" s="24">
        <f>IF($B1284="",0,IF(COUNTIFS($B$5:$B1284,$B1284,$C$5:$C1284,$C1284)=1,1,0))</f>
        <v/>
      </c>
      <c r="V1284" s="24">
        <f>IF(OR($B1284="",$G1284="",$G1284="لا توجد مشاهدات"),0,1)</f>
        <v/>
      </c>
      <c r="W1284" s="24">
        <f>IF(AND($B1284&lt;&gt;"",$I1284="تم تحرير مخالفة"),1,0)</f>
        <v/>
      </c>
      <c r="X1284" s="24">
        <f>IF($B1284="","",IF($S1284=WkStart,COUNTIF($S$5:$S1284,WkStart),""))</f>
        <v/>
      </c>
    </row>
    <row r="1285">
      <c r="A1285" s="16">
        <f>IF($B1285="","",ROW()-4)</f>
        <v/>
      </c>
      <c r="B1285" s="17" t="n"/>
      <c r="C1285" s="18" t="n"/>
      <c r="D1285" s="18" t="n"/>
      <c r="E1285" s="19" t="n"/>
      <c r="F1285" s="19" t="n"/>
      <c r="G1285" s="18" t="n"/>
      <c r="H1285" s="18" t="n"/>
      <c r="I1285" s="18" t="n"/>
      <c r="J1285" s="20" t="n"/>
      <c r="K1285" s="21" t="n"/>
      <c r="L1285" s="21" t="n"/>
      <c r="M1285" s="18" t="n"/>
      <c r="N1285" s="22">
        <f>IF($B1285="","",CHOOSE(WEEKDAY($B1285),"الأحد","الاثنين","الثلاثاء","الأربعاء","الخميس","الجمعة","السبت"))</f>
        <v/>
      </c>
      <c r="O1285" s="23">
        <f>IF(OR($K1285="",$L1285=""),"",HYPERLINK("https://maps.google.com/?q="&amp;$K1285&amp;","&amp;$L1285,"عرض الموقع"))</f>
        <v/>
      </c>
      <c r="P1285" s="23">
        <f>IF(OR($B1285="",N($J1285)=0),"",HYPERLINK(PhotoDir&amp;"/"&amp;YEAR($B1285)&amp;"-"&amp;TEXT(MONTH($B1285),"00")&amp;"-"&amp;TEXT(DAY($B1285),"00")&amp;"_"&amp;$D1285,"فتح الصور ("&amp;$J1285&amp;")"))</f>
        <v/>
      </c>
      <c r="Q1285" s="24">
        <f>IF($B1285="","",MONTH($B1285))</f>
        <v/>
      </c>
      <c r="R1285" s="24">
        <f>IF($B1285="","",YEAR($B1285))</f>
        <v/>
      </c>
      <c r="S1285" s="25">
        <f>IF($B1285="","",$B1285-WEEKDAY($B1285,3))</f>
        <v/>
      </c>
      <c r="T1285" s="24">
        <f>IF($B1285="",0,IF(COUNTIFS($B$5:$B1285,$B1285,$D$5:$D1285,$D1285)=1,1,0))</f>
        <v/>
      </c>
      <c r="U1285" s="24">
        <f>IF($B1285="",0,IF(COUNTIFS($B$5:$B1285,$B1285,$C$5:$C1285,$C1285)=1,1,0))</f>
        <v/>
      </c>
      <c r="V1285" s="24">
        <f>IF(OR($B1285="",$G1285="",$G1285="لا توجد مشاهدات"),0,1)</f>
        <v/>
      </c>
      <c r="W1285" s="24">
        <f>IF(AND($B1285&lt;&gt;"",$I1285="تم تحرير مخالفة"),1,0)</f>
        <v/>
      </c>
      <c r="X1285" s="24">
        <f>IF($B1285="","",IF($S1285=WkStart,COUNTIF($S$5:$S1285,WkStart),""))</f>
        <v/>
      </c>
    </row>
    <row r="1286">
      <c r="A1286" s="16">
        <f>IF($B1286="","",ROW()-4)</f>
        <v/>
      </c>
      <c r="B1286" s="17" t="n"/>
      <c r="C1286" s="18" t="n"/>
      <c r="D1286" s="18" t="n"/>
      <c r="E1286" s="19" t="n"/>
      <c r="F1286" s="19" t="n"/>
      <c r="G1286" s="18" t="n"/>
      <c r="H1286" s="18" t="n"/>
      <c r="I1286" s="18" t="n"/>
      <c r="J1286" s="20" t="n"/>
      <c r="K1286" s="21" t="n"/>
      <c r="L1286" s="21" t="n"/>
      <c r="M1286" s="18" t="n"/>
      <c r="N1286" s="22">
        <f>IF($B1286="","",CHOOSE(WEEKDAY($B1286),"الأحد","الاثنين","الثلاثاء","الأربعاء","الخميس","الجمعة","السبت"))</f>
        <v/>
      </c>
      <c r="O1286" s="23">
        <f>IF(OR($K1286="",$L1286=""),"",HYPERLINK("https://maps.google.com/?q="&amp;$K1286&amp;","&amp;$L1286,"عرض الموقع"))</f>
        <v/>
      </c>
      <c r="P1286" s="23">
        <f>IF(OR($B1286="",N($J1286)=0),"",HYPERLINK(PhotoDir&amp;"/"&amp;YEAR($B1286)&amp;"-"&amp;TEXT(MONTH($B1286),"00")&amp;"-"&amp;TEXT(DAY($B1286),"00")&amp;"_"&amp;$D1286,"فتح الصور ("&amp;$J1286&amp;")"))</f>
        <v/>
      </c>
      <c r="Q1286" s="24">
        <f>IF($B1286="","",MONTH($B1286))</f>
        <v/>
      </c>
      <c r="R1286" s="24">
        <f>IF($B1286="","",YEAR($B1286))</f>
        <v/>
      </c>
      <c r="S1286" s="25">
        <f>IF($B1286="","",$B1286-WEEKDAY($B1286,3))</f>
        <v/>
      </c>
      <c r="T1286" s="24">
        <f>IF($B1286="",0,IF(COUNTIFS($B$5:$B1286,$B1286,$D$5:$D1286,$D1286)=1,1,0))</f>
        <v/>
      </c>
      <c r="U1286" s="24">
        <f>IF($B1286="",0,IF(COUNTIFS($B$5:$B1286,$B1286,$C$5:$C1286,$C1286)=1,1,0))</f>
        <v/>
      </c>
      <c r="V1286" s="24">
        <f>IF(OR($B1286="",$G1286="",$G1286="لا توجد مشاهدات"),0,1)</f>
        <v/>
      </c>
      <c r="W1286" s="24">
        <f>IF(AND($B1286&lt;&gt;"",$I1286="تم تحرير مخالفة"),1,0)</f>
        <v/>
      </c>
      <c r="X1286" s="24">
        <f>IF($B1286="","",IF($S1286=WkStart,COUNTIF($S$5:$S1286,WkStart),""))</f>
        <v/>
      </c>
    </row>
    <row r="1287">
      <c r="A1287" s="16">
        <f>IF($B1287="","",ROW()-4)</f>
        <v/>
      </c>
      <c r="B1287" s="17" t="n"/>
      <c r="C1287" s="18" t="n"/>
      <c r="D1287" s="18" t="n"/>
      <c r="E1287" s="19" t="n"/>
      <c r="F1287" s="19" t="n"/>
      <c r="G1287" s="18" t="n"/>
      <c r="H1287" s="18" t="n"/>
      <c r="I1287" s="18" t="n"/>
      <c r="J1287" s="20" t="n"/>
      <c r="K1287" s="21" t="n"/>
      <c r="L1287" s="21" t="n"/>
      <c r="M1287" s="18" t="n"/>
      <c r="N1287" s="22">
        <f>IF($B1287="","",CHOOSE(WEEKDAY($B1287),"الأحد","الاثنين","الثلاثاء","الأربعاء","الخميس","الجمعة","السبت"))</f>
        <v/>
      </c>
      <c r="O1287" s="23">
        <f>IF(OR($K1287="",$L1287=""),"",HYPERLINK("https://maps.google.com/?q="&amp;$K1287&amp;","&amp;$L1287,"عرض الموقع"))</f>
        <v/>
      </c>
      <c r="P1287" s="23">
        <f>IF(OR($B1287="",N($J1287)=0),"",HYPERLINK(PhotoDir&amp;"/"&amp;YEAR($B1287)&amp;"-"&amp;TEXT(MONTH($B1287),"00")&amp;"-"&amp;TEXT(DAY($B1287),"00")&amp;"_"&amp;$D1287,"فتح الصور ("&amp;$J1287&amp;")"))</f>
        <v/>
      </c>
      <c r="Q1287" s="24">
        <f>IF($B1287="","",MONTH($B1287))</f>
        <v/>
      </c>
      <c r="R1287" s="24">
        <f>IF($B1287="","",YEAR($B1287))</f>
        <v/>
      </c>
      <c r="S1287" s="25">
        <f>IF($B1287="","",$B1287-WEEKDAY($B1287,3))</f>
        <v/>
      </c>
      <c r="T1287" s="24">
        <f>IF($B1287="",0,IF(COUNTIFS($B$5:$B1287,$B1287,$D$5:$D1287,$D1287)=1,1,0))</f>
        <v/>
      </c>
      <c r="U1287" s="24">
        <f>IF($B1287="",0,IF(COUNTIFS($B$5:$B1287,$B1287,$C$5:$C1287,$C1287)=1,1,0))</f>
        <v/>
      </c>
      <c r="V1287" s="24">
        <f>IF(OR($B1287="",$G1287="",$G1287="لا توجد مشاهدات"),0,1)</f>
        <v/>
      </c>
      <c r="W1287" s="24">
        <f>IF(AND($B1287&lt;&gt;"",$I1287="تم تحرير مخالفة"),1,0)</f>
        <v/>
      </c>
      <c r="X1287" s="24">
        <f>IF($B1287="","",IF($S1287=WkStart,COUNTIF($S$5:$S1287,WkStart),""))</f>
        <v/>
      </c>
    </row>
    <row r="1288">
      <c r="A1288" s="16">
        <f>IF($B1288="","",ROW()-4)</f>
        <v/>
      </c>
      <c r="B1288" s="17" t="n"/>
      <c r="C1288" s="18" t="n"/>
      <c r="D1288" s="18" t="n"/>
      <c r="E1288" s="19" t="n"/>
      <c r="F1288" s="19" t="n"/>
      <c r="G1288" s="18" t="n"/>
      <c r="H1288" s="18" t="n"/>
      <c r="I1288" s="18" t="n"/>
      <c r="J1288" s="20" t="n"/>
      <c r="K1288" s="21" t="n"/>
      <c r="L1288" s="21" t="n"/>
      <c r="M1288" s="18" t="n"/>
      <c r="N1288" s="22">
        <f>IF($B1288="","",CHOOSE(WEEKDAY($B1288),"الأحد","الاثنين","الثلاثاء","الأربعاء","الخميس","الجمعة","السبت"))</f>
        <v/>
      </c>
      <c r="O1288" s="23">
        <f>IF(OR($K1288="",$L1288=""),"",HYPERLINK("https://maps.google.com/?q="&amp;$K1288&amp;","&amp;$L1288,"عرض الموقع"))</f>
        <v/>
      </c>
      <c r="P1288" s="23">
        <f>IF(OR($B1288="",N($J1288)=0),"",HYPERLINK(PhotoDir&amp;"/"&amp;YEAR($B1288)&amp;"-"&amp;TEXT(MONTH($B1288),"00")&amp;"-"&amp;TEXT(DAY($B1288),"00")&amp;"_"&amp;$D1288,"فتح الصور ("&amp;$J1288&amp;")"))</f>
        <v/>
      </c>
      <c r="Q1288" s="24">
        <f>IF($B1288="","",MONTH($B1288))</f>
        <v/>
      </c>
      <c r="R1288" s="24">
        <f>IF($B1288="","",YEAR($B1288))</f>
        <v/>
      </c>
      <c r="S1288" s="25">
        <f>IF($B1288="","",$B1288-WEEKDAY($B1288,3))</f>
        <v/>
      </c>
      <c r="T1288" s="24">
        <f>IF($B1288="",0,IF(COUNTIFS($B$5:$B1288,$B1288,$D$5:$D1288,$D1288)=1,1,0))</f>
        <v/>
      </c>
      <c r="U1288" s="24">
        <f>IF($B1288="",0,IF(COUNTIFS($B$5:$B1288,$B1288,$C$5:$C1288,$C1288)=1,1,0))</f>
        <v/>
      </c>
      <c r="V1288" s="24">
        <f>IF(OR($B1288="",$G1288="",$G1288="لا توجد مشاهدات"),0,1)</f>
        <v/>
      </c>
      <c r="W1288" s="24">
        <f>IF(AND($B1288&lt;&gt;"",$I1288="تم تحرير مخالفة"),1,0)</f>
        <v/>
      </c>
      <c r="X1288" s="24">
        <f>IF($B1288="","",IF($S1288=WkStart,COUNTIF($S$5:$S1288,WkStart),""))</f>
        <v/>
      </c>
    </row>
    <row r="1289">
      <c r="A1289" s="16">
        <f>IF($B1289="","",ROW()-4)</f>
        <v/>
      </c>
      <c r="B1289" s="17" t="n"/>
      <c r="C1289" s="18" t="n"/>
      <c r="D1289" s="18" t="n"/>
      <c r="E1289" s="19" t="n"/>
      <c r="F1289" s="19" t="n"/>
      <c r="G1289" s="18" t="n"/>
      <c r="H1289" s="18" t="n"/>
      <c r="I1289" s="18" t="n"/>
      <c r="J1289" s="20" t="n"/>
      <c r="K1289" s="21" t="n"/>
      <c r="L1289" s="21" t="n"/>
      <c r="M1289" s="18" t="n"/>
      <c r="N1289" s="22">
        <f>IF($B1289="","",CHOOSE(WEEKDAY($B1289),"الأحد","الاثنين","الثلاثاء","الأربعاء","الخميس","الجمعة","السبت"))</f>
        <v/>
      </c>
      <c r="O1289" s="23">
        <f>IF(OR($K1289="",$L1289=""),"",HYPERLINK("https://maps.google.com/?q="&amp;$K1289&amp;","&amp;$L1289,"عرض الموقع"))</f>
        <v/>
      </c>
      <c r="P1289" s="23">
        <f>IF(OR($B1289="",N($J1289)=0),"",HYPERLINK(PhotoDir&amp;"/"&amp;YEAR($B1289)&amp;"-"&amp;TEXT(MONTH($B1289),"00")&amp;"-"&amp;TEXT(DAY($B1289),"00")&amp;"_"&amp;$D1289,"فتح الصور ("&amp;$J1289&amp;")"))</f>
        <v/>
      </c>
      <c r="Q1289" s="24">
        <f>IF($B1289="","",MONTH($B1289))</f>
        <v/>
      </c>
      <c r="R1289" s="24">
        <f>IF($B1289="","",YEAR($B1289))</f>
        <v/>
      </c>
      <c r="S1289" s="25">
        <f>IF($B1289="","",$B1289-WEEKDAY($B1289,3))</f>
        <v/>
      </c>
      <c r="T1289" s="24">
        <f>IF($B1289="",0,IF(COUNTIFS($B$5:$B1289,$B1289,$D$5:$D1289,$D1289)=1,1,0))</f>
        <v/>
      </c>
      <c r="U1289" s="24">
        <f>IF($B1289="",0,IF(COUNTIFS($B$5:$B1289,$B1289,$C$5:$C1289,$C1289)=1,1,0))</f>
        <v/>
      </c>
      <c r="V1289" s="24">
        <f>IF(OR($B1289="",$G1289="",$G1289="لا توجد مشاهدات"),0,1)</f>
        <v/>
      </c>
      <c r="W1289" s="24">
        <f>IF(AND($B1289&lt;&gt;"",$I1289="تم تحرير مخالفة"),1,0)</f>
        <v/>
      </c>
      <c r="X1289" s="24">
        <f>IF($B1289="","",IF($S1289=WkStart,COUNTIF($S$5:$S1289,WkStart),""))</f>
        <v/>
      </c>
    </row>
    <row r="1290">
      <c r="A1290" s="16">
        <f>IF($B1290="","",ROW()-4)</f>
        <v/>
      </c>
      <c r="B1290" s="17" t="n"/>
      <c r="C1290" s="18" t="n"/>
      <c r="D1290" s="18" t="n"/>
      <c r="E1290" s="19" t="n"/>
      <c r="F1290" s="19" t="n"/>
      <c r="G1290" s="18" t="n"/>
      <c r="H1290" s="18" t="n"/>
      <c r="I1290" s="18" t="n"/>
      <c r="J1290" s="20" t="n"/>
      <c r="K1290" s="21" t="n"/>
      <c r="L1290" s="21" t="n"/>
      <c r="M1290" s="18" t="n"/>
      <c r="N1290" s="22">
        <f>IF($B1290="","",CHOOSE(WEEKDAY($B1290),"الأحد","الاثنين","الثلاثاء","الأربعاء","الخميس","الجمعة","السبت"))</f>
        <v/>
      </c>
      <c r="O1290" s="23">
        <f>IF(OR($K1290="",$L1290=""),"",HYPERLINK("https://maps.google.com/?q="&amp;$K1290&amp;","&amp;$L1290,"عرض الموقع"))</f>
        <v/>
      </c>
      <c r="P1290" s="23">
        <f>IF(OR($B1290="",N($J1290)=0),"",HYPERLINK(PhotoDir&amp;"/"&amp;YEAR($B1290)&amp;"-"&amp;TEXT(MONTH($B1290),"00")&amp;"-"&amp;TEXT(DAY($B1290),"00")&amp;"_"&amp;$D1290,"فتح الصور ("&amp;$J1290&amp;")"))</f>
        <v/>
      </c>
      <c r="Q1290" s="24">
        <f>IF($B1290="","",MONTH($B1290))</f>
        <v/>
      </c>
      <c r="R1290" s="24">
        <f>IF($B1290="","",YEAR($B1290))</f>
        <v/>
      </c>
      <c r="S1290" s="25">
        <f>IF($B1290="","",$B1290-WEEKDAY($B1290,3))</f>
        <v/>
      </c>
      <c r="T1290" s="24">
        <f>IF($B1290="",0,IF(COUNTIFS($B$5:$B1290,$B1290,$D$5:$D1290,$D1290)=1,1,0))</f>
        <v/>
      </c>
      <c r="U1290" s="24">
        <f>IF($B1290="",0,IF(COUNTIFS($B$5:$B1290,$B1290,$C$5:$C1290,$C1290)=1,1,0))</f>
        <v/>
      </c>
      <c r="V1290" s="24">
        <f>IF(OR($B1290="",$G1290="",$G1290="لا توجد مشاهدات"),0,1)</f>
        <v/>
      </c>
      <c r="W1290" s="24">
        <f>IF(AND($B1290&lt;&gt;"",$I1290="تم تحرير مخالفة"),1,0)</f>
        <v/>
      </c>
      <c r="X1290" s="24">
        <f>IF($B1290="","",IF($S1290=WkStart,COUNTIF($S$5:$S1290,WkStart),""))</f>
        <v/>
      </c>
    </row>
    <row r="1291">
      <c r="A1291" s="16">
        <f>IF($B1291="","",ROW()-4)</f>
        <v/>
      </c>
      <c r="B1291" s="17" t="n"/>
      <c r="C1291" s="18" t="n"/>
      <c r="D1291" s="18" t="n"/>
      <c r="E1291" s="19" t="n"/>
      <c r="F1291" s="19" t="n"/>
      <c r="G1291" s="18" t="n"/>
      <c r="H1291" s="18" t="n"/>
      <c r="I1291" s="18" t="n"/>
      <c r="J1291" s="20" t="n"/>
      <c r="K1291" s="21" t="n"/>
      <c r="L1291" s="21" t="n"/>
      <c r="M1291" s="18" t="n"/>
      <c r="N1291" s="22">
        <f>IF($B1291="","",CHOOSE(WEEKDAY($B1291),"الأحد","الاثنين","الثلاثاء","الأربعاء","الخميس","الجمعة","السبت"))</f>
        <v/>
      </c>
      <c r="O1291" s="23">
        <f>IF(OR($K1291="",$L1291=""),"",HYPERLINK("https://maps.google.com/?q="&amp;$K1291&amp;","&amp;$L1291,"عرض الموقع"))</f>
        <v/>
      </c>
      <c r="P1291" s="23">
        <f>IF(OR($B1291="",N($J1291)=0),"",HYPERLINK(PhotoDir&amp;"/"&amp;YEAR($B1291)&amp;"-"&amp;TEXT(MONTH($B1291),"00")&amp;"-"&amp;TEXT(DAY($B1291),"00")&amp;"_"&amp;$D1291,"فتح الصور ("&amp;$J1291&amp;")"))</f>
        <v/>
      </c>
      <c r="Q1291" s="24">
        <f>IF($B1291="","",MONTH($B1291))</f>
        <v/>
      </c>
      <c r="R1291" s="24">
        <f>IF($B1291="","",YEAR($B1291))</f>
        <v/>
      </c>
      <c r="S1291" s="25">
        <f>IF($B1291="","",$B1291-WEEKDAY($B1291,3))</f>
        <v/>
      </c>
      <c r="T1291" s="24">
        <f>IF($B1291="",0,IF(COUNTIFS($B$5:$B1291,$B1291,$D$5:$D1291,$D1291)=1,1,0))</f>
        <v/>
      </c>
      <c r="U1291" s="24">
        <f>IF($B1291="",0,IF(COUNTIFS($B$5:$B1291,$B1291,$C$5:$C1291,$C1291)=1,1,0))</f>
        <v/>
      </c>
      <c r="V1291" s="24">
        <f>IF(OR($B1291="",$G1291="",$G1291="لا توجد مشاهدات"),0,1)</f>
        <v/>
      </c>
      <c r="W1291" s="24">
        <f>IF(AND($B1291&lt;&gt;"",$I1291="تم تحرير مخالفة"),1,0)</f>
        <v/>
      </c>
      <c r="X1291" s="24">
        <f>IF($B1291="","",IF($S1291=WkStart,COUNTIF($S$5:$S1291,WkStart),""))</f>
        <v/>
      </c>
    </row>
    <row r="1292">
      <c r="A1292" s="16">
        <f>IF($B1292="","",ROW()-4)</f>
        <v/>
      </c>
      <c r="B1292" s="17" t="n"/>
      <c r="C1292" s="18" t="n"/>
      <c r="D1292" s="18" t="n"/>
      <c r="E1292" s="19" t="n"/>
      <c r="F1292" s="19" t="n"/>
      <c r="G1292" s="18" t="n"/>
      <c r="H1292" s="18" t="n"/>
      <c r="I1292" s="18" t="n"/>
      <c r="J1292" s="20" t="n"/>
      <c r="K1292" s="21" t="n"/>
      <c r="L1292" s="21" t="n"/>
      <c r="M1292" s="18" t="n"/>
      <c r="N1292" s="22">
        <f>IF($B1292="","",CHOOSE(WEEKDAY($B1292),"الأحد","الاثنين","الثلاثاء","الأربعاء","الخميس","الجمعة","السبت"))</f>
        <v/>
      </c>
      <c r="O1292" s="23">
        <f>IF(OR($K1292="",$L1292=""),"",HYPERLINK("https://maps.google.com/?q="&amp;$K1292&amp;","&amp;$L1292,"عرض الموقع"))</f>
        <v/>
      </c>
      <c r="P1292" s="23">
        <f>IF(OR($B1292="",N($J1292)=0),"",HYPERLINK(PhotoDir&amp;"/"&amp;YEAR($B1292)&amp;"-"&amp;TEXT(MONTH($B1292),"00")&amp;"-"&amp;TEXT(DAY($B1292),"00")&amp;"_"&amp;$D1292,"فتح الصور ("&amp;$J1292&amp;")"))</f>
        <v/>
      </c>
      <c r="Q1292" s="24">
        <f>IF($B1292="","",MONTH($B1292))</f>
        <v/>
      </c>
      <c r="R1292" s="24">
        <f>IF($B1292="","",YEAR($B1292))</f>
        <v/>
      </c>
      <c r="S1292" s="25">
        <f>IF($B1292="","",$B1292-WEEKDAY($B1292,3))</f>
        <v/>
      </c>
      <c r="T1292" s="24">
        <f>IF($B1292="",0,IF(COUNTIFS($B$5:$B1292,$B1292,$D$5:$D1292,$D1292)=1,1,0))</f>
        <v/>
      </c>
      <c r="U1292" s="24">
        <f>IF($B1292="",0,IF(COUNTIFS($B$5:$B1292,$B1292,$C$5:$C1292,$C1292)=1,1,0))</f>
        <v/>
      </c>
      <c r="V1292" s="24">
        <f>IF(OR($B1292="",$G1292="",$G1292="لا توجد مشاهدات"),0,1)</f>
        <v/>
      </c>
      <c r="W1292" s="24">
        <f>IF(AND($B1292&lt;&gt;"",$I1292="تم تحرير مخالفة"),1,0)</f>
        <v/>
      </c>
      <c r="X1292" s="24">
        <f>IF($B1292="","",IF($S1292=WkStart,COUNTIF($S$5:$S1292,WkStart),""))</f>
        <v/>
      </c>
    </row>
    <row r="1293">
      <c r="A1293" s="16">
        <f>IF($B1293="","",ROW()-4)</f>
        <v/>
      </c>
      <c r="B1293" s="17" t="n"/>
      <c r="C1293" s="18" t="n"/>
      <c r="D1293" s="18" t="n"/>
      <c r="E1293" s="19" t="n"/>
      <c r="F1293" s="19" t="n"/>
      <c r="G1293" s="18" t="n"/>
      <c r="H1293" s="18" t="n"/>
      <c r="I1293" s="18" t="n"/>
      <c r="J1293" s="20" t="n"/>
      <c r="K1293" s="21" t="n"/>
      <c r="L1293" s="21" t="n"/>
      <c r="M1293" s="18" t="n"/>
      <c r="N1293" s="22">
        <f>IF($B1293="","",CHOOSE(WEEKDAY($B1293),"الأحد","الاثنين","الثلاثاء","الأربعاء","الخميس","الجمعة","السبت"))</f>
        <v/>
      </c>
      <c r="O1293" s="23">
        <f>IF(OR($K1293="",$L1293=""),"",HYPERLINK("https://maps.google.com/?q="&amp;$K1293&amp;","&amp;$L1293,"عرض الموقع"))</f>
        <v/>
      </c>
      <c r="P1293" s="23">
        <f>IF(OR($B1293="",N($J1293)=0),"",HYPERLINK(PhotoDir&amp;"/"&amp;YEAR($B1293)&amp;"-"&amp;TEXT(MONTH($B1293),"00")&amp;"-"&amp;TEXT(DAY($B1293),"00")&amp;"_"&amp;$D1293,"فتح الصور ("&amp;$J1293&amp;")"))</f>
        <v/>
      </c>
      <c r="Q1293" s="24">
        <f>IF($B1293="","",MONTH($B1293))</f>
        <v/>
      </c>
      <c r="R1293" s="24">
        <f>IF($B1293="","",YEAR($B1293))</f>
        <v/>
      </c>
      <c r="S1293" s="25">
        <f>IF($B1293="","",$B1293-WEEKDAY($B1293,3))</f>
        <v/>
      </c>
      <c r="T1293" s="24">
        <f>IF($B1293="",0,IF(COUNTIFS($B$5:$B1293,$B1293,$D$5:$D1293,$D1293)=1,1,0))</f>
        <v/>
      </c>
      <c r="U1293" s="24">
        <f>IF($B1293="",0,IF(COUNTIFS($B$5:$B1293,$B1293,$C$5:$C1293,$C1293)=1,1,0))</f>
        <v/>
      </c>
      <c r="V1293" s="24">
        <f>IF(OR($B1293="",$G1293="",$G1293="لا توجد مشاهدات"),0,1)</f>
        <v/>
      </c>
      <c r="W1293" s="24">
        <f>IF(AND($B1293&lt;&gt;"",$I1293="تم تحرير مخالفة"),1,0)</f>
        <v/>
      </c>
      <c r="X1293" s="24">
        <f>IF($B1293="","",IF($S1293=WkStart,COUNTIF($S$5:$S1293,WkStart),""))</f>
        <v/>
      </c>
    </row>
    <row r="1294">
      <c r="A1294" s="16">
        <f>IF($B1294="","",ROW()-4)</f>
        <v/>
      </c>
      <c r="B1294" s="17" t="n"/>
      <c r="C1294" s="18" t="n"/>
      <c r="D1294" s="18" t="n"/>
      <c r="E1294" s="19" t="n"/>
      <c r="F1294" s="19" t="n"/>
      <c r="G1294" s="18" t="n"/>
      <c r="H1294" s="18" t="n"/>
      <c r="I1294" s="18" t="n"/>
      <c r="J1294" s="20" t="n"/>
      <c r="K1294" s="21" t="n"/>
      <c r="L1294" s="21" t="n"/>
      <c r="M1294" s="18" t="n"/>
      <c r="N1294" s="22">
        <f>IF($B1294="","",CHOOSE(WEEKDAY($B1294),"الأحد","الاثنين","الثلاثاء","الأربعاء","الخميس","الجمعة","السبت"))</f>
        <v/>
      </c>
      <c r="O1294" s="23">
        <f>IF(OR($K1294="",$L1294=""),"",HYPERLINK("https://maps.google.com/?q="&amp;$K1294&amp;","&amp;$L1294,"عرض الموقع"))</f>
        <v/>
      </c>
      <c r="P1294" s="23">
        <f>IF(OR($B1294="",N($J1294)=0),"",HYPERLINK(PhotoDir&amp;"/"&amp;YEAR($B1294)&amp;"-"&amp;TEXT(MONTH($B1294),"00")&amp;"-"&amp;TEXT(DAY($B1294),"00")&amp;"_"&amp;$D1294,"فتح الصور ("&amp;$J1294&amp;")"))</f>
        <v/>
      </c>
      <c r="Q1294" s="24">
        <f>IF($B1294="","",MONTH($B1294))</f>
        <v/>
      </c>
      <c r="R1294" s="24">
        <f>IF($B1294="","",YEAR($B1294))</f>
        <v/>
      </c>
      <c r="S1294" s="25">
        <f>IF($B1294="","",$B1294-WEEKDAY($B1294,3))</f>
        <v/>
      </c>
      <c r="T1294" s="24">
        <f>IF($B1294="",0,IF(COUNTIFS($B$5:$B1294,$B1294,$D$5:$D1294,$D1294)=1,1,0))</f>
        <v/>
      </c>
      <c r="U1294" s="24">
        <f>IF($B1294="",0,IF(COUNTIFS($B$5:$B1294,$B1294,$C$5:$C1294,$C1294)=1,1,0))</f>
        <v/>
      </c>
      <c r="V1294" s="24">
        <f>IF(OR($B1294="",$G1294="",$G1294="لا توجد مشاهدات"),0,1)</f>
        <v/>
      </c>
      <c r="W1294" s="24">
        <f>IF(AND($B1294&lt;&gt;"",$I1294="تم تحرير مخالفة"),1,0)</f>
        <v/>
      </c>
      <c r="X1294" s="24">
        <f>IF($B1294="","",IF($S1294=WkStart,COUNTIF($S$5:$S1294,WkStart),""))</f>
        <v/>
      </c>
    </row>
    <row r="1295">
      <c r="A1295" s="16">
        <f>IF($B1295="","",ROW()-4)</f>
        <v/>
      </c>
      <c r="B1295" s="17" t="n"/>
      <c r="C1295" s="18" t="n"/>
      <c r="D1295" s="18" t="n"/>
      <c r="E1295" s="19" t="n"/>
      <c r="F1295" s="19" t="n"/>
      <c r="G1295" s="18" t="n"/>
      <c r="H1295" s="18" t="n"/>
      <c r="I1295" s="18" t="n"/>
      <c r="J1295" s="20" t="n"/>
      <c r="K1295" s="21" t="n"/>
      <c r="L1295" s="21" t="n"/>
      <c r="M1295" s="18" t="n"/>
      <c r="N1295" s="22">
        <f>IF($B1295="","",CHOOSE(WEEKDAY($B1295),"الأحد","الاثنين","الثلاثاء","الأربعاء","الخميس","الجمعة","السبت"))</f>
        <v/>
      </c>
      <c r="O1295" s="23">
        <f>IF(OR($K1295="",$L1295=""),"",HYPERLINK("https://maps.google.com/?q="&amp;$K1295&amp;","&amp;$L1295,"عرض الموقع"))</f>
        <v/>
      </c>
      <c r="P1295" s="23">
        <f>IF(OR($B1295="",N($J1295)=0),"",HYPERLINK(PhotoDir&amp;"/"&amp;YEAR($B1295)&amp;"-"&amp;TEXT(MONTH($B1295),"00")&amp;"-"&amp;TEXT(DAY($B1295),"00")&amp;"_"&amp;$D1295,"فتح الصور ("&amp;$J1295&amp;")"))</f>
        <v/>
      </c>
      <c r="Q1295" s="24">
        <f>IF($B1295="","",MONTH($B1295))</f>
        <v/>
      </c>
      <c r="R1295" s="24">
        <f>IF($B1295="","",YEAR($B1295))</f>
        <v/>
      </c>
      <c r="S1295" s="25">
        <f>IF($B1295="","",$B1295-WEEKDAY($B1295,3))</f>
        <v/>
      </c>
      <c r="T1295" s="24">
        <f>IF($B1295="",0,IF(COUNTIFS($B$5:$B1295,$B1295,$D$5:$D1295,$D1295)=1,1,0))</f>
        <v/>
      </c>
      <c r="U1295" s="24">
        <f>IF($B1295="",0,IF(COUNTIFS($B$5:$B1295,$B1295,$C$5:$C1295,$C1295)=1,1,0))</f>
        <v/>
      </c>
      <c r="V1295" s="24">
        <f>IF(OR($B1295="",$G1295="",$G1295="لا توجد مشاهدات"),0,1)</f>
        <v/>
      </c>
      <c r="W1295" s="24">
        <f>IF(AND($B1295&lt;&gt;"",$I1295="تم تحرير مخالفة"),1,0)</f>
        <v/>
      </c>
      <c r="X1295" s="24">
        <f>IF($B1295="","",IF($S1295=WkStart,COUNTIF($S$5:$S1295,WkStart),""))</f>
        <v/>
      </c>
    </row>
    <row r="1296">
      <c r="A1296" s="16">
        <f>IF($B1296="","",ROW()-4)</f>
        <v/>
      </c>
      <c r="B1296" s="17" t="n"/>
      <c r="C1296" s="18" t="n"/>
      <c r="D1296" s="18" t="n"/>
      <c r="E1296" s="19" t="n"/>
      <c r="F1296" s="19" t="n"/>
      <c r="G1296" s="18" t="n"/>
      <c r="H1296" s="18" t="n"/>
      <c r="I1296" s="18" t="n"/>
      <c r="J1296" s="20" t="n"/>
      <c r="K1296" s="21" t="n"/>
      <c r="L1296" s="21" t="n"/>
      <c r="M1296" s="18" t="n"/>
      <c r="N1296" s="22">
        <f>IF($B1296="","",CHOOSE(WEEKDAY($B1296),"الأحد","الاثنين","الثلاثاء","الأربعاء","الخميس","الجمعة","السبت"))</f>
        <v/>
      </c>
      <c r="O1296" s="23">
        <f>IF(OR($K1296="",$L1296=""),"",HYPERLINK("https://maps.google.com/?q="&amp;$K1296&amp;","&amp;$L1296,"عرض الموقع"))</f>
        <v/>
      </c>
      <c r="P1296" s="23">
        <f>IF(OR($B1296="",N($J1296)=0),"",HYPERLINK(PhotoDir&amp;"/"&amp;YEAR($B1296)&amp;"-"&amp;TEXT(MONTH($B1296),"00")&amp;"-"&amp;TEXT(DAY($B1296),"00")&amp;"_"&amp;$D1296,"فتح الصور ("&amp;$J1296&amp;")"))</f>
        <v/>
      </c>
      <c r="Q1296" s="24">
        <f>IF($B1296="","",MONTH($B1296))</f>
        <v/>
      </c>
      <c r="R1296" s="24">
        <f>IF($B1296="","",YEAR($B1296))</f>
        <v/>
      </c>
      <c r="S1296" s="25">
        <f>IF($B1296="","",$B1296-WEEKDAY($B1296,3))</f>
        <v/>
      </c>
      <c r="T1296" s="24">
        <f>IF($B1296="",0,IF(COUNTIFS($B$5:$B1296,$B1296,$D$5:$D1296,$D1296)=1,1,0))</f>
        <v/>
      </c>
      <c r="U1296" s="24">
        <f>IF($B1296="",0,IF(COUNTIFS($B$5:$B1296,$B1296,$C$5:$C1296,$C1296)=1,1,0))</f>
        <v/>
      </c>
      <c r="V1296" s="24">
        <f>IF(OR($B1296="",$G1296="",$G1296="لا توجد مشاهدات"),0,1)</f>
        <v/>
      </c>
      <c r="W1296" s="24">
        <f>IF(AND($B1296&lt;&gt;"",$I1296="تم تحرير مخالفة"),1,0)</f>
        <v/>
      </c>
      <c r="X1296" s="24">
        <f>IF($B1296="","",IF($S1296=WkStart,COUNTIF($S$5:$S1296,WkStart),""))</f>
        <v/>
      </c>
    </row>
    <row r="1297">
      <c r="A1297" s="16">
        <f>IF($B1297="","",ROW()-4)</f>
        <v/>
      </c>
      <c r="B1297" s="17" t="n"/>
      <c r="C1297" s="18" t="n"/>
      <c r="D1297" s="18" t="n"/>
      <c r="E1297" s="19" t="n"/>
      <c r="F1297" s="19" t="n"/>
      <c r="G1297" s="18" t="n"/>
      <c r="H1297" s="18" t="n"/>
      <c r="I1297" s="18" t="n"/>
      <c r="J1297" s="20" t="n"/>
      <c r="K1297" s="21" t="n"/>
      <c r="L1297" s="21" t="n"/>
      <c r="M1297" s="18" t="n"/>
      <c r="N1297" s="22">
        <f>IF($B1297="","",CHOOSE(WEEKDAY($B1297),"الأحد","الاثنين","الثلاثاء","الأربعاء","الخميس","الجمعة","السبت"))</f>
        <v/>
      </c>
      <c r="O1297" s="23">
        <f>IF(OR($K1297="",$L1297=""),"",HYPERLINK("https://maps.google.com/?q="&amp;$K1297&amp;","&amp;$L1297,"عرض الموقع"))</f>
        <v/>
      </c>
      <c r="P1297" s="23">
        <f>IF(OR($B1297="",N($J1297)=0),"",HYPERLINK(PhotoDir&amp;"/"&amp;YEAR($B1297)&amp;"-"&amp;TEXT(MONTH($B1297),"00")&amp;"-"&amp;TEXT(DAY($B1297),"00")&amp;"_"&amp;$D1297,"فتح الصور ("&amp;$J1297&amp;")"))</f>
        <v/>
      </c>
      <c r="Q1297" s="24">
        <f>IF($B1297="","",MONTH($B1297))</f>
        <v/>
      </c>
      <c r="R1297" s="24">
        <f>IF($B1297="","",YEAR($B1297))</f>
        <v/>
      </c>
      <c r="S1297" s="25">
        <f>IF($B1297="","",$B1297-WEEKDAY($B1297,3))</f>
        <v/>
      </c>
      <c r="T1297" s="24">
        <f>IF($B1297="",0,IF(COUNTIFS($B$5:$B1297,$B1297,$D$5:$D1297,$D1297)=1,1,0))</f>
        <v/>
      </c>
      <c r="U1297" s="24">
        <f>IF($B1297="",0,IF(COUNTIFS($B$5:$B1297,$B1297,$C$5:$C1297,$C1297)=1,1,0))</f>
        <v/>
      </c>
      <c r="V1297" s="24">
        <f>IF(OR($B1297="",$G1297="",$G1297="لا توجد مشاهدات"),0,1)</f>
        <v/>
      </c>
      <c r="W1297" s="24">
        <f>IF(AND($B1297&lt;&gt;"",$I1297="تم تحرير مخالفة"),1,0)</f>
        <v/>
      </c>
      <c r="X1297" s="24">
        <f>IF($B1297="","",IF($S1297=WkStart,COUNTIF($S$5:$S1297,WkStart),""))</f>
        <v/>
      </c>
    </row>
    <row r="1298">
      <c r="A1298" s="16">
        <f>IF($B1298="","",ROW()-4)</f>
        <v/>
      </c>
      <c r="B1298" s="17" t="n"/>
      <c r="C1298" s="18" t="n"/>
      <c r="D1298" s="18" t="n"/>
      <c r="E1298" s="19" t="n"/>
      <c r="F1298" s="19" t="n"/>
      <c r="G1298" s="18" t="n"/>
      <c r="H1298" s="18" t="n"/>
      <c r="I1298" s="18" t="n"/>
      <c r="J1298" s="20" t="n"/>
      <c r="K1298" s="21" t="n"/>
      <c r="L1298" s="21" t="n"/>
      <c r="M1298" s="18" t="n"/>
      <c r="N1298" s="22">
        <f>IF($B1298="","",CHOOSE(WEEKDAY($B1298),"الأحد","الاثنين","الثلاثاء","الأربعاء","الخميس","الجمعة","السبت"))</f>
        <v/>
      </c>
      <c r="O1298" s="23">
        <f>IF(OR($K1298="",$L1298=""),"",HYPERLINK("https://maps.google.com/?q="&amp;$K1298&amp;","&amp;$L1298,"عرض الموقع"))</f>
        <v/>
      </c>
      <c r="P1298" s="23">
        <f>IF(OR($B1298="",N($J1298)=0),"",HYPERLINK(PhotoDir&amp;"/"&amp;YEAR($B1298)&amp;"-"&amp;TEXT(MONTH($B1298),"00")&amp;"-"&amp;TEXT(DAY($B1298),"00")&amp;"_"&amp;$D1298,"فتح الصور ("&amp;$J1298&amp;")"))</f>
        <v/>
      </c>
      <c r="Q1298" s="24">
        <f>IF($B1298="","",MONTH($B1298))</f>
        <v/>
      </c>
      <c r="R1298" s="24">
        <f>IF($B1298="","",YEAR($B1298))</f>
        <v/>
      </c>
      <c r="S1298" s="25">
        <f>IF($B1298="","",$B1298-WEEKDAY($B1298,3))</f>
        <v/>
      </c>
      <c r="T1298" s="24">
        <f>IF($B1298="",0,IF(COUNTIFS($B$5:$B1298,$B1298,$D$5:$D1298,$D1298)=1,1,0))</f>
        <v/>
      </c>
      <c r="U1298" s="24">
        <f>IF($B1298="",0,IF(COUNTIFS($B$5:$B1298,$B1298,$C$5:$C1298,$C1298)=1,1,0))</f>
        <v/>
      </c>
      <c r="V1298" s="24">
        <f>IF(OR($B1298="",$G1298="",$G1298="لا توجد مشاهدات"),0,1)</f>
        <v/>
      </c>
      <c r="W1298" s="24">
        <f>IF(AND($B1298&lt;&gt;"",$I1298="تم تحرير مخالفة"),1,0)</f>
        <v/>
      </c>
      <c r="X1298" s="24">
        <f>IF($B1298="","",IF($S1298=WkStart,COUNTIF($S$5:$S1298,WkStart),""))</f>
        <v/>
      </c>
    </row>
    <row r="1299">
      <c r="A1299" s="16">
        <f>IF($B1299="","",ROW()-4)</f>
        <v/>
      </c>
      <c r="B1299" s="17" t="n"/>
      <c r="C1299" s="18" t="n"/>
      <c r="D1299" s="18" t="n"/>
      <c r="E1299" s="19" t="n"/>
      <c r="F1299" s="19" t="n"/>
      <c r="G1299" s="18" t="n"/>
      <c r="H1299" s="18" t="n"/>
      <c r="I1299" s="18" t="n"/>
      <c r="J1299" s="20" t="n"/>
      <c r="K1299" s="21" t="n"/>
      <c r="L1299" s="21" t="n"/>
      <c r="M1299" s="18" t="n"/>
      <c r="N1299" s="22">
        <f>IF($B1299="","",CHOOSE(WEEKDAY($B1299),"الأحد","الاثنين","الثلاثاء","الأربعاء","الخميس","الجمعة","السبت"))</f>
        <v/>
      </c>
      <c r="O1299" s="23">
        <f>IF(OR($K1299="",$L1299=""),"",HYPERLINK("https://maps.google.com/?q="&amp;$K1299&amp;","&amp;$L1299,"عرض الموقع"))</f>
        <v/>
      </c>
      <c r="P1299" s="23">
        <f>IF(OR($B1299="",N($J1299)=0),"",HYPERLINK(PhotoDir&amp;"/"&amp;YEAR($B1299)&amp;"-"&amp;TEXT(MONTH($B1299),"00")&amp;"-"&amp;TEXT(DAY($B1299),"00")&amp;"_"&amp;$D1299,"فتح الصور ("&amp;$J1299&amp;")"))</f>
        <v/>
      </c>
      <c r="Q1299" s="24">
        <f>IF($B1299="","",MONTH($B1299))</f>
        <v/>
      </c>
      <c r="R1299" s="24">
        <f>IF($B1299="","",YEAR($B1299))</f>
        <v/>
      </c>
      <c r="S1299" s="25">
        <f>IF($B1299="","",$B1299-WEEKDAY($B1299,3))</f>
        <v/>
      </c>
      <c r="T1299" s="24">
        <f>IF($B1299="",0,IF(COUNTIFS($B$5:$B1299,$B1299,$D$5:$D1299,$D1299)=1,1,0))</f>
        <v/>
      </c>
      <c r="U1299" s="24">
        <f>IF($B1299="",0,IF(COUNTIFS($B$5:$B1299,$B1299,$C$5:$C1299,$C1299)=1,1,0))</f>
        <v/>
      </c>
      <c r="V1299" s="24">
        <f>IF(OR($B1299="",$G1299="",$G1299="لا توجد مشاهدات"),0,1)</f>
        <v/>
      </c>
      <c r="W1299" s="24">
        <f>IF(AND($B1299&lt;&gt;"",$I1299="تم تحرير مخالفة"),1,0)</f>
        <v/>
      </c>
      <c r="X1299" s="24">
        <f>IF($B1299="","",IF($S1299=WkStart,COUNTIF($S$5:$S1299,WkStart),""))</f>
        <v/>
      </c>
    </row>
    <row r="1300">
      <c r="A1300" s="16">
        <f>IF($B1300="","",ROW()-4)</f>
        <v/>
      </c>
      <c r="B1300" s="17" t="n"/>
      <c r="C1300" s="18" t="n"/>
      <c r="D1300" s="18" t="n"/>
      <c r="E1300" s="19" t="n"/>
      <c r="F1300" s="19" t="n"/>
      <c r="G1300" s="18" t="n"/>
      <c r="H1300" s="18" t="n"/>
      <c r="I1300" s="18" t="n"/>
      <c r="J1300" s="20" t="n"/>
      <c r="K1300" s="21" t="n"/>
      <c r="L1300" s="21" t="n"/>
      <c r="M1300" s="18" t="n"/>
      <c r="N1300" s="22">
        <f>IF($B1300="","",CHOOSE(WEEKDAY($B1300),"الأحد","الاثنين","الثلاثاء","الأربعاء","الخميس","الجمعة","السبت"))</f>
        <v/>
      </c>
      <c r="O1300" s="23">
        <f>IF(OR($K1300="",$L1300=""),"",HYPERLINK("https://maps.google.com/?q="&amp;$K1300&amp;","&amp;$L1300,"عرض الموقع"))</f>
        <v/>
      </c>
      <c r="P1300" s="23">
        <f>IF(OR($B1300="",N($J1300)=0),"",HYPERLINK(PhotoDir&amp;"/"&amp;YEAR($B1300)&amp;"-"&amp;TEXT(MONTH($B1300),"00")&amp;"-"&amp;TEXT(DAY($B1300),"00")&amp;"_"&amp;$D1300,"فتح الصور ("&amp;$J1300&amp;")"))</f>
        <v/>
      </c>
      <c r="Q1300" s="24">
        <f>IF($B1300="","",MONTH($B1300))</f>
        <v/>
      </c>
      <c r="R1300" s="24">
        <f>IF($B1300="","",YEAR($B1300))</f>
        <v/>
      </c>
      <c r="S1300" s="25">
        <f>IF($B1300="","",$B1300-WEEKDAY($B1300,3))</f>
        <v/>
      </c>
      <c r="T1300" s="24">
        <f>IF($B1300="",0,IF(COUNTIFS($B$5:$B1300,$B1300,$D$5:$D1300,$D1300)=1,1,0))</f>
        <v/>
      </c>
      <c r="U1300" s="24">
        <f>IF($B1300="",0,IF(COUNTIFS($B$5:$B1300,$B1300,$C$5:$C1300,$C1300)=1,1,0))</f>
        <v/>
      </c>
      <c r="V1300" s="24">
        <f>IF(OR($B1300="",$G1300="",$G1300="لا توجد مشاهدات"),0,1)</f>
        <v/>
      </c>
      <c r="W1300" s="24">
        <f>IF(AND($B1300&lt;&gt;"",$I1300="تم تحرير مخالفة"),1,0)</f>
        <v/>
      </c>
      <c r="X1300" s="24">
        <f>IF($B1300="","",IF($S1300=WkStart,COUNTIF($S$5:$S1300,WkStart),""))</f>
        <v/>
      </c>
    </row>
    <row r="1301">
      <c r="A1301" s="16">
        <f>IF($B1301="","",ROW()-4)</f>
        <v/>
      </c>
      <c r="B1301" s="17" t="n"/>
      <c r="C1301" s="18" t="n"/>
      <c r="D1301" s="18" t="n"/>
      <c r="E1301" s="19" t="n"/>
      <c r="F1301" s="19" t="n"/>
      <c r="G1301" s="18" t="n"/>
      <c r="H1301" s="18" t="n"/>
      <c r="I1301" s="18" t="n"/>
      <c r="J1301" s="20" t="n"/>
      <c r="K1301" s="21" t="n"/>
      <c r="L1301" s="21" t="n"/>
      <c r="M1301" s="18" t="n"/>
      <c r="N1301" s="22">
        <f>IF($B1301="","",CHOOSE(WEEKDAY($B1301),"الأحد","الاثنين","الثلاثاء","الأربعاء","الخميس","الجمعة","السبت"))</f>
        <v/>
      </c>
      <c r="O1301" s="23">
        <f>IF(OR($K1301="",$L1301=""),"",HYPERLINK("https://maps.google.com/?q="&amp;$K1301&amp;","&amp;$L1301,"عرض الموقع"))</f>
        <v/>
      </c>
      <c r="P1301" s="23">
        <f>IF(OR($B1301="",N($J1301)=0),"",HYPERLINK(PhotoDir&amp;"/"&amp;YEAR($B1301)&amp;"-"&amp;TEXT(MONTH($B1301),"00")&amp;"-"&amp;TEXT(DAY($B1301),"00")&amp;"_"&amp;$D1301,"فتح الصور ("&amp;$J1301&amp;")"))</f>
        <v/>
      </c>
      <c r="Q1301" s="24">
        <f>IF($B1301="","",MONTH($B1301))</f>
        <v/>
      </c>
      <c r="R1301" s="24">
        <f>IF($B1301="","",YEAR($B1301))</f>
        <v/>
      </c>
      <c r="S1301" s="25">
        <f>IF($B1301="","",$B1301-WEEKDAY($B1301,3))</f>
        <v/>
      </c>
      <c r="T1301" s="24">
        <f>IF($B1301="",0,IF(COUNTIFS($B$5:$B1301,$B1301,$D$5:$D1301,$D1301)=1,1,0))</f>
        <v/>
      </c>
      <c r="U1301" s="24">
        <f>IF($B1301="",0,IF(COUNTIFS($B$5:$B1301,$B1301,$C$5:$C1301,$C1301)=1,1,0))</f>
        <v/>
      </c>
      <c r="V1301" s="24">
        <f>IF(OR($B1301="",$G1301="",$G1301="لا توجد مشاهدات"),0,1)</f>
        <v/>
      </c>
      <c r="W1301" s="24">
        <f>IF(AND($B1301&lt;&gt;"",$I1301="تم تحرير مخالفة"),1,0)</f>
        <v/>
      </c>
      <c r="X1301" s="24">
        <f>IF($B1301="","",IF($S1301=WkStart,COUNTIF($S$5:$S1301,WkStart),""))</f>
        <v/>
      </c>
    </row>
    <row r="1302">
      <c r="A1302" s="16">
        <f>IF($B1302="","",ROW()-4)</f>
        <v/>
      </c>
      <c r="B1302" s="17" t="n"/>
      <c r="C1302" s="18" t="n"/>
      <c r="D1302" s="18" t="n"/>
      <c r="E1302" s="19" t="n"/>
      <c r="F1302" s="19" t="n"/>
      <c r="G1302" s="18" t="n"/>
      <c r="H1302" s="18" t="n"/>
      <c r="I1302" s="18" t="n"/>
      <c r="J1302" s="20" t="n"/>
      <c r="K1302" s="21" t="n"/>
      <c r="L1302" s="21" t="n"/>
      <c r="M1302" s="18" t="n"/>
      <c r="N1302" s="22">
        <f>IF($B1302="","",CHOOSE(WEEKDAY($B1302),"الأحد","الاثنين","الثلاثاء","الأربعاء","الخميس","الجمعة","السبت"))</f>
        <v/>
      </c>
      <c r="O1302" s="23">
        <f>IF(OR($K1302="",$L1302=""),"",HYPERLINK("https://maps.google.com/?q="&amp;$K1302&amp;","&amp;$L1302,"عرض الموقع"))</f>
        <v/>
      </c>
      <c r="P1302" s="23">
        <f>IF(OR($B1302="",N($J1302)=0),"",HYPERLINK(PhotoDir&amp;"/"&amp;YEAR($B1302)&amp;"-"&amp;TEXT(MONTH($B1302),"00")&amp;"-"&amp;TEXT(DAY($B1302),"00")&amp;"_"&amp;$D1302,"فتح الصور ("&amp;$J1302&amp;")"))</f>
        <v/>
      </c>
      <c r="Q1302" s="24">
        <f>IF($B1302="","",MONTH($B1302))</f>
        <v/>
      </c>
      <c r="R1302" s="24">
        <f>IF($B1302="","",YEAR($B1302))</f>
        <v/>
      </c>
      <c r="S1302" s="25">
        <f>IF($B1302="","",$B1302-WEEKDAY($B1302,3))</f>
        <v/>
      </c>
      <c r="T1302" s="24">
        <f>IF($B1302="",0,IF(COUNTIFS($B$5:$B1302,$B1302,$D$5:$D1302,$D1302)=1,1,0))</f>
        <v/>
      </c>
      <c r="U1302" s="24">
        <f>IF($B1302="",0,IF(COUNTIFS($B$5:$B1302,$B1302,$C$5:$C1302,$C1302)=1,1,0))</f>
        <v/>
      </c>
      <c r="V1302" s="24">
        <f>IF(OR($B1302="",$G1302="",$G1302="لا توجد مشاهدات"),0,1)</f>
        <v/>
      </c>
      <c r="W1302" s="24">
        <f>IF(AND($B1302&lt;&gt;"",$I1302="تم تحرير مخالفة"),1,0)</f>
        <v/>
      </c>
      <c r="X1302" s="24">
        <f>IF($B1302="","",IF($S1302=WkStart,COUNTIF($S$5:$S1302,WkStart),""))</f>
        <v/>
      </c>
    </row>
    <row r="1303">
      <c r="A1303" s="16">
        <f>IF($B1303="","",ROW()-4)</f>
        <v/>
      </c>
      <c r="B1303" s="17" t="n"/>
      <c r="C1303" s="18" t="n"/>
      <c r="D1303" s="18" t="n"/>
      <c r="E1303" s="19" t="n"/>
      <c r="F1303" s="19" t="n"/>
      <c r="G1303" s="18" t="n"/>
      <c r="H1303" s="18" t="n"/>
      <c r="I1303" s="18" t="n"/>
      <c r="J1303" s="20" t="n"/>
      <c r="K1303" s="21" t="n"/>
      <c r="L1303" s="21" t="n"/>
      <c r="M1303" s="18" t="n"/>
      <c r="N1303" s="22">
        <f>IF($B1303="","",CHOOSE(WEEKDAY($B1303),"الأحد","الاثنين","الثلاثاء","الأربعاء","الخميس","الجمعة","السبت"))</f>
        <v/>
      </c>
      <c r="O1303" s="23">
        <f>IF(OR($K1303="",$L1303=""),"",HYPERLINK("https://maps.google.com/?q="&amp;$K1303&amp;","&amp;$L1303,"عرض الموقع"))</f>
        <v/>
      </c>
      <c r="P1303" s="23">
        <f>IF(OR($B1303="",N($J1303)=0),"",HYPERLINK(PhotoDir&amp;"/"&amp;YEAR($B1303)&amp;"-"&amp;TEXT(MONTH($B1303),"00")&amp;"-"&amp;TEXT(DAY($B1303),"00")&amp;"_"&amp;$D1303,"فتح الصور ("&amp;$J1303&amp;")"))</f>
        <v/>
      </c>
      <c r="Q1303" s="24">
        <f>IF($B1303="","",MONTH($B1303))</f>
        <v/>
      </c>
      <c r="R1303" s="24">
        <f>IF($B1303="","",YEAR($B1303))</f>
        <v/>
      </c>
      <c r="S1303" s="25">
        <f>IF($B1303="","",$B1303-WEEKDAY($B1303,3))</f>
        <v/>
      </c>
      <c r="T1303" s="24">
        <f>IF($B1303="",0,IF(COUNTIFS($B$5:$B1303,$B1303,$D$5:$D1303,$D1303)=1,1,0))</f>
        <v/>
      </c>
      <c r="U1303" s="24">
        <f>IF($B1303="",0,IF(COUNTIFS($B$5:$B1303,$B1303,$C$5:$C1303,$C1303)=1,1,0))</f>
        <v/>
      </c>
      <c r="V1303" s="24">
        <f>IF(OR($B1303="",$G1303="",$G1303="لا توجد مشاهدات"),0,1)</f>
        <v/>
      </c>
      <c r="W1303" s="24">
        <f>IF(AND($B1303&lt;&gt;"",$I1303="تم تحرير مخالفة"),1,0)</f>
        <v/>
      </c>
      <c r="X1303" s="24">
        <f>IF($B1303="","",IF($S1303=WkStart,COUNTIF($S$5:$S1303,WkStart),""))</f>
        <v/>
      </c>
    </row>
    <row r="1304">
      <c r="A1304" s="16">
        <f>IF($B1304="","",ROW()-4)</f>
        <v/>
      </c>
      <c r="B1304" s="17" t="n"/>
      <c r="C1304" s="18" t="n"/>
      <c r="D1304" s="18" t="n"/>
      <c r="E1304" s="19" t="n"/>
      <c r="F1304" s="19" t="n"/>
      <c r="G1304" s="18" t="n"/>
      <c r="H1304" s="18" t="n"/>
      <c r="I1304" s="18" t="n"/>
      <c r="J1304" s="20" t="n"/>
      <c r="K1304" s="21" t="n"/>
      <c r="L1304" s="21" t="n"/>
      <c r="M1304" s="18" t="n"/>
      <c r="N1304" s="22">
        <f>IF($B1304="","",CHOOSE(WEEKDAY($B1304),"الأحد","الاثنين","الثلاثاء","الأربعاء","الخميس","الجمعة","السبت"))</f>
        <v/>
      </c>
      <c r="O1304" s="23">
        <f>IF(OR($K1304="",$L1304=""),"",HYPERLINK("https://maps.google.com/?q="&amp;$K1304&amp;","&amp;$L1304,"عرض الموقع"))</f>
        <v/>
      </c>
      <c r="P1304" s="23">
        <f>IF(OR($B1304="",N($J1304)=0),"",HYPERLINK(PhotoDir&amp;"/"&amp;YEAR($B1304)&amp;"-"&amp;TEXT(MONTH($B1304),"00")&amp;"-"&amp;TEXT(DAY($B1304),"00")&amp;"_"&amp;$D1304,"فتح الصور ("&amp;$J1304&amp;")"))</f>
        <v/>
      </c>
      <c r="Q1304" s="24">
        <f>IF($B1304="","",MONTH($B1304))</f>
        <v/>
      </c>
      <c r="R1304" s="24">
        <f>IF($B1304="","",YEAR($B1304))</f>
        <v/>
      </c>
      <c r="S1304" s="25">
        <f>IF($B1304="","",$B1304-WEEKDAY($B1304,3))</f>
        <v/>
      </c>
      <c r="T1304" s="24">
        <f>IF($B1304="",0,IF(COUNTIFS($B$5:$B1304,$B1304,$D$5:$D1304,$D1304)=1,1,0))</f>
        <v/>
      </c>
      <c r="U1304" s="24">
        <f>IF($B1304="",0,IF(COUNTIFS($B$5:$B1304,$B1304,$C$5:$C1304,$C1304)=1,1,0))</f>
        <v/>
      </c>
      <c r="V1304" s="24">
        <f>IF(OR($B1304="",$G1304="",$G1304="لا توجد مشاهدات"),0,1)</f>
        <v/>
      </c>
      <c r="W1304" s="24">
        <f>IF(AND($B1304&lt;&gt;"",$I1304="تم تحرير مخالفة"),1,0)</f>
        <v/>
      </c>
      <c r="X1304" s="24">
        <f>IF($B1304="","",IF($S1304=WkStart,COUNTIF($S$5:$S1304,WkStart),""))</f>
        <v/>
      </c>
    </row>
    <row r="1305">
      <c r="A1305" s="16">
        <f>IF($B1305="","",ROW()-4)</f>
        <v/>
      </c>
      <c r="B1305" s="17" t="n"/>
      <c r="C1305" s="18" t="n"/>
      <c r="D1305" s="18" t="n"/>
      <c r="E1305" s="19" t="n"/>
      <c r="F1305" s="19" t="n"/>
      <c r="G1305" s="18" t="n"/>
      <c r="H1305" s="18" t="n"/>
      <c r="I1305" s="18" t="n"/>
      <c r="J1305" s="20" t="n"/>
      <c r="K1305" s="21" t="n"/>
      <c r="L1305" s="21" t="n"/>
      <c r="M1305" s="18" t="n"/>
      <c r="N1305" s="22">
        <f>IF($B1305="","",CHOOSE(WEEKDAY($B1305),"الأحد","الاثنين","الثلاثاء","الأربعاء","الخميس","الجمعة","السبت"))</f>
        <v/>
      </c>
      <c r="O1305" s="23">
        <f>IF(OR($K1305="",$L1305=""),"",HYPERLINK("https://maps.google.com/?q="&amp;$K1305&amp;","&amp;$L1305,"عرض الموقع"))</f>
        <v/>
      </c>
      <c r="P1305" s="23">
        <f>IF(OR($B1305="",N($J1305)=0),"",HYPERLINK(PhotoDir&amp;"/"&amp;YEAR($B1305)&amp;"-"&amp;TEXT(MONTH($B1305),"00")&amp;"-"&amp;TEXT(DAY($B1305),"00")&amp;"_"&amp;$D1305,"فتح الصور ("&amp;$J1305&amp;")"))</f>
        <v/>
      </c>
      <c r="Q1305" s="24">
        <f>IF($B1305="","",MONTH($B1305))</f>
        <v/>
      </c>
      <c r="R1305" s="24">
        <f>IF($B1305="","",YEAR($B1305))</f>
        <v/>
      </c>
      <c r="S1305" s="25">
        <f>IF($B1305="","",$B1305-WEEKDAY($B1305,3))</f>
        <v/>
      </c>
      <c r="T1305" s="24">
        <f>IF($B1305="",0,IF(COUNTIFS($B$5:$B1305,$B1305,$D$5:$D1305,$D1305)=1,1,0))</f>
        <v/>
      </c>
      <c r="U1305" s="24">
        <f>IF($B1305="",0,IF(COUNTIFS($B$5:$B1305,$B1305,$C$5:$C1305,$C1305)=1,1,0))</f>
        <v/>
      </c>
      <c r="V1305" s="24">
        <f>IF(OR($B1305="",$G1305="",$G1305="لا توجد مشاهدات"),0,1)</f>
        <v/>
      </c>
      <c r="W1305" s="24">
        <f>IF(AND($B1305&lt;&gt;"",$I1305="تم تحرير مخالفة"),1,0)</f>
        <v/>
      </c>
      <c r="X1305" s="24">
        <f>IF($B1305="","",IF($S1305=WkStart,COUNTIF($S$5:$S1305,WkStart),""))</f>
        <v/>
      </c>
    </row>
    <row r="1306">
      <c r="A1306" s="16">
        <f>IF($B1306="","",ROW()-4)</f>
        <v/>
      </c>
      <c r="B1306" s="17" t="n"/>
      <c r="C1306" s="18" t="n"/>
      <c r="D1306" s="18" t="n"/>
      <c r="E1306" s="19" t="n"/>
      <c r="F1306" s="19" t="n"/>
      <c r="G1306" s="18" t="n"/>
      <c r="H1306" s="18" t="n"/>
      <c r="I1306" s="18" t="n"/>
      <c r="J1306" s="20" t="n"/>
      <c r="K1306" s="21" t="n"/>
      <c r="L1306" s="21" t="n"/>
      <c r="M1306" s="18" t="n"/>
      <c r="N1306" s="22">
        <f>IF($B1306="","",CHOOSE(WEEKDAY($B1306),"الأحد","الاثنين","الثلاثاء","الأربعاء","الخميس","الجمعة","السبت"))</f>
        <v/>
      </c>
      <c r="O1306" s="23">
        <f>IF(OR($K1306="",$L1306=""),"",HYPERLINK("https://maps.google.com/?q="&amp;$K1306&amp;","&amp;$L1306,"عرض الموقع"))</f>
        <v/>
      </c>
      <c r="P1306" s="23">
        <f>IF(OR($B1306="",N($J1306)=0),"",HYPERLINK(PhotoDir&amp;"/"&amp;YEAR($B1306)&amp;"-"&amp;TEXT(MONTH($B1306),"00")&amp;"-"&amp;TEXT(DAY($B1306),"00")&amp;"_"&amp;$D1306,"فتح الصور ("&amp;$J1306&amp;")"))</f>
        <v/>
      </c>
      <c r="Q1306" s="24">
        <f>IF($B1306="","",MONTH($B1306))</f>
        <v/>
      </c>
      <c r="R1306" s="24">
        <f>IF($B1306="","",YEAR($B1306))</f>
        <v/>
      </c>
      <c r="S1306" s="25">
        <f>IF($B1306="","",$B1306-WEEKDAY($B1306,3))</f>
        <v/>
      </c>
      <c r="T1306" s="24">
        <f>IF($B1306="",0,IF(COUNTIFS($B$5:$B1306,$B1306,$D$5:$D1306,$D1306)=1,1,0))</f>
        <v/>
      </c>
      <c r="U1306" s="24">
        <f>IF($B1306="",0,IF(COUNTIFS($B$5:$B1306,$B1306,$C$5:$C1306,$C1306)=1,1,0))</f>
        <v/>
      </c>
      <c r="V1306" s="24">
        <f>IF(OR($B1306="",$G1306="",$G1306="لا توجد مشاهدات"),0,1)</f>
        <v/>
      </c>
      <c r="W1306" s="24">
        <f>IF(AND($B1306&lt;&gt;"",$I1306="تم تحرير مخالفة"),1,0)</f>
        <v/>
      </c>
      <c r="X1306" s="24">
        <f>IF($B1306="","",IF($S1306=WkStart,COUNTIF($S$5:$S1306,WkStart),""))</f>
        <v/>
      </c>
    </row>
    <row r="1307">
      <c r="A1307" s="16">
        <f>IF($B1307="","",ROW()-4)</f>
        <v/>
      </c>
      <c r="B1307" s="17" t="n"/>
      <c r="C1307" s="18" t="n"/>
      <c r="D1307" s="18" t="n"/>
      <c r="E1307" s="19" t="n"/>
      <c r="F1307" s="19" t="n"/>
      <c r="G1307" s="18" t="n"/>
      <c r="H1307" s="18" t="n"/>
      <c r="I1307" s="18" t="n"/>
      <c r="J1307" s="20" t="n"/>
      <c r="K1307" s="21" t="n"/>
      <c r="L1307" s="21" t="n"/>
      <c r="M1307" s="18" t="n"/>
      <c r="N1307" s="22">
        <f>IF($B1307="","",CHOOSE(WEEKDAY($B1307),"الأحد","الاثنين","الثلاثاء","الأربعاء","الخميس","الجمعة","السبت"))</f>
        <v/>
      </c>
      <c r="O1307" s="23">
        <f>IF(OR($K1307="",$L1307=""),"",HYPERLINK("https://maps.google.com/?q="&amp;$K1307&amp;","&amp;$L1307,"عرض الموقع"))</f>
        <v/>
      </c>
      <c r="P1307" s="23">
        <f>IF(OR($B1307="",N($J1307)=0),"",HYPERLINK(PhotoDir&amp;"/"&amp;YEAR($B1307)&amp;"-"&amp;TEXT(MONTH($B1307),"00")&amp;"-"&amp;TEXT(DAY($B1307),"00")&amp;"_"&amp;$D1307,"فتح الصور ("&amp;$J1307&amp;")"))</f>
        <v/>
      </c>
      <c r="Q1307" s="24">
        <f>IF($B1307="","",MONTH($B1307))</f>
        <v/>
      </c>
      <c r="R1307" s="24">
        <f>IF($B1307="","",YEAR($B1307))</f>
        <v/>
      </c>
      <c r="S1307" s="25">
        <f>IF($B1307="","",$B1307-WEEKDAY($B1307,3))</f>
        <v/>
      </c>
      <c r="T1307" s="24">
        <f>IF($B1307="",0,IF(COUNTIFS($B$5:$B1307,$B1307,$D$5:$D1307,$D1307)=1,1,0))</f>
        <v/>
      </c>
      <c r="U1307" s="24">
        <f>IF($B1307="",0,IF(COUNTIFS($B$5:$B1307,$B1307,$C$5:$C1307,$C1307)=1,1,0))</f>
        <v/>
      </c>
      <c r="V1307" s="24">
        <f>IF(OR($B1307="",$G1307="",$G1307="لا توجد مشاهدات"),0,1)</f>
        <v/>
      </c>
      <c r="W1307" s="24">
        <f>IF(AND($B1307&lt;&gt;"",$I1307="تم تحرير مخالفة"),1,0)</f>
        <v/>
      </c>
      <c r="X1307" s="24">
        <f>IF($B1307="","",IF($S1307=WkStart,COUNTIF($S$5:$S1307,WkStart),""))</f>
        <v/>
      </c>
    </row>
    <row r="1308">
      <c r="A1308" s="16">
        <f>IF($B1308="","",ROW()-4)</f>
        <v/>
      </c>
      <c r="B1308" s="17" t="n"/>
      <c r="C1308" s="18" t="n"/>
      <c r="D1308" s="18" t="n"/>
      <c r="E1308" s="19" t="n"/>
      <c r="F1308" s="19" t="n"/>
      <c r="G1308" s="18" t="n"/>
      <c r="H1308" s="18" t="n"/>
      <c r="I1308" s="18" t="n"/>
      <c r="J1308" s="20" t="n"/>
      <c r="K1308" s="21" t="n"/>
      <c r="L1308" s="21" t="n"/>
      <c r="M1308" s="18" t="n"/>
      <c r="N1308" s="22">
        <f>IF($B1308="","",CHOOSE(WEEKDAY($B1308),"الأحد","الاثنين","الثلاثاء","الأربعاء","الخميس","الجمعة","السبت"))</f>
        <v/>
      </c>
      <c r="O1308" s="23">
        <f>IF(OR($K1308="",$L1308=""),"",HYPERLINK("https://maps.google.com/?q="&amp;$K1308&amp;","&amp;$L1308,"عرض الموقع"))</f>
        <v/>
      </c>
      <c r="P1308" s="23">
        <f>IF(OR($B1308="",N($J1308)=0),"",HYPERLINK(PhotoDir&amp;"/"&amp;YEAR($B1308)&amp;"-"&amp;TEXT(MONTH($B1308),"00")&amp;"-"&amp;TEXT(DAY($B1308),"00")&amp;"_"&amp;$D1308,"فتح الصور ("&amp;$J1308&amp;")"))</f>
        <v/>
      </c>
      <c r="Q1308" s="24">
        <f>IF($B1308="","",MONTH($B1308))</f>
        <v/>
      </c>
      <c r="R1308" s="24">
        <f>IF($B1308="","",YEAR($B1308))</f>
        <v/>
      </c>
      <c r="S1308" s="25">
        <f>IF($B1308="","",$B1308-WEEKDAY($B1308,3))</f>
        <v/>
      </c>
      <c r="T1308" s="24">
        <f>IF($B1308="",0,IF(COUNTIFS($B$5:$B1308,$B1308,$D$5:$D1308,$D1308)=1,1,0))</f>
        <v/>
      </c>
      <c r="U1308" s="24">
        <f>IF($B1308="",0,IF(COUNTIFS($B$5:$B1308,$B1308,$C$5:$C1308,$C1308)=1,1,0))</f>
        <v/>
      </c>
      <c r="V1308" s="24">
        <f>IF(OR($B1308="",$G1308="",$G1308="لا توجد مشاهدات"),0,1)</f>
        <v/>
      </c>
      <c r="W1308" s="24">
        <f>IF(AND($B1308&lt;&gt;"",$I1308="تم تحرير مخالفة"),1,0)</f>
        <v/>
      </c>
      <c r="X1308" s="24">
        <f>IF($B1308="","",IF($S1308=WkStart,COUNTIF($S$5:$S1308,WkStart),""))</f>
        <v/>
      </c>
    </row>
    <row r="1309">
      <c r="A1309" s="16">
        <f>IF($B1309="","",ROW()-4)</f>
        <v/>
      </c>
      <c r="B1309" s="17" t="n"/>
      <c r="C1309" s="18" t="n"/>
      <c r="D1309" s="18" t="n"/>
      <c r="E1309" s="19" t="n"/>
      <c r="F1309" s="19" t="n"/>
      <c r="G1309" s="18" t="n"/>
      <c r="H1309" s="18" t="n"/>
      <c r="I1309" s="18" t="n"/>
      <c r="J1309" s="20" t="n"/>
      <c r="K1309" s="21" t="n"/>
      <c r="L1309" s="21" t="n"/>
      <c r="M1309" s="18" t="n"/>
      <c r="N1309" s="22">
        <f>IF($B1309="","",CHOOSE(WEEKDAY($B1309),"الأحد","الاثنين","الثلاثاء","الأربعاء","الخميس","الجمعة","السبت"))</f>
        <v/>
      </c>
      <c r="O1309" s="23">
        <f>IF(OR($K1309="",$L1309=""),"",HYPERLINK("https://maps.google.com/?q="&amp;$K1309&amp;","&amp;$L1309,"عرض الموقع"))</f>
        <v/>
      </c>
      <c r="P1309" s="23">
        <f>IF(OR($B1309="",N($J1309)=0),"",HYPERLINK(PhotoDir&amp;"/"&amp;YEAR($B1309)&amp;"-"&amp;TEXT(MONTH($B1309),"00")&amp;"-"&amp;TEXT(DAY($B1309),"00")&amp;"_"&amp;$D1309,"فتح الصور ("&amp;$J1309&amp;")"))</f>
        <v/>
      </c>
      <c r="Q1309" s="24">
        <f>IF($B1309="","",MONTH($B1309))</f>
        <v/>
      </c>
      <c r="R1309" s="24">
        <f>IF($B1309="","",YEAR($B1309))</f>
        <v/>
      </c>
      <c r="S1309" s="25">
        <f>IF($B1309="","",$B1309-WEEKDAY($B1309,3))</f>
        <v/>
      </c>
      <c r="T1309" s="24">
        <f>IF($B1309="",0,IF(COUNTIFS($B$5:$B1309,$B1309,$D$5:$D1309,$D1309)=1,1,0))</f>
        <v/>
      </c>
      <c r="U1309" s="24">
        <f>IF($B1309="",0,IF(COUNTIFS($B$5:$B1309,$B1309,$C$5:$C1309,$C1309)=1,1,0))</f>
        <v/>
      </c>
      <c r="V1309" s="24">
        <f>IF(OR($B1309="",$G1309="",$G1309="لا توجد مشاهدات"),0,1)</f>
        <v/>
      </c>
      <c r="W1309" s="24">
        <f>IF(AND($B1309&lt;&gt;"",$I1309="تم تحرير مخالفة"),1,0)</f>
        <v/>
      </c>
      <c r="X1309" s="24">
        <f>IF($B1309="","",IF($S1309=WkStart,COUNTIF($S$5:$S1309,WkStart),""))</f>
        <v/>
      </c>
    </row>
    <row r="1310">
      <c r="A1310" s="16">
        <f>IF($B1310="","",ROW()-4)</f>
        <v/>
      </c>
      <c r="B1310" s="17" t="n"/>
      <c r="C1310" s="18" t="n"/>
      <c r="D1310" s="18" t="n"/>
      <c r="E1310" s="19" t="n"/>
      <c r="F1310" s="19" t="n"/>
      <c r="G1310" s="18" t="n"/>
      <c r="H1310" s="18" t="n"/>
      <c r="I1310" s="18" t="n"/>
      <c r="J1310" s="20" t="n"/>
      <c r="K1310" s="21" t="n"/>
      <c r="L1310" s="21" t="n"/>
      <c r="M1310" s="18" t="n"/>
      <c r="N1310" s="22">
        <f>IF($B1310="","",CHOOSE(WEEKDAY($B1310),"الأحد","الاثنين","الثلاثاء","الأربعاء","الخميس","الجمعة","السبت"))</f>
        <v/>
      </c>
      <c r="O1310" s="23">
        <f>IF(OR($K1310="",$L1310=""),"",HYPERLINK("https://maps.google.com/?q="&amp;$K1310&amp;","&amp;$L1310,"عرض الموقع"))</f>
        <v/>
      </c>
      <c r="P1310" s="23">
        <f>IF(OR($B1310="",N($J1310)=0),"",HYPERLINK(PhotoDir&amp;"/"&amp;YEAR($B1310)&amp;"-"&amp;TEXT(MONTH($B1310),"00")&amp;"-"&amp;TEXT(DAY($B1310),"00")&amp;"_"&amp;$D1310,"فتح الصور ("&amp;$J1310&amp;")"))</f>
        <v/>
      </c>
      <c r="Q1310" s="24">
        <f>IF($B1310="","",MONTH($B1310))</f>
        <v/>
      </c>
      <c r="R1310" s="24">
        <f>IF($B1310="","",YEAR($B1310))</f>
        <v/>
      </c>
      <c r="S1310" s="25">
        <f>IF($B1310="","",$B1310-WEEKDAY($B1310,3))</f>
        <v/>
      </c>
      <c r="T1310" s="24">
        <f>IF($B1310="",0,IF(COUNTIFS($B$5:$B1310,$B1310,$D$5:$D1310,$D1310)=1,1,0))</f>
        <v/>
      </c>
      <c r="U1310" s="24">
        <f>IF($B1310="",0,IF(COUNTIFS($B$5:$B1310,$B1310,$C$5:$C1310,$C1310)=1,1,0))</f>
        <v/>
      </c>
      <c r="V1310" s="24">
        <f>IF(OR($B1310="",$G1310="",$G1310="لا توجد مشاهدات"),0,1)</f>
        <v/>
      </c>
      <c r="W1310" s="24">
        <f>IF(AND($B1310&lt;&gt;"",$I1310="تم تحرير مخالفة"),1,0)</f>
        <v/>
      </c>
      <c r="X1310" s="24">
        <f>IF($B1310="","",IF($S1310=WkStart,COUNTIF($S$5:$S1310,WkStart),""))</f>
        <v/>
      </c>
    </row>
    <row r="1311">
      <c r="A1311" s="16">
        <f>IF($B1311="","",ROW()-4)</f>
        <v/>
      </c>
      <c r="B1311" s="17" t="n"/>
      <c r="C1311" s="18" t="n"/>
      <c r="D1311" s="18" t="n"/>
      <c r="E1311" s="19" t="n"/>
      <c r="F1311" s="19" t="n"/>
      <c r="G1311" s="18" t="n"/>
      <c r="H1311" s="18" t="n"/>
      <c r="I1311" s="18" t="n"/>
      <c r="J1311" s="20" t="n"/>
      <c r="K1311" s="21" t="n"/>
      <c r="L1311" s="21" t="n"/>
      <c r="M1311" s="18" t="n"/>
      <c r="N1311" s="22">
        <f>IF($B1311="","",CHOOSE(WEEKDAY($B1311),"الأحد","الاثنين","الثلاثاء","الأربعاء","الخميس","الجمعة","السبت"))</f>
        <v/>
      </c>
      <c r="O1311" s="23">
        <f>IF(OR($K1311="",$L1311=""),"",HYPERLINK("https://maps.google.com/?q="&amp;$K1311&amp;","&amp;$L1311,"عرض الموقع"))</f>
        <v/>
      </c>
      <c r="P1311" s="23">
        <f>IF(OR($B1311="",N($J1311)=0),"",HYPERLINK(PhotoDir&amp;"/"&amp;YEAR($B1311)&amp;"-"&amp;TEXT(MONTH($B1311),"00")&amp;"-"&amp;TEXT(DAY($B1311),"00")&amp;"_"&amp;$D1311,"فتح الصور ("&amp;$J1311&amp;")"))</f>
        <v/>
      </c>
      <c r="Q1311" s="24">
        <f>IF($B1311="","",MONTH($B1311))</f>
        <v/>
      </c>
      <c r="R1311" s="24">
        <f>IF($B1311="","",YEAR($B1311))</f>
        <v/>
      </c>
      <c r="S1311" s="25">
        <f>IF($B1311="","",$B1311-WEEKDAY($B1311,3))</f>
        <v/>
      </c>
      <c r="T1311" s="24">
        <f>IF($B1311="",0,IF(COUNTIFS($B$5:$B1311,$B1311,$D$5:$D1311,$D1311)=1,1,0))</f>
        <v/>
      </c>
      <c r="U1311" s="24">
        <f>IF($B1311="",0,IF(COUNTIFS($B$5:$B1311,$B1311,$C$5:$C1311,$C1311)=1,1,0))</f>
        <v/>
      </c>
      <c r="V1311" s="24">
        <f>IF(OR($B1311="",$G1311="",$G1311="لا توجد مشاهدات"),0,1)</f>
        <v/>
      </c>
      <c r="W1311" s="24">
        <f>IF(AND($B1311&lt;&gt;"",$I1311="تم تحرير مخالفة"),1,0)</f>
        <v/>
      </c>
      <c r="X1311" s="24">
        <f>IF($B1311="","",IF($S1311=WkStart,COUNTIF($S$5:$S1311,WkStart),""))</f>
        <v/>
      </c>
    </row>
    <row r="1312">
      <c r="A1312" s="16">
        <f>IF($B1312="","",ROW()-4)</f>
        <v/>
      </c>
      <c r="B1312" s="17" t="n"/>
      <c r="C1312" s="18" t="n"/>
      <c r="D1312" s="18" t="n"/>
      <c r="E1312" s="19" t="n"/>
      <c r="F1312" s="19" t="n"/>
      <c r="G1312" s="18" t="n"/>
      <c r="H1312" s="18" t="n"/>
      <c r="I1312" s="18" t="n"/>
      <c r="J1312" s="20" t="n"/>
      <c r="K1312" s="21" t="n"/>
      <c r="L1312" s="21" t="n"/>
      <c r="M1312" s="18" t="n"/>
      <c r="N1312" s="22">
        <f>IF($B1312="","",CHOOSE(WEEKDAY($B1312),"الأحد","الاثنين","الثلاثاء","الأربعاء","الخميس","الجمعة","السبت"))</f>
        <v/>
      </c>
      <c r="O1312" s="23">
        <f>IF(OR($K1312="",$L1312=""),"",HYPERLINK("https://maps.google.com/?q="&amp;$K1312&amp;","&amp;$L1312,"عرض الموقع"))</f>
        <v/>
      </c>
      <c r="P1312" s="23">
        <f>IF(OR($B1312="",N($J1312)=0),"",HYPERLINK(PhotoDir&amp;"/"&amp;YEAR($B1312)&amp;"-"&amp;TEXT(MONTH($B1312),"00")&amp;"-"&amp;TEXT(DAY($B1312),"00")&amp;"_"&amp;$D1312,"فتح الصور ("&amp;$J1312&amp;")"))</f>
        <v/>
      </c>
      <c r="Q1312" s="24">
        <f>IF($B1312="","",MONTH($B1312))</f>
        <v/>
      </c>
      <c r="R1312" s="24">
        <f>IF($B1312="","",YEAR($B1312))</f>
        <v/>
      </c>
      <c r="S1312" s="25">
        <f>IF($B1312="","",$B1312-WEEKDAY($B1312,3))</f>
        <v/>
      </c>
      <c r="T1312" s="24">
        <f>IF($B1312="",0,IF(COUNTIFS($B$5:$B1312,$B1312,$D$5:$D1312,$D1312)=1,1,0))</f>
        <v/>
      </c>
      <c r="U1312" s="24">
        <f>IF($B1312="",0,IF(COUNTIFS($B$5:$B1312,$B1312,$C$5:$C1312,$C1312)=1,1,0))</f>
        <v/>
      </c>
      <c r="V1312" s="24">
        <f>IF(OR($B1312="",$G1312="",$G1312="لا توجد مشاهدات"),0,1)</f>
        <v/>
      </c>
      <c r="W1312" s="24">
        <f>IF(AND($B1312&lt;&gt;"",$I1312="تم تحرير مخالفة"),1,0)</f>
        <v/>
      </c>
      <c r="X1312" s="24">
        <f>IF($B1312="","",IF($S1312=WkStart,COUNTIF($S$5:$S1312,WkStart),""))</f>
        <v/>
      </c>
    </row>
    <row r="1313">
      <c r="A1313" s="16">
        <f>IF($B1313="","",ROW()-4)</f>
        <v/>
      </c>
      <c r="B1313" s="17" t="n"/>
      <c r="C1313" s="18" t="n"/>
      <c r="D1313" s="18" t="n"/>
      <c r="E1313" s="19" t="n"/>
      <c r="F1313" s="19" t="n"/>
      <c r="G1313" s="18" t="n"/>
      <c r="H1313" s="18" t="n"/>
      <c r="I1313" s="18" t="n"/>
      <c r="J1313" s="20" t="n"/>
      <c r="K1313" s="21" t="n"/>
      <c r="L1313" s="21" t="n"/>
      <c r="M1313" s="18" t="n"/>
      <c r="N1313" s="22">
        <f>IF($B1313="","",CHOOSE(WEEKDAY($B1313),"الأحد","الاثنين","الثلاثاء","الأربعاء","الخميس","الجمعة","السبت"))</f>
        <v/>
      </c>
      <c r="O1313" s="23">
        <f>IF(OR($K1313="",$L1313=""),"",HYPERLINK("https://maps.google.com/?q="&amp;$K1313&amp;","&amp;$L1313,"عرض الموقع"))</f>
        <v/>
      </c>
      <c r="P1313" s="23">
        <f>IF(OR($B1313="",N($J1313)=0),"",HYPERLINK(PhotoDir&amp;"/"&amp;YEAR($B1313)&amp;"-"&amp;TEXT(MONTH($B1313),"00")&amp;"-"&amp;TEXT(DAY($B1313),"00")&amp;"_"&amp;$D1313,"فتح الصور ("&amp;$J1313&amp;")"))</f>
        <v/>
      </c>
      <c r="Q1313" s="24">
        <f>IF($B1313="","",MONTH($B1313))</f>
        <v/>
      </c>
      <c r="R1313" s="24">
        <f>IF($B1313="","",YEAR($B1313))</f>
        <v/>
      </c>
      <c r="S1313" s="25">
        <f>IF($B1313="","",$B1313-WEEKDAY($B1313,3))</f>
        <v/>
      </c>
      <c r="T1313" s="24">
        <f>IF($B1313="",0,IF(COUNTIFS($B$5:$B1313,$B1313,$D$5:$D1313,$D1313)=1,1,0))</f>
        <v/>
      </c>
      <c r="U1313" s="24">
        <f>IF($B1313="",0,IF(COUNTIFS($B$5:$B1313,$B1313,$C$5:$C1313,$C1313)=1,1,0))</f>
        <v/>
      </c>
      <c r="V1313" s="24">
        <f>IF(OR($B1313="",$G1313="",$G1313="لا توجد مشاهدات"),0,1)</f>
        <v/>
      </c>
      <c r="W1313" s="24">
        <f>IF(AND($B1313&lt;&gt;"",$I1313="تم تحرير مخالفة"),1,0)</f>
        <v/>
      </c>
      <c r="X1313" s="24">
        <f>IF($B1313="","",IF($S1313=WkStart,COUNTIF($S$5:$S1313,WkStart),""))</f>
        <v/>
      </c>
    </row>
    <row r="1314">
      <c r="A1314" s="16">
        <f>IF($B1314="","",ROW()-4)</f>
        <v/>
      </c>
      <c r="B1314" s="17" t="n"/>
      <c r="C1314" s="18" t="n"/>
      <c r="D1314" s="18" t="n"/>
      <c r="E1314" s="19" t="n"/>
      <c r="F1314" s="19" t="n"/>
      <c r="G1314" s="18" t="n"/>
      <c r="H1314" s="18" t="n"/>
      <c r="I1314" s="18" t="n"/>
      <c r="J1314" s="20" t="n"/>
      <c r="K1314" s="21" t="n"/>
      <c r="L1314" s="21" t="n"/>
      <c r="M1314" s="18" t="n"/>
      <c r="N1314" s="22">
        <f>IF($B1314="","",CHOOSE(WEEKDAY($B1314),"الأحد","الاثنين","الثلاثاء","الأربعاء","الخميس","الجمعة","السبت"))</f>
        <v/>
      </c>
      <c r="O1314" s="23">
        <f>IF(OR($K1314="",$L1314=""),"",HYPERLINK("https://maps.google.com/?q="&amp;$K1314&amp;","&amp;$L1314,"عرض الموقع"))</f>
        <v/>
      </c>
      <c r="P1314" s="23">
        <f>IF(OR($B1314="",N($J1314)=0),"",HYPERLINK(PhotoDir&amp;"/"&amp;YEAR($B1314)&amp;"-"&amp;TEXT(MONTH($B1314),"00")&amp;"-"&amp;TEXT(DAY($B1314),"00")&amp;"_"&amp;$D1314,"فتح الصور ("&amp;$J1314&amp;")"))</f>
        <v/>
      </c>
      <c r="Q1314" s="24">
        <f>IF($B1314="","",MONTH($B1314))</f>
        <v/>
      </c>
      <c r="R1314" s="24">
        <f>IF($B1314="","",YEAR($B1314))</f>
        <v/>
      </c>
      <c r="S1314" s="25">
        <f>IF($B1314="","",$B1314-WEEKDAY($B1314,3))</f>
        <v/>
      </c>
      <c r="T1314" s="24">
        <f>IF($B1314="",0,IF(COUNTIFS($B$5:$B1314,$B1314,$D$5:$D1314,$D1314)=1,1,0))</f>
        <v/>
      </c>
      <c r="U1314" s="24">
        <f>IF($B1314="",0,IF(COUNTIFS($B$5:$B1314,$B1314,$C$5:$C1314,$C1314)=1,1,0))</f>
        <v/>
      </c>
      <c r="V1314" s="24">
        <f>IF(OR($B1314="",$G1314="",$G1314="لا توجد مشاهدات"),0,1)</f>
        <v/>
      </c>
      <c r="W1314" s="24">
        <f>IF(AND($B1314&lt;&gt;"",$I1314="تم تحرير مخالفة"),1,0)</f>
        <v/>
      </c>
      <c r="X1314" s="24">
        <f>IF($B1314="","",IF($S1314=WkStart,COUNTIF($S$5:$S1314,WkStart),""))</f>
        <v/>
      </c>
    </row>
    <row r="1315">
      <c r="A1315" s="16">
        <f>IF($B1315="","",ROW()-4)</f>
        <v/>
      </c>
      <c r="B1315" s="17" t="n"/>
      <c r="C1315" s="18" t="n"/>
      <c r="D1315" s="18" t="n"/>
      <c r="E1315" s="19" t="n"/>
      <c r="F1315" s="19" t="n"/>
      <c r="G1315" s="18" t="n"/>
      <c r="H1315" s="18" t="n"/>
      <c r="I1315" s="18" t="n"/>
      <c r="J1315" s="20" t="n"/>
      <c r="K1315" s="21" t="n"/>
      <c r="L1315" s="21" t="n"/>
      <c r="M1315" s="18" t="n"/>
      <c r="N1315" s="22">
        <f>IF($B1315="","",CHOOSE(WEEKDAY($B1315),"الأحد","الاثنين","الثلاثاء","الأربعاء","الخميس","الجمعة","السبت"))</f>
        <v/>
      </c>
      <c r="O1315" s="23">
        <f>IF(OR($K1315="",$L1315=""),"",HYPERLINK("https://maps.google.com/?q="&amp;$K1315&amp;","&amp;$L1315,"عرض الموقع"))</f>
        <v/>
      </c>
      <c r="P1315" s="23">
        <f>IF(OR($B1315="",N($J1315)=0),"",HYPERLINK(PhotoDir&amp;"/"&amp;YEAR($B1315)&amp;"-"&amp;TEXT(MONTH($B1315),"00")&amp;"-"&amp;TEXT(DAY($B1315),"00")&amp;"_"&amp;$D1315,"فتح الصور ("&amp;$J1315&amp;")"))</f>
        <v/>
      </c>
      <c r="Q1315" s="24">
        <f>IF($B1315="","",MONTH($B1315))</f>
        <v/>
      </c>
      <c r="R1315" s="24">
        <f>IF($B1315="","",YEAR($B1315))</f>
        <v/>
      </c>
      <c r="S1315" s="25">
        <f>IF($B1315="","",$B1315-WEEKDAY($B1315,3))</f>
        <v/>
      </c>
      <c r="T1315" s="24">
        <f>IF($B1315="",0,IF(COUNTIFS($B$5:$B1315,$B1315,$D$5:$D1315,$D1315)=1,1,0))</f>
        <v/>
      </c>
      <c r="U1315" s="24">
        <f>IF($B1315="",0,IF(COUNTIFS($B$5:$B1315,$B1315,$C$5:$C1315,$C1315)=1,1,0))</f>
        <v/>
      </c>
      <c r="V1315" s="24">
        <f>IF(OR($B1315="",$G1315="",$G1315="لا توجد مشاهدات"),0,1)</f>
        <v/>
      </c>
      <c r="W1315" s="24">
        <f>IF(AND($B1315&lt;&gt;"",$I1315="تم تحرير مخالفة"),1,0)</f>
        <v/>
      </c>
      <c r="X1315" s="24">
        <f>IF($B1315="","",IF($S1315=WkStart,COUNTIF($S$5:$S1315,WkStart),""))</f>
        <v/>
      </c>
    </row>
    <row r="1316">
      <c r="A1316" s="16">
        <f>IF($B1316="","",ROW()-4)</f>
        <v/>
      </c>
      <c r="B1316" s="17" t="n"/>
      <c r="C1316" s="18" t="n"/>
      <c r="D1316" s="18" t="n"/>
      <c r="E1316" s="19" t="n"/>
      <c r="F1316" s="19" t="n"/>
      <c r="G1316" s="18" t="n"/>
      <c r="H1316" s="18" t="n"/>
      <c r="I1316" s="18" t="n"/>
      <c r="J1316" s="20" t="n"/>
      <c r="K1316" s="21" t="n"/>
      <c r="L1316" s="21" t="n"/>
      <c r="M1316" s="18" t="n"/>
      <c r="N1316" s="22">
        <f>IF($B1316="","",CHOOSE(WEEKDAY($B1316),"الأحد","الاثنين","الثلاثاء","الأربعاء","الخميس","الجمعة","السبت"))</f>
        <v/>
      </c>
      <c r="O1316" s="23">
        <f>IF(OR($K1316="",$L1316=""),"",HYPERLINK("https://maps.google.com/?q="&amp;$K1316&amp;","&amp;$L1316,"عرض الموقع"))</f>
        <v/>
      </c>
      <c r="P1316" s="23">
        <f>IF(OR($B1316="",N($J1316)=0),"",HYPERLINK(PhotoDir&amp;"/"&amp;YEAR($B1316)&amp;"-"&amp;TEXT(MONTH($B1316),"00")&amp;"-"&amp;TEXT(DAY($B1316),"00")&amp;"_"&amp;$D1316,"فتح الصور ("&amp;$J1316&amp;")"))</f>
        <v/>
      </c>
      <c r="Q1316" s="24">
        <f>IF($B1316="","",MONTH($B1316))</f>
        <v/>
      </c>
      <c r="R1316" s="24">
        <f>IF($B1316="","",YEAR($B1316))</f>
        <v/>
      </c>
      <c r="S1316" s="25">
        <f>IF($B1316="","",$B1316-WEEKDAY($B1316,3))</f>
        <v/>
      </c>
      <c r="T1316" s="24">
        <f>IF($B1316="",0,IF(COUNTIFS($B$5:$B1316,$B1316,$D$5:$D1316,$D1316)=1,1,0))</f>
        <v/>
      </c>
      <c r="U1316" s="24">
        <f>IF($B1316="",0,IF(COUNTIFS($B$5:$B1316,$B1316,$C$5:$C1316,$C1316)=1,1,0))</f>
        <v/>
      </c>
      <c r="V1316" s="24">
        <f>IF(OR($B1316="",$G1316="",$G1316="لا توجد مشاهدات"),0,1)</f>
        <v/>
      </c>
      <c r="W1316" s="24">
        <f>IF(AND($B1316&lt;&gt;"",$I1316="تم تحرير مخالفة"),1,0)</f>
        <v/>
      </c>
      <c r="X1316" s="24">
        <f>IF($B1316="","",IF($S1316=WkStart,COUNTIF($S$5:$S1316,WkStart),""))</f>
        <v/>
      </c>
    </row>
    <row r="1317">
      <c r="A1317" s="16">
        <f>IF($B1317="","",ROW()-4)</f>
        <v/>
      </c>
      <c r="B1317" s="17" t="n"/>
      <c r="C1317" s="18" t="n"/>
      <c r="D1317" s="18" t="n"/>
      <c r="E1317" s="19" t="n"/>
      <c r="F1317" s="19" t="n"/>
      <c r="G1317" s="18" t="n"/>
      <c r="H1317" s="18" t="n"/>
      <c r="I1317" s="18" t="n"/>
      <c r="J1317" s="20" t="n"/>
      <c r="K1317" s="21" t="n"/>
      <c r="L1317" s="21" t="n"/>
      <c r="M1317" s="18" t="n"/>
      <c r="N1317" s="22">
        <f>IF($B1317="","",CHOOSE(WEEKDAY($B1317),"الأحد","الاثنين","الثلاثاء","الأربعاء","الخميس","الجمعة","السبت"))</f>
        <v/>
      </c>
      <c r="O1317" s="23">
        <f>IF(OR($K1317="",$L1317=""),"",HYPERLINK("https://maps.google.com/?q="&amp;$K1317&amp;","&amp;$L1317,"عرض الموقع"))</f>
        <v/>
      </c>
      <c r="P1317" s="23">
        <f>IF(OR($B1317="",N($J1317)=0),"",HYPERLINK(PhotoDir&amp;"/"&amp;YEAR($B1317)&amp;"-"&amp;TEXT(MONTH($B1317),"00")&amp;"-"&amp;TEXT(DAY($B1317),"00")&amp;"_"&amp;$D1317,"فتح الصور ("&amp;$J1317&amp;")"))</f>
        <v/>
      </c>
      <c r="Q1317" s="24">
        <f>IF($B1317="","",MONTH($B1317))</f>
        <v/>
      </c>
      <c r="R1317" s="24">
        <f>IF($B1317="","",YEAR($B1317))</f>
        <v/>
      </c>
      <c r="S1317" s="25">
        <f>IF($B1317="","",$B1317-WEEKDAY($B1317,3))</f>
        <v/>
      </c>
      <c r="T1317" s="24">
        <f>IF($B1317="",0,IF(COUNTIFS($B$5:$B1317,$B1317,$D$5:$D1317,$D1317)=1,1,0))</f>
        <v/>
      </c>
      <c r="U1317" s="24">
        <f>IF($B1317="",0,IF(COUNTIFS($B$5:$B1317,$B1317,$C$5:$C1317,$C1317)=1,1,0))</f>
        <v/>
      </c>
      <c r="V1317" s="24">
        <f>IF(OR($B1317="",$G1317="",$G1317="لا توجد مشاهدات"),0,1)</f>
        <v/>
      </c>
      <c r="W1317" s="24">
        <f>IF(AND($B1317&lt;&gt;"",$I1317="تم تحرير مخالفة"),1,0)</f>
        <v/>
      </c>
      <c r="X1317" s="24">
        <f>IF($B1317="","",IF($S1317=WkStart,COUNTIF($S$5:$S1317,WkStart),""))</f>
        <v/>
      </c>
    </row>
    <row r="1318">
      <c r="A1318" s="16">
        <f>IF($B1318="","",ROW()-4)</f>
        <v/>
      </c>
      <c r="B1318" s="17" t="n"/>
      <c r="C1318" s="18" t="n"/>
      <c r="D1318" s="18" t="n"/>
      <c r="E1318" s="19" t="n"/>
      <c r="F1318" s="19" t="n"/>
      <c r="G1318" s="18" t="n"/>
      <c r="H1318" s="18" t="n"/>
      <c r="I1318" s="18" t="n"/>
      <c r="J1318" s="20" t="n"/>
      <c r="K1318" s="21" t="n"/>
      <c r="L1318" s="21" t="n"/>
      <c r="M1318" s="18" t="n"/>
      <c r="N1318" s="22">
        <f>IF($B1318="","",CHOOSE(WEEKDAY($B1318),"الأحد","الاثنين","الثلاثاء","الأربعاء","الخميس","الجمعة","السبت"))</f>
        <v/>
      </c>
      <c r="O1318" s="23">
        <f>IF(OR($K1318="",$L1318=""),"",HYPERLINK("https://maps.google.com/?q="&amp;$K1318&amp;","&amp;$L1318,"عرض الموقع"))</f>
        <v/>
      </c>
      <c r="P1318" s="23">
        <f>IF(OR($B1318="",N($J1318)=0),"",HYPERLINK(PhotoDir&amp;"/"&amp;YEAR($B1318)&amp;"-"&amp;TEXT(MONTH($B1318),"00")&amp;"-"&amp;TEXT(DAY($B1318),"00")&amp;"_"&amp;$D1318,"فتح الصور ("&amp;$J1318&amp;")"))</f>
        <v/>
      </c>
      <c r="Q1318" s="24">
        <f>IF($B1318="","",MONTH($B1318))</f>
        <v/>
      </c>
      <c r="R1318" s="24">
        <f>IF($B1318="","",YEAR($B1318))</f>
        <v/>
      </c>
      <c r="S1318" s="25">
        <f>IF($B1318="","",$B1318-WEEKDAY($B1318,3))</f>
        <v/>
      </c>
      <c r="T1318" s="24">
        <f>IF($B1318="",0,IF(COUNTIFS($B$5:$B1318,$B1318,$D$5:$D1318,$D1318)=1,1,0))</f>
        <v/>
      </c>
      <c r="U1318" s="24">
        <f>IF($B1318="",0,IF(COUNTIFS($B$5:$B1318,$B1318,$C$5:$C1318,$C1318)=1,1,0))</f>
        <v/>
      </c>
      <c r="V1318" s="24">
        <f>IF(OR($B1318="",$G1318="",$G1318="لا توجد مشاهدات"),0,1)</f>
        <v/>
      </c>
      <c r="W1318" s="24">
        <f>IF(AND($B1318&lt;&gt;"",$I1318="تم تحرير مخالفة"),1,0)</f>
        <v/>
      </c>
      <c r="X1318" s="24">
        <f>IF($B1318="","",IF($S1318=WkStart,COUNTIF($S$5:$S1318,WkStart),""))</f>
        <v/>
      </c>
    </row>
    <row r="1319">
      <c r="A1319" s="16">
        <f>IF($B1319="","",ROW()-4)</f>
        <v/>
      </c>
      <c r="B1319" s="17" t="n"/>
      <c r="C1319" s="18" t="n"/>
      <c r="D1319" s="18" t="n"/>
      <c r="E1319" s="19" t="n"/>
      <c r="F1319" s="19" t="n"/>
      <c r="G1319" s="18" t="n"/>
      <c r="H1319" s="18" t="n"/>
      <c r="I1319" s="18" t="n"/>
      <c r="J1319" s="20" t="n"/>
      <c r="K1319" s="21" t="n"/>
      <c r="L1319" s="21" t="n"/>
      <c r="M1319" s="18" t="n"/>
      <c r="N1319" s="22">
        <f>IF($B1319="","",CHOOSE(WEEKDAY($B1319),"الأحد","الاثنين","الثلاثاء","الأربعاء","الخميس","الجمعة","السبت"))</f>
        <v/>
      </c>
      <c r="O1319" s="23">
        <f>IF(OR($K1319="",$L1319=""),"",HYPERLINK("https://maps.google.com/?q="&amp;$K1319&amp;","&amp;$L1319,"عرض الموقع"))</f>
        <v/>
      </c>
      <c r="P1319" s="23">
        <f>IF(OR($B1319="",N($J1319)=0),"",HYPERLINK(PhotoDir&amp;"/"&amp;YEAR($B1319)&amp;"-"&amp;TEXT(MONTH($B1319),"00")&amp;"-"&amp;TEXT(DAY($B1319),"00")&amp;"_"&amp;$D1319,"فتح الصور ("&amp;$J1319&amp;")"))</f>
        <v/>
      </c>
      <c r="Q1319" s="24">
        <f>IF($B1319="","",MONTH($B1319))</f>
        <v/>
      </c>
      <c r="R1319" s="24">
        <f>IF($B1319="","",YEAR($B1319))</f>
        <v/>
      </c>
      <c r="S1319" s="25">
        <f>IF($B1319="","",$B1319-WEEKDAY($B1319,3))</f>
        <v/>
      </c>
      <c r="T1319" s="24">
        <f>IF($B1319="",0,IF(COUNTIFS($B$5:$B1319,$B1319,$D$5:$D1319,$D1319)=1,1,0))</f>
        <v/>
      </c>
      <c r="U1319" s="24">
        <f>IF($B1319="",0,IF(COUNTIFS($B$5:$B1319,$B1319,$C$5:$C1319,$C1319)=1,1,0))</f>
        <v/>
      </c>
      <c r="V1319" s="24">
        <f>IF(OR($B1319="",$G1319="",$G1319="لا توجد مشاهدات"),0,1)</f>
        <v/>
      </c>
      <c r="W1319" s="24">
        <f>IF(AND($B1319&lt;&gt;"",$I1319="تم تحرير مخالفة"),1,0)</f>
        <v/>
      </c>
      <c r="X1319" s="24">
        <f>IF($B1319="","",IF($S1319=WkStart,COUNTIF($S$5:$S1319,WkStart),""))</f>
        <v/>
      </c>
    </row>
    <row r="1320">
      <c r="A1320" s="16">
        <f>IF($B1320="","",ROW()-4)</f>
        <v/>
      </c>
      <c r="B1320" s="17" t="n"/>
      <c r="C1320" s="18" t="n"/>
      <c r="D1320" s="18" t="n"/>
      <c r="E1320" s="19" t="n"/>
      <c r="F1320" s="19" t="n"/>
      <c r="G1320" s="18" t="n"/>
      <c r="H1320" s="18" t="n"/>
      <c r="I1320" s="18" t="n"/>
      <c r="J1320" s="20" t="n"/>
      <c r="K1320" s="21" t="n"/>
      <c r="L1320" s="21" t="n"/>
      <c r="M1320" s="18" t="n"/>
      <c r="N1320" s="22">
        <f>IF($B1320="","",CHOOSE(WEEKDAY($B1320),"الأحد","الاثنين","الثلاثاء","الأربعاء","الخميس","الجمعة","السبت"))</f>
        <v/>
      </c>
      <c r="O1320" s="23">
        <f>IF(OR($K1320="",$L1320=""),"",HYPERLINK("https://maps.google.com/?q="&amp;$K1320&amp;","&amp;$L1320,"عرض الموقع"))</f>
        <v/>
      </c>
      <c r="P1320" s="23">
        <f>IF(OR($B1320="",N($J1320)=0),"",HYPERLINK(PhotoDir&amp;"/"&amp;YEAR($B1320)&amp;"-"&amp;TEXT(MONTH($B1320),"00")&amp;"-"&amp;TEXT(DAY($B1320),"00")&amp;"_"&amp;$D1320,"فتح الصور ("&amp;$J1320&amp;")"))</f>
        <v/>
      </c>
      <c r="Q1320" s="24">
        <f>IF($B1320="","",MONTH($B1320))</f>
        <v/>
      </c>
      <c r="R1320" s="24">
        <f>IF($B1320="","",YEAR($B1320))</f>
        <v/>
      </c>
      <c r="S1320" s="25">
        <f>IF($B1320="","",$B1320-WEEKDAY($B1320,3))</f>
        <v/>
      </c>
      <c r="T1320" s="24">
        <f>IF($B1320="",0,IF(COUNTIFS($B$5:$B1320,$B1320,$D$5:$D1320,$D1320)=1,1,0))</f>
        <v/>
      </c>
      <c r="U1320" s="24">
        <f>IF($B1320="",0,IF(COUNTIFS($B$5:$B1320,$B1320,$C$5:$C1320,$C1320)=1,1,0))</f>
        <v/>
      </c>
      <c r="V1320" s="24">
        <f>IF(OR($B1320="",$G1320="",$G1320="لا توجد مشاهدات"),0,1)</f>
        <v/>
      </c>
      <c r="W1320" s="24">
        <f>IF(AND($B1320&lt;&gt;"",$I1320="تم تحرير مخالفة"),1,0)</f>
        <v/>
      </c>
      <c r="X1320" s="24">
        <f>IF($B1320="","",IF($S1320=WkStart,COUNTIF($S$5:$S1320,WkStart),""))</f>
        <v/>
      </c>
    </row>
    <row r="1321">
      <c r="A1321" s="16">
        <f>IF($B1321="","",ROW()-4)</f>
        <v/>
      </c>
      <c r="B1321" s="17" t="n"/>
      <c r="C1321" s="18" t="n"/>
      <c r="D1321" s="18" t="n"/>
      <c r="E1321" s="19" t="n"/>
      <c r="F1321" s="19" t="n"/>
      <c r="G1321" s="18" t="n"/>
      <c r="H1321" s="18" t="n"/>
      <c r="I1321" s="18" t="n"/>
      <c r="J1321" s="20" t="n"/>
      <c r="K1321" s="21" t="n"/>
      <c r="L1321" s="21" t="n"/>
      <c r="M1321" s="18" t="n"/>
      <c r="N1321" s="22">
        <f>IF($B1321="","",CHOOSE(WEEKDAY($B1321),"الأحد","الاثنين","الثلاثاء","الأربعاء","الخميس","الجمعة","السبت"))</f>
        <v/>
      </c>
      <c r="O1321" s="23">
        <f>IF(OR($K1321="",$L1321=""),"",HYPERLINK("https://maps.google.com/?q="&amp;$K1321&amp;","&amp;$L1321,"عرض الموقع"))</f>
        <v/>
      </c>
      <c r="P1321" s="23">
        <f>IF(OR($B1321="",N($J1321)=0),"",HYPERLINK(PhotoDir&amp;"/"&amp;YEAR($B1321)&amp;"-"&amp;TEXT(MONTH($B1321),"00")&amp;"-"&amp;TEXT(DAY($B1321),"00")&amp;"_"&amp;$D1321,"فتح الصور ("&amp;$J1321&amp;")"))</f>
        <v/>
      </c>
      <c r="Q1321" s="24">
        <f>IF($B1321="","",MONTH($B1321))</f>
        <v/>
      </c>
      <c r="R1321" s="24">
        <f>IF($B1321="","",YEAR($B1321))</f>
        <v/>
      </c>
      <c r="S1321" s="25">
        <f>IF($B1321="","",$B1321-WEEKDAY($B1321,3))</f>
        <v/>
      </c>
      <c r="T1321" s="24">
        <f>IF($B1321="",0,IF(COUNTIFS($B$5:$B1321,$B1321,$D$5:$D1321,$D1321)=1,1,0))</f>
        <v/>
      </c>
      <c r="U1321" s="24">
        <f>IF($B1321="",0,IF(COUNTIFS($B$5:$B1321,$B1321,$C$5:$C1321,$C1321)=1,1,0))</f>
        <v/>
      </c>
      <c r="V1321" s="24">
        <f>IF(OR($B1321="",$G1321="",$G1321="لا توجد مشاهدات"),0,1)</f>
        <v/>
      </c>
      <c r="W1321" s="24">
        <f>IF(AND($B1321&lt;&gt;"",$I1321="تم تحرير مخالفة"),1,0)</f>
        <v/>
      </c>
      <c r="X1321" s="24">
        <f>IF($B1321="","",IF($S1321=WkStart,COUNTIF($S$5:$S1321,WkStart),""))</f>
        <v/>
      </c>
    </row>
    <row r="1322">
      <c r="A1322" s="16">
        <f>IF($B1322="","",ROW()-4)</f>
        <v/>
      </c>
      <c r="B1322" s="17" t="n"/>
      <c r="C1322" s="18" t="n"/>
      <c r="D1322" s="18" t="n"/>
      <c r="E1322" s="19" t="n"/>
      <c r="F1322" s="19" t="n"/>
      <c r="G1322" s="18" t="n"/>
      <c r="H1322" s="18" t="n"/>
      <c r="I1322" s="18" t="n"/>
      <c r="J1322" s="20" t="n"/>
      <c r="K1322" s="21" t="n"/>
      <c r="L1322" s="21" t="n"/>
      <c r="M1322" s="18" t="n"/>
      <c r="N1322" s="22">
        <f>IF($B1322="","",CHOOSE(WEEKDAY($B1322),"الأحد","الاثنين","الثلاثاء","الأربعاء","الخميس","الجمعة","السبت"))</f>
        <v/>
      </c>
      <c r="O1322" s="23">
        <f>IF(OR($K1322="",$L1322=""),"",HYPERLINK("https://maps.google.com/?q="&amp;$K1322&amp;","&amp;$L1322,"عرض الموقع"))</f>
        <v/>
      </c>
      <c r="P1322" s="23">
        <f>IF(OR($B1322="",N($J1322)=0),"",HYPERLINK(PhotoDir&amp;"/"&amp;YEAR($B1322)&amp;"-"&amp;TEXT(MONTH($B1322),"00")&amp;"-"&amp;TEXT(DAY($B1322),"00")&amp;"_"&amp;$D1322,"فتح الصور ("&amp;$J1322&amp;")"))</f>
        <v/>
      </c>
      <c r="Q1322" s="24">
        <f>IF($B1322="","",MONTH($B1322))</f>
        <v/>
      </c>
      <c r="R1322" s="24">
        <f>IF($B1322="","",YEAR($B1322))</f>
        <v/>
      </c>
      <c r="S1322" s="25">
        <f>IF($B1322="","",$B1322-WEEKDAY($B1322,3))</f>
        <v/>
      </c>
      <c r="T1322" s="24">
        <f>IF($B1322="",0,IF(COUNTIFS($B$5:$B1322,$B1322,$D$5:$D1322,$D1322)=1,1,0))</f>
        <v/>
      </c>
      <c r="U1322" s="24">
        <f>IF($B1322="",0,IF(COUNTIFS($B$5:$B1322,$B1322,$C$5:$C1322,$C1322)=1,1,0))</f>
        <v/>
      </c>
      <c r="V1322" s="24">
        <f>IF(OR($B1322="",$G1322="",$G1322="لا توجد مشاهدات"),0,1)</f>
        <v/>
      </c>
      <c r="W1322" s="24">
        <f>IF(AND($B1322&lt;&gt;"",$I1322="تم تحرير مخالفة"),1,0)</f>
        <v/>
      </c>
      <c r="X1322" s="24">
        <f>IF($B1322="","",IF($S1322=WkStart,COUNTIF($S$5:$S1322,WkStart),""))</f>
        <v/>
      </c>
    </row>
    <row r="1323">
      <c r="A1323" s="16">
        <f>IF($B1323="","",ROW()-4)</f>
        <v/>
      </c>
      <c r="B1323" s="17" t="n"/>
      <c r="C1323" s="18" t="n"/>
      <c r="D1323" s="18" t="n"/>
      <c r="E1323" s="19" t="n"/>
      <c r="F1323" s="19" t="n"/>
      <c r="G1323" s="18" t="n"/>
      <c r="H1323" s="18" t="n"/>
      <c r="I1323" s="18" t="n"/>
      <c r="J1323" s="20" t="n"/>
      <c r="K1323" s="21" t="n"/>
      <c r="L1323" s="21" t="n"/>
      <c r="M1323" s="18" t="n"/>
      <c r="N1323" s="22">
        <f>IF($B1323="","",CHOOSE(WEEKDAY($B1323),"الأحد","الاثنين","الثلاثاء","الأربعاء","الخميس","الجمعة","السبت"))</f>
        <v/>
      </c>
      <c r="O1323" s="23">
        <f>IF(OR($K1323="",$L1323=""),"",HYPERLINK("https://maps.google.com/?q="&amp;$K1323&amp;","&amp;$L1323,"عرض الموقع"))</f>
        <v/>
      </c>
      <c r="P1323" s="23">
        <f>IF(OR($B1323="",N($J1323)=0),"",HYPERLINK(PhotoDir&amp;"/"&amp;YEAR($B1323)&amp;"-"&amp;TEXT(MONTH($B1323),"00")&amp;"-"&amp;TEXT(DAY($B1323),"00")&amp;"_"&amp;$D1323,"فتح الصور ("&amp;$J1323&amp;")"))</f>
        <v/>
      </c>
      <c r="Q1323" s="24">
        <f>IF($B1323="","",MONTH($B1323))</f>
        <v/>
      </c>
      <c r="R1323" s="24">
        <f>IF($B1323="","",YEAR($B1323))</f>
        <v/>
      </c>
      <c r="S1323" s="25">
        <f>IF($B1323="","",$B1323-WEEKDAY($B1323,3))</f>
        <v/>
      </c>
      <c r="T1323" s="24">
        <f>IF($B1323="",0,IF(COUNTIFS($B$5:$B1323,$B1323,$D$5:$D1323,$D1323)=1,1,0))</f>
        <v/>
      </c>
      <c r="U1323" s="24">
        <f>IF($B1323="",0,IF(COUNTIFS($B$5:$B1323,$B1323,$C$5:$C1323,$C1323)=1,1,0))</f>
        <v/>
      </c>
      <c r="V1323" s="24">
        <f>IF(OR($B1323="",$G1323="",$G1323="لا توجد مشاهدات"),0,1)</f>
        <v/>
      </c>
      <c r="W1323" s="24">
        <f>IF(AND($B1323&lt;&gt;"",$I1323="تم تحرير مخالفة"),1,0)</f>
        <v/>
      </c>
      <c r="X1323" s="24">
        <f>IF($B1323="","",IF($S1323=WkStart,COUNTIF($S$5:$S1323,WkStart),""))</f>
        <v/>
      </c>
    </row>
    <row r="1324">
      <c r="A1324" s="16">
        <f>IF($B1324="","",ROW()-4)</f>
        <v/>
      </c>
      <c r="B1324" s="17" t="n"/>
      <c r="C1324" s="18" t="n"/>
      <c r="D1324" s="18" t="n"/>
      <c r="E1324" s="19" t="n"/>
      <c r="F1324" s="19" t="n"/>
      <c r="G1324" s="18" t="n"/>
      <c r="H1324" s="18" t="n"/>
      <c r="I1324" s="18" t="n"/>
      <c r="J1324" s="20" t="n"/>
      <c r="K1324" s="21" t="n"/>
      <c r="L1324" s="21" t="n"/>
      <c r="M1324" s="18" t="n"/>
      <c r="N1324" s="22">
        <f>IF($B1324="","",CHOOSE(WEEKDAY($B1324),"الأحد","الاثنين","الثلاثاء","الأربعاء","الخميس","الجمعة","السبت"))</f>
        <v/>
      </c>
      <c r="O1324" s="23">
        <f>IF(OR($K1324="",$L1324=""),"",HYPERLINK("https://maps.google.com/?q="&amp;$K1324&amp;","&amp;$L1324,"عرض الموقع"))</f>
        <v/>
      </c>
      <c r="P1324" s="23">
        <f>IF(OR($B1324="",N($J1324)=0),"",HYPERLINK(PhotoDir&amp;"/"&amp;YEAR($B1324)&amp;"-"&amp;TEXT(MONTH($B1324),"00")&amp;"-"&amp;TEXT(DAY($B1324),"00")&amp;"_"&amp;$D1324,"فتح الصور ("&amp;$J1324&amp;")"))</f>
        <v/>
      </c>
      <c r="Q1324" s="24">
        <f>IF($B1324="","",MONTH($B1324))</f>
        <v/>
      </c>
      <c r="R1324" s="24">
        <f>IF($B1324="","",YEAR($B1324))</f>
        <v/>
      </c>
      <c r="S1324" s="25">
        <f>IF($B1324="","",$B1324-WEEKDAY($B1324,3))</f>
        <v/>
      </c>
      <c r="T1324" s="24">
        <f>IF($B1324="",0,IF(COUNTIFS($B$5:$B1324,$B1324,$D$5:$D1324,$D1324)=1,1,0))</f>
        <v/>
      </c>
      <c r="U1324" s="24">
        <f>IF($B1324="",0,IF(COUNTIFS($B$5:$B1324,$B1324,$C$5:$C1324,$C1324)=1,1,0))</f>
        <v/>
      </c>
      <c r="V1324" s="24">
        <f>IF(OR($B1324="",$G1324="",$G1324="لا توجد مشاهدات"),0,1)</f>
        <v/>
      </c>
      <c r="W1324" s="24">
        <f>IF(AND($B1324&lt;&gt;"",$I1324="تم تحرير مخالفة"),1,0)</f>
        <v/>
      </c>
      <c r="X1324" s="24">
        <f>IF($B1324="","",IF($S1324=WkStart,COUNTIF($S$5:$S1324,WkStart),""))</f>
        <v/>
      </c>
    </row>
    <row r="1325">
      <c r="A1325" s="16">
        <f>IF($B1325="","",ROW()-4)</f>
        <v/>
      </c>
      <c r="B1325" s="17" t="n"/>
      <c r="C1325" s="18" t="n"/>
      <c r="D1325" s="18" t="n"/>
      <c r="E1325" s="19" t="n"/>
      <c r="F1325" s="19" t="n"/>
      <c r="G1325" s="18" t="n"/>
      <c r="H1325" s="18" t="n"/>
      <c r="I1325" s="18" t="n"/>
      <c r="J1325" s="20" t="n"/>
      <c r="K1325" s="21" t="n"/>
      <c r="L1325" s="21" t="n"/>
      <c r="M1325" s="18" t="n"/>
      <c r="N1325" s="22">
        <f>IF($B1325="","",CHOOSE(WEEKDAY($B1325),"الأحد","الاثنين","الثلاثاء","الأربعاء","الخميس","الجمعة","السبت"))</f>
        <v/>
      </c>
      <c r="O1325" s="23">
        <f>IF(OR($K1325="",$L1325=""),"",HYPERLINK("https://maps.google.com/?q="&amp;$K1325&amp;","&amp;$L1325,"عرض الموقع"))</f>
        <v/>
      </c>
      <c r="P1325" s="23">
        <f>IF(OR($B1325="",N($J1325)=0),"",HYPERLINK(PhotoDir&amp;"/"&amp;YEAR($B1325)&amp;"-"&amp;TEXT(MONTH($B1325),"00")&amp;"-"&amp;TEXT(DAY($B1325),"00")&amp;"_"&amp;$D1325,"فتح الصور ("&amp;$J1325&amp;")"))</f>
        <v/>
      </c>
      <c r="Q1325" s="24">
        <f>IF($B1325="","",MONTH($B1325))</f>
        <v/>
      </c>
      <c r="R1325" s="24">
        <f>IF($B1325="","",YEAR($B1325))</f>
        <v/>
      </c>
      <c r="S1325" s="25">
        <f>IF($B1325="","",$B1325-WEEKDAY($B1325,3))</f>
        <v/>
      </c>
      <c r="T1325" s="24">
        <f>IF($B1325="",0,IF(COUNTIFS($B$5:$B1325,$B1325,$D$5:$D1325,$D1325)=1,1,0))</f>
        <v/>
      </c>
      <c r="U1325" s="24">
        <f>IF($B1325="",0,IF(COUNTIFS($B$5:$B1325,$B1325,$C$5:$C1325,$C1325)=1,1,0))</f>
        <v/>
      </c>
      <c r="V1325" s="24">
        <f>IF(OR($B1325="",$G1325="",$G1325="لا توجد مشاهدات"),0,1)</f>
        <v/>
      </c>
      <c r="W1325" s="24">
        <f>IF(AND($B1325&lt;&gt;"",$I1325="تم تحرير مخالفة"),1,0)</f>
        <v/>
      </c>
      <c r="X1325" s="24">
        <f>IF($B1325="","",IF($S1325=WkStart,COUNTIF($S$5:$S1325,WkStart),""))</f>
        <v/>
      </c>
    </row>
    <row r="1326">
      <c r="A1326" s="16">
        <f>IF($B1326="","",ROW()-4)</f>
        <v/>
      </c>
      <c r="B1326" s="17" t="n"/>
      <c r="C1326" s="18" t="n"/>
      <c r="D1326" s="18" t="n"/>
      <c r="E1326" s="19" t="n"/>
      <c r="F1326" s="19" t="n"/>
      <c r="G1326" s="18" t="n"/>
      <c r="H1326" s="18" t="n"/>
      <c r="I1326" s="18" t="n"/>
      <c r="J1326" s="20" t="n"/>
      <c r="K1326" s="21" t="n"/>
      <c r="L1326" s="21" t="n"/>
      <c r="M1326" s="18" t="n"/>
      <c r="N1326" s="22">
        <f>IF($B1326="","",CHOOSE(WEEKDAY($B1326),"الأحد","الاثنين","الثلاثاء","الأربعاء","الخميس","الجمعة","السبت"))</f>
        <v/>
      </c>
      <c r="O1326" s="23">
        <f>IF(OR($K1326="",$L1326=""),"",HYPERLINK("https://maps.google.com/?q="&amp;$K1326&amp;","&amp;$L1326,"عرض الموقع"))</f>
        <v/>
      </c>
      <c r="P1326" s="23">
        <f>IF(OR($B1326="",N($J1326)=0),"",HYPERLINK(PhotoDir&amp;"/"&amp;YEAR($B1326)&amp;"-"&amp;TEXT(MONTH($B1326),"00")&amp;"-"&amp;TEXT(DAY($B1326),"00")&amp;"_"&amp;$D1326,"فتح الصور ("&amp;$J1326&amp;")"))</f>
        <v/>
      </c>
      <c r="Q1326" s="24">
        <f>IF($B1326="","",MONTH($B1326))</f>
        <v/>
      </c>
      <c r="R1326" s="24">
        <f>IF($B1326="","",YEAR($B1326))</f>
        <v/>
      </c>
      <c r="S1326" s="25">
        <f>IF($B1326="","",$B1326-WEEKDAY($B1326,3))</f>
        <v/>
      </c>
      <c r="T1326" s="24">
        <f>IF($B1326="",0,IF(COUNTIFS($B$5:$B1326,$B1326,$D$5:$D1326,$D1326)=1,1,0))</f>
        <v/>
      </c>
      <c r="U1326" s="24">
        <f>IF($B1326="",0,IF(COUNTIFS($B$5:$B1326,$B1326,$C$5:$C1326,$C1326)=1,1,0))</f>
        <v/>
      </c>
      <c r="V1326" s="24">
        <f>IF(OR($B1326="",$G1326="",$G1326="لا توجد مشاهدات"),0,1)</f>
        <v/>
      </c>
      <c r="W1326" s="24">
        <f>IF(AND($B1326&lt;&gt;"",$I1326="تم تحرير مخالفة"),1,0)</f>
        <v/>
      </c>
      <c r="X1326" s="24">
        <f>IF($B1326="","",IF($S1326=WkStart,COUNTIF($S$5:$S1326,WkStart),""))</f>
        <v/>
      </c>
    </row>
    <row r="1327">
      <c r="A1327" s="16">
        <f>IF($B1327="","",ROW()-4)</f>
        <v/>
      </c>
      <c r="B1327" s="17" t="n"/>
      <c r="C1327" s="18" t="n"/>
      <c r="D1327" s="18" t="n"/>
      <c r="E1327" s="19" t="n"/>
      <c r="F1327" s="19" t="n"/>
      <c r="G1327" s="18" t="n"/>
      <c r="H1327" s="18" t="n"/>
      <c r="I1327" s="18" t="n"/>
      <c r="J1327" s="20" t="n"/>
      <c r="K1327" s="21" t="n"/>
      <c r="L1327" s="21" t="n"/>
      <c r="M1327" s="18" t="n"/>
      <c r="N1327" s="22">
        <f>IF($B1327="","",CHOOSE(WEEKDAY($B1327),"الأحد","الاثنين","الثلاثاء","الأربعاء","الخميس","الجمعة","السبت"))</f>
        <v/>
      </c>
      <c r="O1327" s="23">
        <f>IF(OR($K1327="",$L1327=""),"",HYPERLINK("https://maps.google.com/?q="&amp;$K1327&amp;","&amp;$L1327,"عرض الموقع"))</f>
        <v/>
      </c>
      <c r="P1327" s="23">
        <f>IF(OR($B1327="",N($J1327)=0),"",HYPERLINK(PhotoDir&amp;"/"&amp;YEAR($B1327)&amp;"-"&amp;TEXT(MONTH($B1327),"00")&amp;"-"&amp;TEXT(DAY($B1327),"00")&amp;"_"&amp;$D1327,"فتح الصور ("&amp;$J1327&amp;")"))</f>
        <v/>
      </c>
      <c r="Q1327" s="24">
        <f>IF($B1327="","",MONTH($B1327))</f>
        <v/>
      </c>
      <c r="R1327" s="24">
        <f>IF($B1327="","",YEAR($B1327))</f>
        <v/>
      </c>
      <c r="S1327" s="25">
        <f>IF($B1327="","",$B1327-WEEKDAY($B1327,3))</f>
        <v/>
      </c>
      <c r="T1327" s="24">
        <f>IF($B1327="",0,IF(COUNTIFS($B$5:$B1327,$B1327,$D$5:$D1327,$D1327)=1,1,0))</f>
        <v/>
      </c>
      <c r="U1327" s="24">
        <f>IF($B1327="",0,IF(COUNTIFS($B$5:$B1327,$B1327,$C$5:$C1327,$C1327)=1,1,0))</f>
        <v/>
      </c>
      <c r="V1327" s="24">
        <f>IF(OR($B1327="",$G1327="",$G1327="لا توجد مشاهدات"),0,1)</f>
        <v/>
      </c>
      <c r="W1327" s="24">
        <f>IF(AND($B1327&lt;&gt;"",$I1327="تم تحرير مخالفة"),1,0)</f>
        <v/>
      </c>
      <c r="X1327" s="24">
        <f>IF($B1327="","",IF($S1327=WkStart,COUNTIF($S$5:$S1327,WkStart),""))</f>
        <v/>
      </c>
    </row>
    <row r="1328">
      <c r="A1328" s="16">
        <f>IF($B1328="","",ROW()-4)</f>
        <v/>
      </c>
      <c r="B1328" s="17" t="n"/>
      <c r="C1328" s="18" t="n"/>
      <c r="D1328" s="18" t="n"/>
      <c r="E1328" s="19" t="n"/>
      <c r="F1328" s="19" t="n"/>
      <c r="G1328" s="18" t="n"/>
      <c r="H1328" s="18" t="n"/>
      <c r="I1328" s="18" t="n"/>
      <c r="J1328" s="20" t="n"/>
      <c r="K1328" s="21" t="n"/>
      <c r="L1328" s="21" t="n"/>
      <c r="M1328" s="18" t="n"/>
      <c r="N1328" s="22">
        <f>IF($B1328="","",CHOOSE(WEEKDAY($B1328),"الأحد","الاثنين","الثلاثاء","الأربعاء","الخميس","الجمعة","السبت"))</f>
        <v/>
      </c>
      <c r="O1328" s="23">
        <f>IF(OR($K1328="",$L1328=""),"",HYPERLINK("https://maps.google.com/?q="&amp;$K1328&amp;","&amp;$L1328,"عرض الموقع"))</f>
        <v/>
      </c>
      <c r="P1328" s="23">
        <f>IF(OR($B1328="",N($J1328)=0),"",HYPERLINK(PhotoDir&amp;"/"&amp;YEAR($B1328)&amp;"-"&amp;TEXT(MONTH($B1328),"00")&amp;"-"&amp;TEXT(DAY($B1328),"00")&amp;"_"&amp;$D1328,"فتح الصور ("&amp;$J1328&amp;")"))</f>
        <v/>
      </c>
      <c r="Q1328" s="24">
        <f>IF($B1328="","",MONTH($B1328))</f>
        <v/>
      </c>
      <c r="R1328" s="24">
        <f>IF($B1328="","",YEAR($B1328))</f>
        <v/>
      </c>
      <c r="S1328" s="25">
        <f>IF($B1328="","",$B1328-WEEKDAY($B1328,3))</f>
        <v/>
      </c>
      <c r="T1328" s="24">
        <f>IF($B1328="",0,IF(COUNTIFS($B$5:$B1328,$B1328,$D$5:$D1328,$D1328)=1,1,0))</f>
        <v/>
      </c>
      <c r="U1328" s="24">
        <f>IF($B1328="",0,IF(COUNTIFS($B$5:$B1328,$B1328,$C$5:$C1328,$C1328)=1,1,0))</f>
        <v/>
      </c>
      <c r="V1328" s="24">
        <f>IF(OR($B1328="",$G1328="",$G1328="لا توجد مشاهدات"),0,1)</f>
        <v/>
      </c>
      <c r="W1328" s="24">
        <f>IF(AND($B1328&lt;&gt;"",$I1328="تم تحرير مخالفة"),1,0)</f>
        <v/>
      </c>
      <c r="X1328" s="24">
        <f>IF($B1328="","",IF($S1328=WkStart,COUNTIF($S$5:$S1328,WkStart),""))</f>
        <v/>
      </c>
    </row>
    <row r="1329">
      <c r="A1329" s="16">
        <f>IF($B1329="","",ROW()-4)</f>
        <v/>
      </c>
      <c r="B1329" s="17" t="n"/>
      <c r="C1329" s="18" t="n"/>
      <c r="D1329" s="18" t="n"/>
      <c r="E1329" s="19" t="n"/>
      <c r="F1329" s="19" t="n"/>
      <c r="G1329" s="18" t="n"/>
      <c r="H1329" s="18" t="n"/>
      <c r="I1329" s="18" t="n"/>
      <c r="J1329" s="20" t="n"/>
      <c r="K1329" s="21" t="n"/>
      <c r="L1329" s="21" t="n"/>
      <c r="M1329" s="18" t="n"/>
      <c r="N1329" s="22">
        <f>IF($B1329="","",CHOOSE(WEEKDAY($B1329),"الأحد","الاثنين","الثلاثاء","الأربعاء","الخميس","الجمعة","السبت"))</f>
        <v/>
      </c>
      <c r="O1329" s="23">
        <f>IF(OR($K1329="",$L1329=""),"",HYPERLINK("https://maps.google.com/?q="&amp;$K1329&amp;","&amp;$L1329,"عرض الموقع"))</f>
        <v/>
      </c>
      <c r="P1329" s="23">
        <f>IF(OR($B1329="",N($J1329)=0),"",HYPERLINK(PhotoDir&amp;"/"&amp;YEAR($B1329)&amp;"-"&amp;TEXT(MONTH($B1329),"00")&amp;"-"&amp;TEXT(DAY($B1329),"00")&amp;"_"&amp;$D1329,"فتح الصور ("&amp;$J1329&amp;")"))</f>
        <v/>
      </c>
      <c r="Q1329" s="24">
        <f>IF($B1329="","",MONTH($B1329))</f>
        <v/>
      </c>
      <c r="R1329" s="24">
        <f>IF($B1329="","",YEAR($B1329))</f>
        <v/>
      </c>
      <c r="S1329" s="25">
        <f>IF($B1329="","",$B1329-WEEKDAY($B1329,3))</f>
        <v/>
      </c>
      <c r="T1329" s="24">
        <f>IF($B1329="",0,IF(COUNTIFS($B$5:$B1329,$B1329,$D$5:$D1329,$D1329)=1,1,0))</f>
        <v/>
      </c>
      <c r="U1329" s="24">
        <f>IF($B1329="",0,IF(COUNTIFS($B$5:$B1329,$B1329,$C$5:$C1329,$C1329)=1,1,0))</f>
        <v/>
      </c>
      <c r="V1329" s="24">
        <f>IF(OR($B1329="",$G1329="",$G1329="لا توجد مشاهدات"),0,1)</f>
        <v/>
      </c>
      <c r="W1329" s="24">
        <f>IF(AND($B1329&lt;&gt;"",$I1329="تم تحرير مخالفة"),1,0)</f>
        <v/>
      </c>
      <c r="X1329" s="24">
        <f>IF($B1329="","",IF($S1329=WkStart,COUNTIF($S$5:$S1329,WkStart),""))</f>
        <v/>
      </c>
    </row>
    <row r="1330">
      <c r="A1330" s="16">
        <f>IF($B1330="","",ROW()-4)</f>
        <v/>
      </c>
      <c r="B1330" s="17" t="n"/>
      <c r="C1330" s="18" t="n"/>
      <c r="D1330" s="18" t="n"/>
      <c r="E1330" s="19" t="n"/>
      <c r="F1330" s="19" t="n"/>
      <c r="G1330" s="18" t="n"/>
      <c r="H1330" s="18" t="n"/>
      <c r="I1330" s="18" t="n"/>
      <c r="J1330" s="20" t="n"/>
      <c r="K1330" s="21" t="n"/>
      <c r="L1330" s="21" t="n"/>
      <c r="M1330" s="18" t="n"/>
      <c r="N1330" s="22">
        <f>IF($B1330="","",CHOOSE(WEEKDAY($B1330),"الأحد","الاثنين","الثلاثاء","الأربعاء","الخميس","الجمعة","السبت"))</f>
        <v/>
      </c>
      <c r="O1330" s="23">
        <f>IF(OR($K1330="",$L1330=""),"",HYPERLINK("https://maps.google.com/?q="&amp;$K1330&amp;","&amp;$L1330,"عرض الموقع"))</f>
        <v/>
      </c>
      <c r="P1330" s="23">
        <f>IF(OR($B1330="",N($J1330)=0),"",HYPERLINK(PhotoDir&amp;"/"&amp;YEAR($B1330)&amp;"-"&amp;TEXT(MONTH($B1330),"00")&amp;"-"&amp;TEXT(DAY($B1330),"00")&amp;"_"&amp;$D1330,"فتح الصور ("&amp;$J1330&amp;")"))</f>
        <v/>
      </c>
      <c r="Q1330" s="24">
        <f>IF($B1330="","",MONTH($B1330))</f>
        <v/>
      </c>
      <c r="R1330" s="24">
        <f>IF($B1330="","",YEAR($B1330))</f>
        <v/>
      </c>
      <c r="S1330" s="25">
        <f>IF($B1330="","",$B1330-WEEKDAY($B1330,3))</f>
        <v/>
      </c>
      <c r="T1330" s="24">
        <f>IF($B1330="",0,IF(COUNTIFS($B$5:$B1330,$B1330,$D$5:$D1330,$D1330)=1,1,0))</f>
        <v/>
      </c>
      <c r="U1330" s="24">
        <f>IF($B1330="",0,IF(COUNTIFS($B$5:$B1330,$B1330,$C$5:$C1330,$C1330)=1,1,0))</f>
        <v/>
      </c>
      <c r="V1330" s="24">
        <f>IF(OR($B1330="",$G1330="",$G1330="لا توجد مشاهدات"),0,1)</f>
        <v/>
      </c>
      <c r="W1330" s="24">
        <f>IF(AND($B1330&lt;&gt;"",$I1330="تم تحرير مخالفة"),1,0)</f>
        <v/>
      </c>
      <c r="X1330" s="24">
        <f>IF($B1330="","",IF($S1330=WkStart,COUNTIF($S$5:$S1330,WkStart),""))</f>
        <v/>
      </c>
    </row>
    <row r="1331">
      <c r="A1331" s="16">
        <f>IF($B1331="","",ROW()-4)</f>
        <v/>
      </c>
      <c r="B1331" s="17" t="n"/>
      <c r="C1331" s="18" t="n"/>
      <c r="D1331" s="18" t="n"/>
      <c r="E1331" s="19" t="n"/>
      <c r="F1331" s="19" t="n"/>
      <c r="G1331" s="18" t="n"/>
      <c r="H1331" s="18" t="n"/>
      <c r="I1331" s="18" t="n"/>
      <c r="J1331" s="20" t="n"/>
      <c r="K1331" s="21" t="n"/>
      <c r="L1331" s="21" t="n"/>
      <c r="M1331" s="18" t="n"/>
      <c r="N1331" s="22">
        <f>IF($B1331="","",CHOOSE(WEEKDAY($B1331),"الأحد","الاثنين","الثلاثاء","الأربعاء","الخميس","الجمعة","السبت"))</f>
        <v/>
      </c>
      <c r="O1331" s="23">
        <f>IF(OR($K1331="",$L1331=""),"",HYPERLINK("https://maps.google.com/?q="&amp;$K1331&amp;","&amp;$L1331,"عرض الموقع"))</f>
        <v/>
      </c>
      <c r="P1331" s="23">
        <f>IF(OR($B1331="",N($J1331)=0),"",HYPERLINK(PhotoDir&amp;"/"&amp;YEAR($B1331)&amp;"-"&amp;TEXT(MONTH($B1331),"00")&amp;"-"&amp;TEXT(DAY($B1331),"00")&amp;"_"&amp;$D1331,"فتح الصور ("&amp;$J1331&amp;")"))</f>
        <v/>
      </c>
      <c r="Q1331" s="24">
        <f>IF($B1331="","",MONTH($B1331))</f>
        <v/>
      </c>
      <c r="R1331" s="24">
        <f>IF($B1331="","",YEAR($B1331))</f>
        <v/>
      </c>
      <c r="S1331" s="25">
        <f>IF($B1331="","",$B1331-WEEKDAY($B1331,3))</f>
        <v/>
      </c>
      <c r="T1331" s="24">
        <f>IF($B1331="",0,IF(COUNTIFS($B$5:$B1331,$B1331,$D$5:$D1331,$D1331)=1,1,0))</f>
        <v/>
      </c>
      <c r="U1331" s="24">
        <f>IF($B1331="",0,IF(COUNTIFS($B$5:$B1331,$B1331,$C$5:$C1331,$C1331)=1,1,0))</f>
        <v/>
      </c>
      <c r="V1331" s="24">
        <f>IF(OR($B1331="",$G1331="",$G1331="لا توجد مشاهدات"),0,1)</f>
        <v/>
      </c>
      <c r="W1331" s="24">
        <f>IF(AND($B1331&lt;&gt;"",$I1331="تم تحرير مخالفة"),1,0)</f>
        <v/>
      </c>
      <c r="X1331" s="24">
        <f>IF($B1331="","",IF($S1331=WkStart,COUNTIF($S$5:$S1331,WkStart),""))</f>
        <v/>
      </c>
    </row>
    <row r="1332">
      <c r="A1332" s="16">
        <f>IF($B1332="","",ROW()-4)</f>
        <v/>
      </c>
      <c r="B1332" s="17" t="n"/>
      <c r="C1332" s="18" t="n"/>
      <c r="D1332" s="18" t="n"/>
      <c r="E1332" s="19" t="n"/>
      <c r="F1332" s="19" t="n"/>
      <c r="G1332" s="18" t="n"/>
      <c r="H1332" s="18" t="n"/>
      <c r="I1332" s="18" t="n"/>
      <c r="J1332" s="20" t="n"/>
      <c r="K1332" s="21" t="n"/>
      <c r="L1332" s="21" t="n"/>
      <c r="M1332" s="18" t="n"/>
      <c r="N1332" s="22">
        <f>IF($B1332="","",CHOOSE(WEEKDAY($B1332),"الأحد","الاثنين","الثلاثاء","الأربعاء","الخميس","الجمعة","السبت"))</f>
        <v/>
      </c>
      <c r="O1332" s="23">
        <f>IF(OR($K1332="",$L1332=""),"",HYPERLINK("https://maps.google.com/?q="&amp;$K1332&amp;","&amp;$L1332,"عرض الموقع"))</f>
        <v/>
      </c>
      <c r="P1332" s="23">
        <f>IF(OR($B1332="",N($J1332)=0),"",HYPERLINK(PhotoDir&amp;"/"&amp;YEAR($B1332)&amp;"-"&amp;TEXT(MONTH($B1332),"00")&amp;"-"&amp;TEXT(DAY($B1332),"00")&amp;"_"&amp;$D1332,"فتح الصور ("&amp;$J1332&amp;")"))</f>
        <v/>
      </c>
      <c r="Q1332" s="24">
        <f>IF($B1332="","",MONTH($B1332))</f>
        <v/>
      </c>
      <c r="R1332" s="24">
        <f>IF($B1332="","",YEAR($B1332))</f>
        <v/>
      </c>
      <c r="S1332" s="25">
        <f>IF($B1332="","",$B1332-WEEKDAY($B1332,3))</f>
        <v/>
      </c>
      <c r="T1332" s="24">
        <f>IF($B1332="",0,IF(COUNTIFS($B$5:$B1332,$B1332,$D$5:$D1332,$D1332)=1,1,0))</f>
        <v/>
      </c>
      <c r="U1332" s="24">
        <f>IF($B1332="",0,IF(COUNTIFS($B$5:$B1332,$B1332,$C$5:$C1332,$C1332)=1,1,0))</f>
        <v/>
      </c>
      <c r="V1332" s="24">
        <f>IF(OR($B1332="",$G1332="",$G1332="لا توجد مشاهدات"),0,1)</f>
        <v/>
      </c>
      <c r="W1332" s="24">
        <f>IF(AND($B1332&lt;&gt;"",$I1332="تم تحرير مخالفة"),1,0)</f>
        <v/>
      </c>
      <c r="X1332" s="24">
        <f>IF($B1332="","",IF($S1332=WkStart,COUNTIF($S$5:$S1332,WkStart),""))</f>
        <v/>
      </c>
    </row>
    <row r="1333">
      <c r="A1333" s="16">
        <f>IF($B1333="","",ROW()-4)</f>
        <v/>
      </c>
      <c r="B1333" s="17" t="n"/>
      <c r="C1333" s="18" t="n"/>
      <c r="D1333" s="18" t="n"/>
      <c r="E1333" s="19" t="n"/>
      <c r="F1333" s="19" t="n"/>
      <c r="G1333" s="18" t="n"/>
      <c r="H1333" s="18" t="n"/>
      <c r="I1333" s="18" t="n"/>
      <c r="J1333" s="20" t="n"/>
      <c r="K1333" s="21" t="n"/>
      <c r="L1333" s="21" t="n"/>
      <c r="M1333" s="18" t="n"/>
      <c r="N1333" s="22">
        <f>IF($B1333="","",CHOOSE(WEEKDAY($B1333),"الأحد","الاثنين","الثلاثاء","الأربعاء","الخميس","الجمعة","السبت"))</f>
        <v/>
      </c>
      <c r="O1333" s="23">
        <f>IF(OR($K1333="",$L1333=""),"",HYPERLINK("https://maps.google.com/?q="&amp;$K1333&amp;","&amp;$L1333,"عرض الموقع"))</f>
        <v/>
      </c>
      <c r="P1333" s="23">
        <f>IF(OR($B1333="",N($J1333)=0),"",HYPERLINK(PhotoDir&amp;"/"&amp;YEAR($B1333)&amp;"-"&amp;TEXT(MONTH($B1333),"00")&amp;"-"&amp;TEXT(DAY($B1333),"00")&amp;"_"&amp;$D1333,"فتح الصور ("&amp;$J1333&amp;")"))</f>
        <v/>
      </c>
      <c r="Q1333" s="24">
        <f>IF($B1333="","",MONTH($B1333))</f>
        <v/>
      </c>
      <c r="R1333" s="24">
        <f>IF($B1333="","",YEAR($B1333))</f>
        <v/>
      </c>
      <c r="S1333" s="25">
        <f>IF($B1333="","",$B1333-WEEKDAY($B1333,3))</f>
        <v/>
      </c>
      <c r="T1333" s="24">
        <f>IF($B1333="",0,IF(COUNTIFS($B$5:$B1333,$B1333,$D$5:$D1333,$D1333)=1,1,0))</f>
        <v/>
      </c>
      <c r="U1333" s="24">
        <f>IF($B1333="",0,IF(COUNTIFS($B$5:$B1333,$B1333,$C$5:$C1333,$C1333)=1,1,0))</f>
        <v/>
      </c>
      <c r="V1333" s="24">
        <f>IF(OR($B1333="",$G1333="",$G1333="لا توجد مشاهدات"),0,1)</f>
        <v/>
      </c>
      <c r="W1333" s="24">
        <f>IF(AND($B1333&lt;&gt;"",$I1333="تم تحرير مخالفة"),1,0)</f>
        <v/>
      </c>
      <c r="X1333" s="24">
        <f>IF($B1333="","",IF($S1333=WkStart,COUNTIF($S$5:$S1333,WkStart),""))</f>
        <v/>
      </c>
    </row>
    <row r="1334">
      <c r="A1334" s="16">
        <f>IF($B1334="","",ROW()-4)</f>
        <v/>
      </c>
      <c r="B1334" s="17" t="n"/>
      <c r="C1334" s="18" t="n"/>
      <c r="D1334" s="18" t="n"/>
      <c r="E1334" s="19" t="n"/>
      <c r="F1334" s="19" t="n"/>
      <c r="G1334" s="18" t="n"/>
      <c r="H1334" s="18" t="n"/>
      <c r="I1334" s="18" t="n"/>
      <c r="J1334" s="20" t="n"/>
      <c r="K1334" s="21" t="n"/>
      <c r="L1334" s="21" t="n"/>
      <c r="M1334" s="18" t="n"/>
      <c r="N1334" s="22">
        <f>IF($B1334="","",CHOOSE(WEEKDAY($B1334),"الأحد","الاثنين","الثلاثاء","الأربعاء","الخميس","الجمعة","السبت"))</f>
        <v/>
      </c>
      <c r="O1334" s="23">
        <f>IF(OR($K1334="",$L1334=""),"",HYPERLINK("https://maps.google.com/?q="&amp;$K1334&amp;","&amp;$L1334,"عرض الموقع"))</f>
        <v/>
      </c>
      <c r="P1334" s="23">
        <f>IF(OR($B1334="",N($J1334)=0),"",HYPERLINK(PhotoDir&amp;"/"&amp;YEAR($B1334)&amp;"-"&amp;TEXT(MONTH($B1334),"00")&amp;"-"&amp;TEXT(DAY($B1334),"00")&amp;"_"&amp;$D1334,"فتح الصور ("&amp;$J1334&amp;")"))</f>
        <v/>
      </c>
      <c r="Q1334" s="24">
        <f>IF($B1334="","",MONTH($B1334))</f>
        <v/>
      </c>
      <c r="R1334" s="24">
        <f>IF($B1334="","",YEAR($B1334))</f>
        <v/>
      </c>
      <c r="S1334" s="25">
        <f>IF($B1334="","",$B1334-WEEKDAY($B1334,3))</f>
        <v/>
      </c>
      <c r="T1334" s="24">
        <f>IF($B1334="",0,IF(COUNTIFS($B$5:$B1334,$B1334,$D$5:$D1334,$D1334)=1,1,0))</f>
        <v/>
      </c>
      <c r="U1334" s="24">
        <f>IF($B1334="",0,IF(COUNTIFS($B$5:$B1334,$B1334,$C$5:$C1334,$C1334)=1,1,0))</f>
        <v/>
      </c>
      <c r="V1334" s="24">
        <f>IF(OR($B1334="",$G1334="",$G1334="لا توجد مشاهدات"),0,1)</f>
        <v/>
      </c>
      <c r="W1334" s="24">
        <f>IF(AND($B1334&lt;&gt;"",$I1334="تم تحرير مخالفة"),1,0)</f>
        <v/>
      </c>
      <c r="X1334" s="24">
        <f>IF($B1334="","",IF($S1334=WkStart,COUNTIF($S$5:$S1334,WkStart),""))</f>
        <v/>
      </c>
    </row>
    <row r="1335">
      <c r="A1335" s="16">
        <f>IF($B1335="","",ROW()-4)</f>
        <v/>
      </c>
      <c r="B1335" s="17" t="n"/>
      <c r="C1335" s="18" t="n"/>
      <c r="D1335" s="18" t="n"/>
      <c r="E1335" s="19" t="n"/>
      <c r="F1335" s="19" t="n"/>
      <c r="G1335" s="18" t="n"/>
      <c r="H1335" s="18" t="n"/>
      <c r="I1335" s="18" t="n"/>
      <c r="J1335" s="20" t="n"/>
      <c r="K1335" s="21" t="n"/>
      <c r="L1335" s="21" t="n"/>
      <c r="M1335" s="18" t="n"/>
      <c r="N1335" s="22">
        <f>IF($B1335="","",CHOOSE(WEEKDAY($B1335),"الأحد","الاثنين","الثلاثاء","الأربعاء","الخميس","الجمعة","السبت"))</f>
        <v/>
      </c>
      <c r="O1335" s="23">
        <f>IF(OR($K1335="",$L1335=""),"",HYPERLINK("https://maps.google.com/?q="&amp;$K1335&amp;","&amp;$L1335,"عرض الموقع"))</f>
        <v/>
      </c>
      <c r="P1335" s="23">
        <f>IF(OR($B1335="",N($J1335)=0),"",HYPERLINK(PhotoDir&amp;"/"&amp;YEAR($B1335)&amp;"-"&amp;TEXT(MONTH($B1335),"00")&amp;"-"&amp;TEXT(DAY($B1335),"00")&amp;"_"&amp;$D1335,"فتح الصور ("&amp;$J1335&amp;")"))</f>
        <v/>
      </c>
      <c r="Q1335" s="24">
        <f>IF($B1335="","",MONTH($B1335))</f>
        <v/>
      </c>
      <c r="R1335" s="24">
        <f>IF($B1335="","",YEAR($B1335))</f>
        <v/>
      </c>
      <c r="S1335" s="25">
        <f>IF($B1335="","",$B1335-WEEKDAY($B1335,3))</f>
        <v/>
      </c>
      <c r="T1335" s="24">
        <f>IF($B1335="",0,IF(COUNTIFS($B$5:$B1335,$B1335,$D$5:$D1335,$D1335)=1,1,0))</f>
        <v/>
      </c>
      <c r="U1335" s="24">
        <f>IF($B1335="",0,IF(COUNTIFS($B$5:$B1335,$B1335,$C$5:$C1335,$C1335)=1,1,0))</f>
        <v/>
      </c>
      <c r="V1335" s="24">
        <f>IF(OR($B1335="",$G1335="",$G1335="لا توجد مشاهدات"),0,1)</f>
        <v/>
      </c>
      <c r="W1335" s="24">
        <f>IF(AND($B1335&lt;&gt;"",$I1335="تم تحرير مخالفة"),1,0)</f>
        <v/>
      </c>
      <c r="X1335" s="24">
        <f>IF($B1335="","",IF($S1335=WkStart,COUNTIF($S$5:$S1335,WkStart),""))</f>
        <v/>
      </c>
    </row>
    <row r="1336">
      <c r="A1336" s="16">
        <f>IF($B1336="","",ROW()-4)</f>
        <v/>
      </c>
      <c r="B1336" s="17" t="n"/>
      <c r="C1336" s="18" t="n"/>
      <c r="D1336" s="18" t="n"/>
      <c r="E1336" s="19" t="n"/>
      <c r="F1336" s="19" t="n"/>
      <c r="G1336" s="18" t="n"/>
      <c r="H1336" s="18" t="n"/>
      <c r="I1336" s="18" t="n"/>
      <c r="J1336" s="20" t="n"/>
      <c r="K1336" s="21" t="n"/>
      <c r="L1336" s="21" t="n"/>
      <c r="M1336" s="18" t="n"/>
      <c r="N1336" s="22">
        <f>IF($B1336="","",CHOOSE(WEEKDAY($B1336),"الأحد","الاثنين","الثلاثاء","الأربعاء","الخميس","الجمعة","السبت"))</f>
        <v/>
      </c>
      <c r="O1336" s="23">
        <f>IF(OR($K1336="",$L1336=""),"",HYPERLINK("https://maps.google.com/?q="&amp;$K1336&amp;","&amp;$L1336,"عرض الموقع"))</f>
        <v/>
      </c>
      <c r="P1336" s="23">
        <f>IF(OR($B1336="",N($J1336)=0),"",HYPERLINK(PhotoDir&amp;"/"&amp;YEAR($B1336)&amp;"-"&amp;TEXT(MONTH($B1336),"00")&amp;"-"&amp;TEXT(DAY($B1336),"00")&amp;"_"&amp;$D1336,"فتح الصور ("&amp;$J1336&amp;")"))</f>
        <v/>
      </c>
      <c r="Q1336" s="24">
        <f>IF($B1336="","",MONTH($B1336))</f>
        <v/>
      </c>
      <c r="R1336" s="24">
        <f>IF($B1336="","",YEAR($B1336))</f>
        <v/>
      </c>
      <c r="S1336" s="25">
        <f>IF($B1336="","",$B1336-WEEKDAY($B1336,3))</f>
        <v/>
      </c>
      <c r="T1336" s="24">
        <f>IF($B1336="",0,IF(COUNTIFS($B$5:$B1336,$B1336,$D$5:$D1336,$D1336)=1,1,0))</f>
        <v/>
      </c>
      <c r="U1336" s="24">
        <f>IF($B1336="",0,IF(COUNTIFS($B$5:$B1336,$B1336,$C$5:$C1336,$C1336)=1,1,0))</f>
        <v/>
      </c>
      <c r="V1336" s="24">
        <f>IF(OR($B1336="",$G1336="",$G1336="لا توجد مشاهدات"),0,1)</f>
        <v/>
      </c>
      <c r="W1336" s="24">
        <f>IF(AND($B1336&lt;&gt;"",$I1336="تم تحرير مخالفة"),1,0)</f>
        <v/>
      </c>
      <c r="X1336" s="24">
        <f>IF($B1336="","",IF($S1336=WkStart,COUNTIF($S$5:$S1336,WkStart),""))</f>
        <v/>
      </c>
    </row>
    <row r="1337">
      <c r="A1337" s="16">
        <f>IF($B1337="","",ROW()-4)</f>
        <v/>
      </c>
      <c r="B1337" s="17" t="n"/>
      <c r="C1337" s="18" t="n"/>
      <c r="D1337" s="18" t="n"/>
      <c r="E1337" s="19" t="n"/>
      <c r="F1337" s="19" t="n"/>
      <c r="G1337" s="18" t="n"/>
      <c r="H1337" s="18" t="n"/>
      <c r="I1337" s="18" t="n"/>
      <c r="J1337" s="20" t="n"/>
      <c r="K1337" s="21" t="n"/>
      <c r="L1337" s="21" t="n"/>
      <c r="M1337" s="18" t="n"/>
      <c r="N1337" s="22">
        <f>IF($B1337="","",CHOOSE(WEEKDAY($B1337),"الأحد","الاثنين","الثلاثاء","الأربعاء","الخميس","الجمعة","السبت"))</f>
        <v/>
      </c>
      <c r="O1337" s="23">
        <f>IF(OR($K1337="",$L1337=""),"",HYPERLINK("https://maps.google.com/?q="&amp;$K1337&amp;","&amp;$L1337,"عرض الموقع"))</f>
        <v/>
      </c>
      <c r="P1337" s="23">
        <f>IF(OR($B1337="",N($J1337)=0),"",HYPERLINK(PhotoDir&amp;"/"&amp;YEAR($B1337)&amp;"-"&amp;TEXT(MONTH($B1337),"00")&amp;"-"&amp;TEXT(DAY($B1337),"00")&amp;"_"&amp;$D1337,"فتح الصور ("&amp;$J1337&amp;")"))</f>
        <v/>
      </c>
      <c r="Q1337" s="24">
        <f>IF($B1337="","",MONTH($B1337))</f>
        <v/>
      </c>
      <c r="R1337" s="24">
        <f>IF($B1337="","",YEAR($B1337))</f>
        <v/>
      </c>
      <c r="S1337" s="25">
        <f>IF($B1337="","",$B1337-WEEKDAY($B1337,3))</f>
        <v/>
      </c>
      <c r="T1337" s="24">
        <f>IF($B1337="",0,IF(COUNTIFS($B$5:$B1337,$B1337,$D$5:$D1337,$D1337)=1,1,0))</f>
        <v/>
      </c>
      <c r="U1337" s="24">
        <f>IF($B1337="",0,IF(COUNTIFS($B$5:$B1337,$B1337,$C$5:$C1337,$C1337)=1,1,0))</f>
        <v/>
      </c>
      <c r="V1337" s="24">
        <f>IF(OR($B1337="",$G1337="",$G1337="لا توجد مشاهدات"),0,1)</f>
        <v/>
      </c>
      <c r="W1337" s="24">
        <f>IF(AND($B1337&lt;&gt;"",$I1337="تم تحرير مخالفة"),1,0)</f>
        <v/>
      </c>
      <c r="X1337" s="24">
        <f>IF($B1337="","",IF($S1337=WkStart,COUNTIF($S$5:$S1337,WkStart),""))</f>
        <v/>
      </c>
    </row>
    <row r="1338">
      <c r="A1338" s="16">
        <f>IF($B1338="","",ROW()-4)</f>
        <v/>
      </c>
      <c r="B1338" s="17" t="n"/>
      <c r="C1338" s="18" t="n"/>
      <c r="D1338" s="18" t="n"/>
      <c r="E1338" s="19" t="n"/>
      <c r="F1338" s="19" t="n"/>
      <c r="G1338" s="18" t="n"/>
      <c r="H1338" s="18" t="n"/>
      <c r="I1338" s="18" t="n"/>
      <c r="J1338" s="20" t="n"/>
      <c r="K1338" s="21" t="n"/>
      <c r="L1338" s="21" t="n"/>
      <c r="M1338" s="18" t="n"/>
      <c r="N1338" s="22">
        <f>IF($B1338="","",CHOOSE(WEEKDAY($B1338),"الأحد","الاثنين","الثلاثاء","الأربعاء","الخميس","الجمعة","السبت"))</f>
        <v/>
      </c>
      <c r="O1338" s="23">
        <f>IF(OR($K1338="",$L1338=""),"",HYPERLINK("https://maps.google.com/?q="&amp;$K1338&amp;","&amp;$L1338,"عرض الموقع"))</f>
        <v/>
      </c>
      <c r="P1338" s="23">
        <f>IF(OR($B1338="",N($J1338)=0),"",HYPERLINK(PhotoDir&amp;"/"&amp;YEAR($B1338)&amp;"-"&amp;TEXT(MONTH($B1338),"00")&amp;"-"&amp;TEXT(DAY($B1338),"00")&amp;"_"&amp;$D1338,"فتح الصور ("&amp;$J1338&amp;")"))</f>
        <v/>
      </c>
      <c r="Q1338" s="24">
        <f>IF($B1338="","",MONTH($B1338))</f>
        <v/>
      </c>
      <c r="R1338" s="24">
        <f>IF($B1338="","",YEAR($B1338))</f>
        <v/>
      </c>
      <c r="S1338" s="25">
        <f>IF($B1338="","",$B1338-WEEKDAY($B1338,3))</f>
        <v/>
      </c>
      <c r="T1338" s="24">
        <f>IF($B1338="",0,IF(COUNTIFS($B$5:$B1338,$B1338,$D$5:$D1338,$D1338)=1,1,0))</f>
        <v/>
      </c>
      <c r="U1338" s="24">
        <f>IF($B1338="",0,IF(COUNTIFS($B$5:$B1338,$B1338,$C$5:$C1338,$C1338)=1,1,0))</f>
        <v/>
      </c>
      <c r="V1338" s="24">
        <f>IF(OR($B1338="",$G1338="",$G1338="لا توجد مشاهدات"),0,1)</f>
        <v/>
      </c>
      <c r="W1338" s="24">
        <f>IF(AND($B1338&lt;&gt;"",$I1338="تم تحرير مخالفة"),1,0)</f>
        <v/>
      </c>
      <c r="X1338" s="24">
        <f>IF($B1338="","",IF($S1338=WkStart,COUNTIF($S$5:$S1338,WkStart),""))</f>
        <v/>
      </c>
    </row>
    <row r="1339">
      <c r="A1339" s="16">
        <f>IF($B1339="","",ROW()-4)</f>
        <v/>
      </c>
      <c r="B1339" s="17" t="n"/>
      <c r="C1339" s="18" t="n"/>
      <c r="D1339" s="18" t="n"/>
      <c r="E1339" s="19" t="n"/>
      <c r="F1339" s="19" t="n"/>
      <c r="G1339" s="18" t="n"/>
      <c r="H1339" s="18" t="n"/>
      <c r="I1339" s="18" t="n"/>
      <c r="J1339" s="20" t="n"/>
      <c r="K1339" s="21" t="n"/>
      <c r="L1339" s="21" t="n"/>
      <c r="M1339" s="18" t="n"/>
      <c r="N1339" s="22">
        <f>IF($B1339="","",CHOOSE(WEEKDAY($B1339),"الأحد","الاثنين","الثلاثاء","الأربعاء","الخميس","الجمعة","السبت"))</f>
        <v/>
      </c>
      <c r="O1339" s="23">
        <f>IF(OR($K1339="",$L1339=""),"",HYPERLINK("https://maps.google.com/?q="&amp;$K1339&amp;","&amp;$L1339,"عرض الموقع"))</f>
        <v/>
      </c>
      <c r="P1339" s="23">
        <f>IF(OR($B1339="",N($J1339)=0),"",HYPERLINK(PhotoDir&amp;"/"&amp;YEAR($B1339)&amp;"-"&amp;TEXT(MONTH($B1339),"00")&amp;"-"&amp;TEXT(DAY($B1339),"00")&amp;"_"&amp;$D1339,"فتح الصور ("&amp;$J1339&amp;")"))</f>
        <v/>
      </c>
      <c r="Q1339" s="24">
        <f>IF($B1339="","",MONTH($B1339))</f>
        <v/>
      </c>
      <c r="R1339" s="24">
        <f>IF($B1339="","",YEAR($B1339))</f>
        <v/>
      </c>
      <c r="S1339" s="25">
        <f>IF($B1339="","",$B1339-WEEKDAY($B1339,3))</f>
        <v/>
      </c>
      <c r="T1339" s="24">
        <f>IF($B1339="",0,IF(COUNTIFS($B$5:$B1339,$B1339,$D$5:$D1339,$D1339)=1,1,0))</f>
        <v/>
      </c>
      <c r="U1339" s="24">
        <f>IF($B1339="",0,IF(COUNTIFS($B$5:$B1339,$B1339,$C$5:$C1339,$C1339)=1,1,0))</f>
        <v/>
      </c>
      <c r="V1339" s="24">
        <f>IF(OR($B1339="",$G1339="",$G1339="لا توجد مشاهدات"),0,1)</f>
        <v/>
      </c>
      <c r="W1339" s="24">
        <f>IF(AND($B1339&lt;&gt;"",$I1339="تم تحرير مخالفة"),1,0)</f>
        <v/>
      </c>
      <c r="X1339" s="24">
        <f>IF($B1339="","",IF($S1339=WkStart,COUNTIF($S$5:$S1339,WkStart),""))</f>
        <v/>
      </c>
    </row>
    <row r="1340">
      <c r="A1340" s="16">
        <f>IF($B1340="","",ROW()-4)</f>
        <v/>
      </c>
      <c r="B1340" s="17" t="n"/>
      <c r="C1340" s="18" t="n"/>
      <c r="D1340" s="18" t="n"/>
      <c r="E1340" s="19" t="n"/>
      <c r="F1340" s="19" t="n"/>
      <c r="G1340" s="18" t="n"/>
      <c r="H1340" s="18" t="n"/>
      <c r="I1340" s="18" t="n"/>
      <c r="J1340" s="20" t="n"/>
      <c r="K1340" s="21" t="n"/>
      <c r="L1340" s="21" t="n"/>
      <c r="M1340" s="18" t="n"/>
      <c r="N1340" s="22">
        <f>IF($B1340="","",CHOOSE(WEEKDAY($B1340),"الأحد","الاثنين","الثلاثاء","الأربعاء","الخميس","الجمعة","السبت"))</f>
        <v/>
      </c>
      <c r="O1340" s="23">
        <f>IF(OR($K1340="",$L1340=""),"",HYPERLINK("https://maps.google.com/?q="&amp;$K1340&amp;","&amp;$L1340,"عرض الموقع"))</f>
        <v/>
      </c>
      <c r="P1340" s="23">
        <f>IF(OR($B1340="",N($J1340)=0),"",HYPERLINK(PhotoDir&amp;"/"&amp;YEAR($B1340)&amp;"-"&amp;TEXT(MONTH($B1340),"00")&amp;"-"&amp;TEXT(DAY($B1340),"00")&amp;"_"&amp;$D1340,"فتح الصور ("&amp;$J1340&amp;")"))</f>
        <v/>
      </c>
      <c r="Q1340" s="24">
        <f>IF($B1340="","",MONTH($B1340))</f>
        <v/>
      </c>
      <c r="R1340" s="24">
        <f>IF($B1340="","",YEAR($B1340))</f>
        <v/>
      </c>
      <c r="S1340" s="25">
        <f>IF($B1340="","",$B1340-WEEKDAY($B1340,3))</f>
        <v/>
      </c>
      <c r="T1340" s="24">
        <f>IF($B1340="",0,IF(COUNTIFS($B$5:$B1340,$B1340,$D$5:$D1340,$D1340)=1,1,0))</f>
        <v/>
      </c>
      <c r="U1340" s="24">
        <f>IF($B1340="",0,IF(COUNTIFS($B$5:$B1340,$B1340,$C$5:$C1340,$C1340)=1,1,0))</f>
        <v/>
      </c>
      <c r="V1340" s="24">
        <f>IF(OR($B1340="",$G1340="",$G1340="لا توجد مشاهدات"),0,1)</f>
        <v/>
      </c>
      <c r="W1340" s="24">
        <f>IF(AND($B1340&lt;&gt;"",$I1340="تم تحرير مخالفة"),1,0)</f>
        <v/>
      </c>
      <c r="X1340" s="24">
        <f>IF($B1340="","",IF($S1340=WkStart,COUNTIF($S$5:$S1340,WkStart),""))</f>
        <v/>
      </c>
    </row>
    <row r="1341">
      <c r="A1341" s="16">
        <f>IF($B1341="","",ROW()-4)</f>
        <v/>
      </c>
      <c r="B1341" s="17" t="n"/>
      <c r="C1341" s="18" t="n"/>
      <c r="D1341" s="18" t="n"/>
      <c r="E1341" s="19" t="n"/>
      <c r="F1341" s="19" t="n"/>
      <c r="G1341" s="18" t="n"/>
      <c r="H1341" s="18" t="n"/>
      <c r="I1341" s="18" t="n"/>
      <c r="J1341" s="20" t="n"/>
      <c r="K1341" s="21" t="n"/>
      <c r="L1341" s="21" t="n"/>
      <c r="M1341" s="18" t="n"/>
      <c r="N1341" s="22">
        <f>IF($B1341="","",CHOOSE(WEEKDAY($B1341),"الأحد","الاثنين","الثلاثاء","الأربعاء","الخميس","الجمعة","السبت"))</f>
        <v/>
      </c>
      <c r="O1341" s="23">
        <f>IF(OR($K1341="",$L1341=""),"",HYPERLINK("https://maps.google.com/?q="&amp;$K1341&amp;","&amp;$L1341,"عرض الموقع"))</f>
        <v/>
      </c>
      <c r="P1341" s="23">
        <f>IF(OR($B1341="",N($J1341)=0),"",HYPERLINK(PhotoDir&amp;"/"&amp;YEAR($B1341)&amp;"-"&amp;TEXT(MONTH($B1341),"00")&amp;"-"&amp;TEXT(DAY($B1341),"00")&amp;"_"&amp;$D1341,"فتح الصور ("&amp;$J1341&amp;")"))</f>
        <v/>
      </c>
      <c r="Q1341" s="24">
        <f>IF($B1341="","",MONTH($B1341))</f>
        <v/>
      </c>
      <c r="R1341" s="24">
        <f>IF($B1341="","",YEAR($B1341))</f>
        <v/>
      </c>
      <c r="S1341" s="25">
        <f>IF($B1341="","",$B1341-WEEKDAY($B1341,3))</f>
        <v/>
      </c>
      <c r="T1341" s="24">
        <f>IF($B1341="",0,IF(COUNTIFS($B$5:$B1341,$B1341,$D$5:$D1341,$D1341)=1,1,0))</f>
        <v/>
      </c>
      <c r="U1341" s="24">
        <f>IF($B1341="",0,IF(COUNTIFS($B$5:$B1341,$B1341,$C$5:$C1341,$C1341)=1,1,0))</f>
        <v/>
      </c>
      <c r="V1341" s="24">
        <f>IF(OR($B1341="",$G1341="",$G1341="لا توجد مشاهدات"),0,1)</f>
        <v/>
      </c>
      <c r="W1341" s="24">
        <f>IF(AND($B1341&lt;&gt;"",$I1341="تم تحرير مخالفة"),1,0)</f>
        <v/>
      </c>
      <c r="X1341" s="24">
        <f>IF($B1341="","",IF($S1341=WkStart,COUNTIF($S$5:$S1341,WkStart),""))</f>
        <v/>
      </c>
    </row>
    <row r="1342">
      <c r="A1342" s="16">
        <f>IF($B1342="","",ROW()-4)</f>
        <v/>
      </c>
      <c r="B1342" s="17" t="n"/>
      <c r="C1342" s="18" t="n"/>
      <c r="D1342" s="18" t="n"/>
      <c r="E1342" s="19" t="n"/>
      <c r="F1342" s="19" t="n"/>
      <c r="G1342" s="18" t="n"/>
      <c r="H1342" s="18" t="n"/>
      <c r="I1342" s="18" t="n"/>
      <c r="J1342" s="20" t="n"/>
      <c r="K1342" s="21" t="n"/>
      <c r="L1342" s="21" t="n"/>
      <c r="M1342" s="18" t="n"/>
      <c r="N1342" s="22">
        <f>IF($B1342="","",CHOOSE(WEEKDAY($B1342),"الأحد","الاثنين","الثلاثاء","الأربعاء","الخميس","الجمعة","السبت"))</f>
        <v/>
      </c>
      <c r="O1342" s="23">
        <f>IF(OR($K1342="",$L1342=""),"",HYPERLINK("https://maps.google.com/?q="&amp;$K1342&amp;","&amp;$L1342,"عرض الموقع"))</f>
        <v/>
      </c>
      <c r="P1342" s="23">
        <f>IF(OR($B1342="",N($J1342)=0),"",HYPERLINK(PhotoDir&amp;"/"&amp;YEAR($B1342)&amp;"-"&amp;TEXT(MONTH($B1342),"00")&amp;"-"&amp;TEXT(DAY($B1342),"00")&amp;"_"&amp;$D1342,"فتح الصور ("&amp;$J1342&amp;")"))</f>
        <v/>
      </c>
      <c r="Q1342" s="24">
        <f>IF($B1342="","",MONTH($B1342))</f>
        <v/>
      </c>
      <c r="R1342" s="24">
        <f>IF($B1342="","",YEAR($B1342))</f>
        <v/>
      </c>
      <c r="S1342" s="25">
        <f>IF($B1342="","",$B1342-WEEKDAY($B1342,3))</f>
        <v/>
      </c>
      <c r="T1342" s="24">
        <f>IF($B1342="",0,IF(COUNTIFS($B$5:$B1342,$B1342,$D$5:$D1342,$D1342)=1,1,0))</f>
        <v/>
      </c>
      <c r="U1342" s="24">
        <f>IF($B1342="",0,IF(COUNTIFS($B$5:$B1342,$B1342,$C$5:$C1342,$C1342)=1,1,0))</f>
        <v/>
      </c>
      <c r="V1342" s="24">
        <f>IF(OR($B1342="",$G1342="",$G1342="لا توجد مشاهدات"),0,1)</f>
        <v/>
      </c>
      <c r="W1342" s="24">
        <f>IF(AND($B1342&lt;&gt;"",$I1342="تم تحرير مخالفة"),1,0)</f>
        <v/>
      </c>
      <c r="X1342" s="24">
        <f>IF($B1342="","",IF($S1342=WkStart,COUNTIF($S$5:$S1342,WkStart),""))</f>
        <v/>
      </c>
    </row>
    <row r="1343">
      <c r="A1343" s="16">
        <f>IF($B1343="","",ROW()-4)</f>
        <v/>
      </c>
      <c r="B1343" s="17" t="n"/>
      <c r="C1343" s="18" t="n"/>
      <c r="D1343" s="18" t="n"/>
      <c r="E1343" s="19" t="n"/>
      <c r="F1343" s="19" t="n"/>
      <c r="G1343" s="18" t="n"/>
      <c r="H1343" s="18" t="n"/>
      <c r="I1343" s="18" t="n"/>
      <c r="J1343" s="20" t="n"/>
      <c r="K1343" s="21" t="n"/>
      <c r="L1343" s="21" t="n"/>
      <c r="M1343" s="18" t="n"/>
      <c r="N1343" s="22">
        <f>IF($B1343="","",CHOOSE(WEEKDAY($B1343),"الأحد","الاثنين","الثلاثاء","الأربعاء","الخميس","الجمعة","السبت"))</f>
        <v/>
      </c>
      <c r="O1343" s="23">
        <f>IF(OR($K1343="",$L1343=""),"",HYPERLINK("https://maps.google.com/?q="&amp;$K1343&amp;","&amp;$L1343,"عرض الموقع"))</f>
        <v/>
      </c>
      <c r="P1343" s="23">
        <f>IF(OR($B1343="",N($J1343)=0),"",HYPERLINK(PhotoDir&amp;"/"&amp;YEAR($B1343)&amp;"-"&amp;TEXT(MONTH($B1343),"00")&amp;"-"&amp;TEXT(DAY($B1343),"00")&amp;"_"&amp;$D1343,"فتح الصور ("&amp;$J1343&amp;")"))</f>
        <v/>
      </c>
      <c r="Q1343" s="24">
        <f>IF($B1343="","",MONTH($B1343))</f>
        <v/>
      </c>
      <c r="R1343" s="24">
        <f>IF($B1343="","",YEAR($B1343))</f>
        <v/>
      </c>
      <c r="S1343" s="25">
        <f>IF($B1343="","",$B1343-WEEKDAY($B1343,3))</f>
        <v/>
      </c>
      <c r="T1343" s="24">
        <f>IF($B1343="",0,IF(COUNTIFS($B$5:$B1343,$B1343,$D$5:$D1343,$D1343)=1,1,0))</f>
        <v/>
      </c>
      <c r="U1343" s="24">
        <f>IF($B1343="",0,IF(COUNTIFS($B$5:$B1343,$B1343,$C$5:$C1343,$C1343)=1,1,0))</f>
        <v/>
      </c>
      <c r="V1343" s="24">
        <f>IF(OR($B1343="",$G1343="",$G1343="لا توجد مشاهدات"),0,1)</f>
        <v/>
      </c>
      <c r="W1343" s="24">
        <f>IF(AND($B1343&lt;&gt;"",$I1343="تم تحرير مخالفة"),1,0)</f>
        <v/>
      </c>
      <c r="X1343" s="24">
        <f>IF($B1343="","",IF($S1343=WkStart,COUNTIF($S$5:$S1343,WkStart),""))</f>
        <v/>
      </c>
    </row>
    <row r="1344">
      <c r="A1344" s="16">
        <f>IF($B1344="","",ROW()-4)</f>
        <v/>
      </c>
      <c r="B1344" s="17" t="n"/>
      <c r="C1344" s="18" t="n"/>
      <c r="D1344" s="18" t="n"/>
      <c r="E1344" s="19" t="n"/>
      <c r="F1344" s="19" t="n"/>
      <c r="G1344" s="18" t="n"/>
      <c r="H1344" s="18" t="n"/>
      <c r="I1344" s="18" t="n"/>
      <c r="J1344" s="20" t="n"/>
      <c r="K1344" s="21" t="n"/>
      <c r="L1344" s="21" t="n"/>
      <c r="M1344" s="18" t="n"/>
      <c r="N1344" s="22">
        <f>IF($B1344="","",CHOOSE(WEEKDAY($B1344),"الأحد","الاثنين","الثلاثاء","الأربعاء","الخميس","الجمعة","السبت"))</f>
        <v/>
      </c>
      <c r="O1344" s="23">
        <f>IF(OR($K1344="",$L1344=""),"",HYPERLINK("https://maps.google.com/?q="&amp;$K1344&amp;","&amp;$L1344,"عرض الموقع"))</f>
        <v/>
      </c>
      <c r="P1344" s="23">
        <f>IF(OR($B1344="",N($J1344)=0),"",HYPERLINK(PhotoDir&amp;"/"&amp;YEAR($B1344)&amp;"-"&amp;TEXT(MONTH($B1344),"00")&amp;"-"&amp;TEXT(DAY($B1344),"00")&amp;"_"&amp;$D1344,"فتح الصور ("&amp;$J1344&amp;")"))</f>
        <v/>
      </c>
      <c r="Q1344" s="24">
        <f>IF($B1344="","",MONTH($B1344))</f>
        <v/>
      </c>
      <c r="R1344" s="24">
        <f>IF($B1344="","",YEAR($B1344))</f>
        <v/>
      </c>
      <c r="S1344" s="25">
        <f>IF($B1344="","",$B1344-WEEKDAY($B1344,3))</f>
        <v/>
      </c>
      <c r="T1344" s="24">
        <f>IF($B1344="",0,IF(COUNTIFS($B$5:$B1344,$B1344,$D$5:$D1344,$D1344)=1,1,0))</f>
        <v/>
      </c>
      <c r="U1344" s="24">
        <f>IF($B1344="",0,IF(COUNTIFS($B$5:$B1344,$B1344,$C$5:$C1344,$C1344)=1,1,0))</f>
        <v/>
      </c>
      <c r="V1344" s="24">
        <f>IF(OR($B1344="",$G1344="",$G1344="لا توجد مشاهدات"),0,1)</f>
        <v/>
      </c>
      <c r="W1344" s="24">
        <f>IF(AND($B1344&lt;&gt;"",$I1344="تم تحرير مخالفة"),1,0)</f>
        <v/>
      </c>
      <c r="X1344" s="24">
        <f>IF($B1344="","",IF($S1344=WkStart,COUNTIF($S$5:$S1344,WkStart),""))</f>
        <v/>
      </c>
    </row>
    <row r="1345">
      <c r="A1345" s="16">
        <f>IF($B1345="","",ROW()-4)</f>
        <v/>
      </c>
      <c r="B1345" s="17" t="n"/>
      <c r="C1345" s="18" t="n"/>
      <c r="D1345" s="18" t="n"/>
      <c r="E1345" s="19" t="n"/>
      <c r="F1345" s="19" t="n"/>
      <c r="G1345" s="18" t="n"/>
      <c r="H1345" s="18" t="n"/>
      <c r="I1345" s="18" t="n"/>
      <c r="J1345" s="20" t="n"/>
      <c r="K1345" s="21" t="n"/>
      <c r="L1345" s="21" t="n"/>
      <c r="M1345" s="18" t="n"/>
      <c r="N1345" s="22">
        <f>IF($B1345="","",CHOOSE(WEEKDAY($B1345),"الأحد","الاثنين","الثلاثاء","الأربعاء","الخميس","الجمعة","السبت"))</f>
        <v/>
      </c>
      <c r="O1345" s="23">
        <f>IF(OR($K1345="",$L1345=""),"",HYPERLINK("https://maps.google.com/?q="&amp;$K1345&amp;","&amp;$L1345,"عرض الموقع"))</f>
        <v/>
      </c>
      <c r="P1345" s="23">
        <f>IF(OR($B1345="",N($J1345)=0),"",HYPERLINK(PhotoDir&amp;"/"&amp;YEAR($B1345)&amp;"-"&amp;TEXT(MONTH($B1345),"00")&amp;"-"&amp;TEXT(DAY($B1345),"00")&amp;"_"&amp;$D1345,"فتح الصور ("&amp;$J1345&amp;")"))</f>
        <v/>
      </c>
      <c r="Q1345" s="24">
        <f>IF($B1345="","",MONTH($B1345))</f>
        <v/>
      </c>
      <c r="R1345" s="24">
        <f>IF($B1345="","",YEAR($B1345))</f>
        <v/>
      </c>
      <c r="S1345" s="25">
        <f>IF($B1345="","",$B1345-WEEKDAY($B1345,3))</f>
        <v/>
      </c>
      <c r="T1345" s="24">
        <f>IF($B1345="",0,IF(COUNTIFS($B$5:$B1345,$B1345,$D$5:$D1345,$D1345)=1,1,0))</f>
        <v/>
      </c>
      <c r="U1345" s="24">
        <f>IF($B1345="",0,IF(COUNTIFS($B$5:$B1345,$B1345,$C$5:$C1345,$C1345)=1,1,0))</f>
        <v/>
      </c>
      <c r="V1345" s="24">
        <f>IF(OR($B1345="",$G1345="",$G1345="لا توجد مشاهدات"),0,1)</f>
        <v/>
      </c>
      <c r="W1345" s="24">
        <f>IF(AND($B1345&lt;&gt;"",$I1345="تم تحرير مخالفة"),1,0)</f>
        <v/>
      </c>
      <c r="X1345" s="24">
        <f>IF($B1345="","",IF($S1345=WkStart,COUNTIF($S$5:$S1345,WkStart),""))</f>
        <v/>
      </c>
    </row>
    <row r="1346">
      <c r="A1346" s="16">
        <f>IF($B1346="","",ROW()-4)</f>
        <v/>
      </c>
      <c r="B1346" s="17" t="n"/>
      <c r="C1346" s="18" t="n"/>
      <c r="D1346" s="18" t="n"/>
      <c r="E1346" s="19" t="n"/>
      <c r="F1346" s="19" t="n"/>
      <c r="G1346" s="18" t="n"/>
      <c r="H1346" s="18" t="n"/>
      <c r="I1346" s="18" t="n"/>
      <c r="J1346" s="20" t="n"/>
      <c r="K1346" s="21" t="n"/>
      <c r="L1346" s="21" t="n"/>
      <c r="M1346" s="18" t="n"/>
      <c r="N1346" s="22">
        <f>IF($B1346="","",CHOOSE(WEEKDAY($B1346),"الأحد","الاثنين","الثلاثاء","الأربعاء","الخميس","الجمعة","السبت"))</f>
        <v/>
      </c>
      <c r="O1346" s="23">
        <f>IF(OR($K1346="",$L1346=""),"",HYPERLINK("https://maps.google.com/?q="&amp;$K1346&amp;","&amp;$L1346,"عرض الموقع"))</f>
        <v/>
      </c>
      <c r="P1346" s="23">
        <f>IF(OR($B1346="",N($J1346)=0),"",HYPERLINK(PhotoDir&amp;"/"&amp;YEAR($B1346)&amp;"-"&amp;TEXT(MONTH($B1346),"00")&amp;"-"&amp;TEXT(DAY($B1346),"00")&amp;"_"&amp;$D1346,"فتح الصور ("&amp;$J1346&amp;")"))</f>
        <v/>
      </c>
      <c r="Q1346" s="24">
        <f>IF($B1346="","",MONTH($B1346))</f>
        <v/>
      </c>
      <c r="R1346" s="24">
        <f>IF($B1346="","",YEAR($B1346))</f>
        <v/>
      </c>
      <c r="S1346" s="25">
        <f>IF($B1346="","",$B1346-WEEKDAY($B1346,3))</f>
        <v/>
      </c>
      <c r="T1346" s="24">
        <f>IF($B1346="",0,IF(COUNTIFS($B$5:$B1346,$B1346,$D$5:$D1346,$D1346)=1,1,0))</f>
        <v/>
      </c>
      <c r="U1346" s="24">
        <f>IF($B1346="",0,IF(COUNTIFS($B$5:$B1346,$B1346,$C$5:$C1346,$C1346)=1,1,0))</f>
        <v/>
      </c>
      <c r="V1346" s="24">
        <f>IF(OR($B1346="",$G1346="",$G1346="لا توجد مشاهدات"),0,1)</f>
        <v/>
      </c>
      <c r="W1346" s="24">
        <f>IF(AND($B1346&lt;&gt;"",$I1346="تم تحرير مخالفة"),1,0)</f>
        <v/>
      </c>
      <c r="X1346" s="24">
        <f>IF($B1346="","",IF($S1346=WkStart,COUNTIF($S$5:$S1346,WkStart),""))</f>
        <v/>
      </c>
    </row>
    <row r="1347">
      <c r="A1347" s="16">
        <f>IF($B1347="","",ROW()-4)</f>
        <v/>
      </c>
      <c r="B1347" s="17" t="n"/>
      <c r="C1347" s="18" t="n"/>
      <c r="D1347" s="18" t="n"/>
      <c r="E1347" s="19" t="n"/>
      <c r="F1347" s="19" t="n"/>
      <c r="G1347" s="18" t="n"/>
      <c r="H1347" s="18" t="n"/>
      <c r="I1347" s="18" t="n"/>
      <c r="J1347" s="20" t="n"/>
      <c r="K1347" s="21" t="n"/>
      <c r="L1347" s="21" t="n"/>
      <c r="M1347" s="18" t="n"/>
      <c r="N1347" s="22">
        <f>IF($B1347="","",CHOOSE(WEEKDAY($B1347),"الأحد","الاثنين","الثلاثاء","الأربعاء","الخميس","الجمعة","السبت"))</f>
        <v/>
      </c>
      <c r="O1347" s="23">
        <f>IF(OR($K1347="",$L1347=""),"",HYPERLINK("https://maps.google.com/?q="&amp;$K1347&amp;","&amp;$L1347,"عرض الموقع"))</f>
        <v/>
      </c>
      <c r="P1347" s="23">
        <f>IF(OR($B1347="",N($J1347)=0),"",HYPERLINK(PhotoDir&amp;"/"&amp;YEAR($B1347)&amp;"-"&amp;TEXT(MONTH($B1347),"00")&amp;"-"&amp;TEXT(DAY($B1347),"00")&amp;"_"&amp;$D1347,"فتح الصور ("&amp;$J1347&amp;")"))</f>
        <v/>
      </c>
      <c r="Q1347" s="24">
        <f>IF($B1347="","",MONTH($B1347))</f>
        <v/>
      </c>
      <c r="R1347" s="24">
        <f>IF($B1347="","",YEAR($B1347))</f>
        <v/>
      </c>
      <c r="S1347" s="25">
        <f>IF($B1347="","",$B1347-WEEKDAY($B1347,3))</f>
        <v/>
      </c>
      <c r="T1347" s="24">
        <f>IF($B1347="",0,IF(COUNTIFS($B$5:$B1347,$B1347,$D$5:$D1347,$D1347)=1,1,0))</f>
        <v/>
      </c>
      <c r="U1347" s="24">
        <f>IF($B1347="",0,IF(COUNTIFS($B$5:$B1347,$B1347,$C$5:$C1347,$C1347)=1,1,0))</f>
        <v/>
      </c>
      <c r="V1347" s="24">
        <f>IF(OR($B1347="",$G1347="",$G1347="لا توجد مشاهدات"),0,1)</f>
        <v/>
      </c>
      <c r="W1347" s="24">
        <f>IF(AND($B1347&lt;&gt;"",$I1347="تم تحرير مخالفة"),1,0)</f>
        <v/>
      </c>
      <c r="X1347" s="24">
        <f>IF($B1347="","",IF($S1347=WkStart,COUNTIF($S$5:$S1347,WkStart),""))</f>
        <v/>
      </c>
    </row>
    <row r="1348">
      <c r="A1348" s="16">
        <f>IF($B1348="","",ROW()-4)</f>
        <v/>
      </c>
      <c r="B1348" s="17" t="n"/>
      <c r="C1348" s="18" t="n"/>
      <c r="D1348" s="18" t="n"/>
      <c r="E1348" s="19" t="n"/>
      <c r="F1348" s="19" t="n"/>
      <c r="G1348" s="18" t="n"/>
      <c r="H1348" s="18" t="n"/>
      <c r="I1348" s="18" t="n"/>
      <c r="J1348" s="20" t="n"/>
      <c r="K1348" s="21" t="n"/>
      <c r="L1348" s="21" t="n"/>
      <c r="M1348" s="18" t="n"/>
      <c r="N1348" s="22">
        <f>IF($B1348="","",CHOOSE(WEEKDAY($B1348),"الأحد","الاثنين","الثلاثاء","الأربعاء","الخميس","الجمعة","السبت"))</f>
        <v/>
      </c>
      <c r="O1348" s="23">
        <f>IF(OR($K1348="",$L1348=""),"",HYPERLINK("https://maps.google.com/?q="&amp;$K1348&amp;","&amp;$L1348,"عرض الموقع"))</f>
        <v/>
      </c>
      <c r="P1348" s="23">
        <f>IF(OR($B1348="",N($J1348)=0),"",HYPERLINK(PhotoDir&amp;"/"&amp;YEAR($B1348)&amp;"-"&amp;TEXT(MONTH($B1348),"00")&amp;"-"&amp;TEXT(DAY($B1348),"00")&amp;"_"&amp;$D1348,"فتح الصور ("&amp;$J1348&amp;")"))</f>
        <v/>
      </c>
      <c r="Q1348" s="24">
        <f>IF($B1348="","",MONTH($B1348))</f>
        <v/>
      </c>
      <c r="R1348" s="24">
        <f>IF($B1348="","",YEAR($B1348))</f>
        <v/>
      </c>
      <c r="S1348" s="25">
        <f>IF($B1348="","",$B1348-WEEKDAY($B1348,3))</f>
        <v/>
      </c>
      <c r="T1348" s="24">
        <f>IF($B1348="",0,IF(COUNTIFS($B$5:$B1348,$B1348,$D$5:$D1348,$D1348)=1,1,0))</f>
        <v/>
      </c>
      <c r="U1348" s="24">
        <f>IF($B1348="",0,IF(COUNTIFS($B$5:$B1348,$B1348,$C$5:$C1348,$C1348)=1,1,0))</f>
        <v/>
      </c>
      <c r="V1348" s="24">
        <f>IF(OR($B1348="",$G1348="",$G1348="لا توجد مشاهدات"),0,1)</f>
        <v/>
      </c>
      <c r="W1348" s="24">
        <f>IF(AND($B1348&lt;&gt;"",$I1348="تم تحرير مخالفة"),1,0)</f>
        <v/>
      </c>
      <c r="X1348" s="24">
        <f>IF($B1348="","",IF($S1348=WkStart,COUNTIF($S$5:$S1348,WkStart),""))</f>
        <v/>
      </c>
    </row>
    <row r="1349">
      <c r="A1349" s="16">
        <f>IF($B1349="","",ROW()-4)</f>
        <v/>
      </c>
      <c r="B1349" s="17" t="n"/>
      <c r="C1349" s="18" t="n"/>
      <c r="D1349" s="18" t="n"/>
      <c r="E1349" s="19" t="n"/>
      <c r="F1349" s="19" t="n"/>
      <c r="G1349" s="18" t="n"/>
      <c r="H1349" s="18" t="n"/>
      <c r="I1349" s="18" t="n"/>
      <c r="J1349" s="20" t="n"/>
      <c r="K1349" s="21" t="n"/>
      <c r="L1349" s="21" t="n"/>
      <c r="M1349" s="18" t="n"/>
      <c r="N1349" s="22">
        <f>IF($B1349="","",CHOOSE(WEEKDAY($B1349),"الأحد","الاثنين","الثلاثاء","الأربعاء","الخميس","الجمعة","السبت"))</f>
        <v/>
      </c>
      <c r="O1349" s="23">
        <f>IF(OR($K1349="",$L1349=""),"",HYPERLINK("https://maps.google.com/?q="&amp;$K1349&amp;","&amp;$L1349,"عرض الموقع"))</f>
        <v/>
      </c>
      <c r="P1349" s="23">
        <f>IF(OR($B1349="",N($J1349)=0),"",HYPERLINK(PhotoDir&amp;"/"&amp;YEAR($B1349)&amp;"-"&amp;TEXT(MONTH($B1349),"00")&amp;"-"&amp;TEXT(DAY($B1349),"00")&amp;"_"&amp;$D1349,"فتح الصور ("&amp;$J1349&amp;")"))</f>
        <v/>
      </c>
      <c r="Q1349" s="24">
        <f>IF($B1349="","",MONTH($B1349))</f>
        <v/>
      </c>
      <c r="R1349" s="24">
        <f>IF($B1349="","",YEAR($B1349))</f>
        <v/>
      </c>
      <c r="S1349" s="25">
        <f>IF($B1349="","",$B1349-WEEKDAY($B1349,3))</f>
        <v/>
      </c>
      <c r="T1349" s="24">
        <f>IF($B1349="",0,IF(COUNTIFS($B$5:$B1349,$B1349,$D$5:$D1349,$D1349)=1,1,0))</f>
        <v/>
      </c>
      <c r="U1349" s="24">
        <f>IF($B1349="",0,IF(COUNTIFS($B$5:$B1349,$B1349,$C$5:$C1349,$C1349)=1,1,0))</f>
        <v/>
      </c>
      <c r="V1349" s="24">
        <f>IF(OR($B1349="",$G1349="",$G1349="لا توجد مشاهدات"),0,1)</f>
        <v/>
      </c>
      <c r="W1349" s="24">
        <f>IF(AND($B1349&lt;&gt;"",$I1349="تم تحرير مخالفة"),1,0)</f>
        <v/>
      </c>
      <c r="X1349" s="24">
        <f>IF($B1349="","",IF($S1349=WkStart,COUNTIF($S$5:$S1349,WkStart),""))</f>
        <v/>
      </c>
    </row>
    <row r="1350">
      <c r="A1350" s="16">
        <f>IF($B1350="","",ROW()-4)</f>
        <v/>
      </c>
      <c r="B1350" s="17" t="n"/>
      <c r="C1350" s="18" t="n"/>
      <c r="D1350" s="18" t="n"/>
      <c r="E1350" s="19" t="n"/>
      <c r="F1350" s="19" t="n"/>
      <c r="G1350" s="18" t="n"/>
      <c r="H1350" s="18" t="n"/>
      <c r="I1350" s="18" t="n"/>
      <c r="J1350" s="20" t="n"/>
      <c r="K1350" s="21" t="n"/>
      <c r="L1350" s="21" t="n"/>
      <c r="M1350" s="18" t="n"/>
      <c r="N1350" s="22">
        <f>IF($B1350="","",CHOOSE(WEEKDAY($B1350),"الأحد","الاثنين","الثلاثاء","الأربعاء","الخميس","الجمعة","السبت"))</f>
        <v/>
      </c>
      <c r="O1350" s="23">
        <f>IF(OR($K1350="",$L1350=""),"",HYPERLINK("https://maps.google.com/?q="&amp;$K1350&amp;","&amp;$L1350,"عرض الموقع"))</f>
        <v/>
      </c>
      <c r="P1350" s="23">
        <f>IF(OR($B1350="",N($J1350)=0),"",HYPERLINK(PhotoDir&amp;"/"&amp;YEAR($B1350)&amp;"-"&amp;TEXT(MONTH($B1350),"00")&amp;"-"&amp;TEXT(DAY($B1350),"00")&amp;"_"&amp;$D1350,"فتح الصور ("&amp;$J1350&amp;")"))</f>
        <v/>
      </c>
      <c r="Q1350" s="24">
        <f>IF($B1350="","",MONTH($B1350))</f>
        <v/>
      </c>
      <c r="R1350" s="24">
        <f>IF($B1350="","",YEAR($B1350))</f>
        <v/>
      </c>
      <c r="S1350" s="25">
        <f>IF($B1350="","",$B1350-WEEKDAY($B1350,3))</f>
        <v/>
      </c>
      <c r="T1350" s="24">
        <f>IF($B1350="",0,IF(COUNTIFS($B$5:$B1350,$B1350,$D$5:$D1350,$D1350)=1,1,0))</f>
        <v/>
      </c>
      <c r="U1350" s="24">
        <f>IF($B1350="",0,IF(COUNTIFS($B$5:$B1350,$B1350,$C$5:$C1350,$C1350)=1,1,0))</f>
        <v/>
      </c>
      <c r="V1350" s="24">
        <f>IF(OR($B1350="",$G1350="",$G1350="لا توجد مشاهدات"),0,1)</f>
        <v/>
      </c>
      <c r="W1350" s="24">
        <f>IF(AND($B1350&lt;&gt;"",$I1350="تم تحرير مخالفة"),1,0)</f>
        <v/>
      </c>
      <c r="X1350" s="24">
        <f>IF($B1350="","",IF($S1350=WkStart,COUNTIF($S$5:$S1350,WkStart),""))</f>
        <v/>
      </c>
    </row>
    <row r="1351">
      <c r="A1351" s="16">
        <f>IF($B1351="","",ROW()-4)</f>
        <v/>
      </c>
      <c r="B1351" s="17" t="n"/>
      <c r="C1351" s="18" t="n"/>
      <c r="D1351" s="18" t="n"/>
      <c r="E1351" s="19" t="n"/>
      <c r="F1351" s="19" t="n"/>
      <c r="G1351" s="18" t="n"/>
      <c r="H1351" s="18" t="n"/>
      <c r="I1351" s="18" t="n"/>
      <c r="J1351" s="20" t="n"/>
      <c r="K1351" s="21" t="n"/>
      <c r="L1351" s="21" t="n"/>
      <c r="M1351" s="18" t="n"/>
      <c r="N1351" s="22">
        <f>IF($B1351="","",CHOOSE(WEEKDAY($B1351),"الأحد","الاثنين","الثلاثاء","الأربعاء","الخميس","الجمعة","السبت"))</f>
        <v/>
      </c>
      <c r="O1351" s="23">
        <f>IF(OR($K1351="",$L1351=""),"",HYPERLINK("https://maps.google.com/?q="&amp;$K1351&amp;","&amp;$L1351,"عرض الموقع"))</f>
        <v/>
      </c>
      <c r="P1351" s="23">
        <f>IF(OR($B1351="",N($J1351)=0),"",HYPERLINK(PhotoDir&amp;"/"&amp;YEAR($B1351)&amp;"-"&amp;TEXT(MONTH($B1351),"00")&amp;"-"&amp;TEXT(DAY($B1351),"00")&amp;"_"&amp;$D1351,"فتح الصور ("&amp;$J1351&amp;")"))</f>
        <v/>
      </c>
      <c r="Q1351" s="24">
        <f>IF($B1351="","",MONTH($B1351))</f>
        <v/>
      </c>
      <c r="R1351" s="24">
        <f>IF($B1351="","",YEAR($B1351))</f>
        <v/>
      </c>
      <c r="S1351" s="25">
        <f>IF($B1351="","",$B1351-WEEKDAY($B1351,3))</f>
        <v/>
      </c>
      <c r="T1351" s="24">
        <f>IF($B1351="",0,IF(COUNTIFS($B$5:$B1351,$B1351,$D$5:$D1351,$D1351)=1,1,0))</f>
        <v/>
      </c>
      <c r="U1351" s="24">
        <f>IF($B1351="",0,IF(COUNTIFS($B$5:$B1351,$B1351,$C$5:$C1351,$C1351)=1,1,0))</f>
        <v/>
      </c>
      <c r="V1351" s="24">
        <f>IF(OR($B1351="",$G1351="",$G1351="لا توجد مشاهدات"),0,1)</f>
        <v/>
      </c>
      <c r="W1351" s="24">
        <f>IF(AND($B1351&lt;&gt;"",$I1351="تم تحرير مخالفة"),1,0)</f>
        <v/>
      </c>
      <c r="X1351" s="24">
        <f>IF($B1351="","",IF($S1351=WkStart,COUNTIF($S$5:$S1351,WkStart),""))</f>
        <v/>
      </c>
    </row>
    <row r="1352">
      <c r="A1352" s="16">
        <f>IF($B1352="","",ROW()-4)</f>
        <v/>
      </c>
      <c r="B1352" s="17" t="n"/>
      <c r="C1352" s="18" t="n"/>
      <c r="D1352" s="18" t="n"/>
      <c r="E1352" s="19" t="n"/>
      <c r="F1352" s="19" t="n"/>
      <c r="G1352" s="18" t="n"/>
      <c r="H1352" s="18" t="n"/>
      <c r="I1352" s="18" t="n"/>
      <c r="J1352" s="20" t="n"/>
      <c r="K1352" s="21" t="n"/>
      <c r="L1352" s="21" t="n"/>
      <c r="M1352" s="18" t="n"/>
      <c r="N1352" s="22">
        <f>IF($B1352="","",CHOOSE(WEEKDAY($B1352),"الأحد","الاثنين","الثلاثاء","الأربعاء","الخميس","الجمعة","السبت"))</f>
        <v/>
      </c>
      <c r="O1352" s="23">
        <f>IF(OR($K1352="",$L1352=""),"",HYPERLINK("https://maps.google.com/?q="&amp;$K1352&amp;","&amp;$L1352,"عرض الموقع"))</f>
        <v/>
      </c>
      <c r="P1352" s="23">
        <f>IF(OR($B1352="",N($J1352)=0),"",HYPERLINK(PhotoDir&amp;"/"&amp;YEAR($B1352)&amp;"-"&amp;TEXT(MONTH($B1352),"00")&amp;"-"&amp;TEXT(DAY($B1352),"00")&amp;"_"&amp;$D1352,"فتح الصور ("&amp;$J1352&amp;")"))</f>
        <v/>
      </c>
      <c r="Q1352" s="24">
        <f>IF($B1352="","",MONTH($B1352))</f>
        <v/>
      </c>
      <c r="R1352" s="24">
        <f>IF($B1352="","",YEAR($B1352))</f>
        <v/>
      </c>
      <c r="S1352" s="25">
        <f>IF($B1352="","",$B1352-WEEKDAY($B1352,3))</f>
        <v/>
      </c>
      <c r="T1352" s="24">
        <f>IF($B1352="",0,IF(COUNTIFS($B$5:$B1352,$B1352,$D$5:$D1352,$D1352)=1,1,0))</f>
        <v/>
      </c>
      <c r="U1352" s="24">
        <f>IF($B1352="",0,IF(COUNTIFS($B$5:$B1352,$B1352,$C$5:$C1352,$C1352)=1,1,0))</f>
        <v/>
      </c>
      <c r="V1352" s="24">
        <f>IF(OR($B1352="",$G1352="",$G1352="لا توجد مشاهدات"),0,1)</f>
        <v/>
      </c>
      <c r="W1352" s="24">
        <f>IF(AND($B1352&lt;&gt;"",$I1352="تم تحرير مخالفة"),1,0)</f>
        <v/>
      </c>
      <c r="X1352" s="24">
        <f>IF($B1352="","",IF($S1352=WkStart,COUNTIF($S$5:$S1352,WkStart),""))</f>
        <v/>
      </c>
    </row>
    <row r="1353">
      <c r="A1353" s="16">
        <f>IF($B1353="","",ROW()-4)</f>
        <v/>
      </c>
      <c r="B1353" s="17" t="n"/>
      <c r="C1353" s="18" t="n"/>
      <c r="D1353" s="18" t="n"/>
      <c r="E1353" s="19" t="n"/>
      <c r="F1353" s="19" t="n"/>
      <c r="G1353" s="18" t="n"/>
      <c r="H1353" s="18" t="n"/>
      <c r="I1353" s="18" t="n"/>
      <c r="J1353" s="20" t="n"/>
      <c r="K1353" s="21" t="n"/>
      <c r="L1353" s="21" t="n"/>
      <c r="M1353" s="18" t="n"/>
      <c r="N1353" s="22">
        <f>IF($B1353="","",CHOOSE(WEEKDAY($B1353),"الأحد","الاثنين","الثلاثاء","الأربعاء","الخميس","الجمعة","السبت"))</f>
        <v/>
      </c>
      <c r="O1353" s="23">
        <f>IF(OR($K1353="",$L1353=""),"",HYPERLINK("https://maps.google.com/?q="&amp;$K1353&amp;","&amp;$L1353,"عرض الموقع"))</f>
        <v/>
      </c>
      <c r="P1353" s="23">
        <f>IF(OR($B1353="",N($J1353)=0),"",HYPERLINK(PhotoDir&amp;"/"&amp;YEAR($B1353)&amp;"-"&amp;TEXT(MONTH($B1353),"00")&amp;"-"&amp;TEXT(DAY($B1353),"00")&amp;"_"&amp;$D1353,"فتح الصور ("&amp;$J1353&amp;")"))</f>
        <v/>
      </c>
      <c r="Q1353" s="24">
        <f>IF($B1353="","",MONTH($B1353))</f>
        <v/>
      </c>
      <c r="R1353" s="24">
        <f>IF($B1353="","",YEAR($B1353))</f>
        <v/>
      </c>
      <c r="S1353" s="25">
        <f>IF($B1353="","",$B1353-WEEKDAY($B1353,3))</f>
        <v/>
      </c>
      <c r="T1353" s="24">
        <f>IF($B1353="",0,IF(COUNTIFS($B$5:$B1353,$B1353,$D$5:$D1353,$D1353)=1,1,0))</f>
        <v/>
      </c>
      <c r="U1353" s="24">
        <f>IF($B1353="",0,IF(COUNTIFS($B$5:$B1353,$B1353,$C$5:$C1353,$C1353)=1,1,0))</f>
        <v/>
      </c>
      <c r="V1353" s="24">
        <f>IF(OR($B1353="",$G1353="",$G1353="لا توجد مشاهدات"),0,1)</f>
        <v/>
      </c>
      <c r="W1353" s="24">
        <f>IF(AND($B1353&lt;&gt;"",$I1353="تم تحرير مخالفة"),1,0)</f>
        <v/>
      </c>
      <c r="X1353" s="24">
        <f>IF($B1353="","",IF($S1353=WkStart,COUNTIF($S$5:$S1353,WkStart),""))</f>
        <v/>
      </c>
    </row>
    <row r="1354">
      <c r="A1354" s="16">
        <f>IF($B1354="","",ROW()-4)</f>
        <v/>
      </c>
      <c r="B1354" s="17" t="n"/>
      <c r="C1354" s="18" t="n"/>
      <c r="D1354" s="18" t="n"/>
      <c r="E1354" s="19" t="n"/>
      <c r="F1354" s="19" t="n"/>
      <c r="G1354" s="18" t="n"/>
      <c r="H1354" s="18" t="n"/>
      <c r="I1354" s="18" t="n"/>
      <c r="J1354" s="20" t="n"/>
      <c r="K1354" s="21" t="n"/>
      <c r="L1354" s="21" t="n"/>
      <c r="M1354" s="18" t="n"/>
      <c r="N1354" s="22">
        <f>IF($B1354="","",CHOOSE(WEEKDAY($B1354),"الأحد","الاثنين","الثلاثاء","الأربعاء","الخميس","الجمعة","السبت"))</f>
        <v/>
      </c>
      <c r="O1354" s="23">
        <f>IF(OR($K1354="",$L1354=""),"",HYPERLINK("https://maps.google.com/?q="&amp;$K1354&amp;","&amp;$L1354,"عرض الموقع"))</f>
        <v/>
      </c>
      <c r="P1354" s="23">
        <f>IF(OR($B1354="",N($J1354)=0),"",HYPERLINK(PhotoDir&amp;"/"&amp;YEAR($B1354)&amp;"-"&amp;TEXT(MONTH($B1354),"00")&amp;"-"&amp;TEXT(DAY($B1354),"00")&amp;"_"&amp;$D1354,"فتح الصور ("&amp;$J1354&amp;")"))</f>
        <v/>
      </c>
      <c r="Q1354" s="24">
        <f>IF($B1354="","",MONTH($B1354))</f>
        <v/>
      </c>
      <c r="R1354" s="24">
        <f>IF($B1354="","",YEAR($B1354))</f>
        <v/>
      </c>
      <c r="S1354" s="25">
        <f>IF($B1354="","",$B1354-WEEKDAY($B1354,3))</f>
        <v/>
      </c>
      <c r="T1354" s="24">
        <f>IF($B1354="",0,IF(COUNTIFS($B$5:$B1354,$B1354,$D$5:$D1354,$D1354)=1,1,0))</f>
        <v/>
      </c>
      <c r="U1354" s="24">
        <f>IF($B1354="",0,IF(COUNTIFS($B$5:$B1354,$B1354,$C$5:$C1354,$C1354)=1,1,0))</f>
        <v/>
      </c>
      <c r="V1354" s="24">
        <f>IF(OR($B1354="",$G1354="",$G1354="لا توجد مشاهدات"),0,1)</f>
        <v/>
      </c>
      <c r="W1354" s="24">
        <f>IF(AND($B1354&lt;&gt;"",$I1354="تم تحرير مخالفة"),1,0)</f>
        <v/>
      </c>
      <c r="X1354" s="24">
        <f>IF($B1354="","",IF($S1354=WkStart,COUNTIF($S$5:$S1354,WkStart),""))</f>
        <v/>
      </c>
    </row>
    <row r="1355">
      <c r="A1355" s="16">
        <f>IF($B1355="","",ROW()-4)</f>
        <v/>
      </c>
      <c r="B1355" s="17" t="n"/>
      <c r="C1355" s="18" t="n"/>
      <c r="D1355" s="18" t="n"/>
      <c r="E1355" s="19" t="n"/>
      <c r="F1355" s="19" t="n"/>
      <c r="G1355" s="18" t="n"/>
      <c r="H1355" s="18" t="n"/>
      <c r="I1355" s="18" t="n"/>
      <c r="J1355" s="20" t="n"/>
      <c r="K1355" s="21" t="n"/>
      <c r="L1355" s="21" t="n"/>
      <c r="M1355" s="18" t="n"/>
      <c r="N1355" s="22">
        <f>IF($B1355="","",CHOOSE(WEEKDAY($B1355),"الأحد","الاثنين","الثلاثاء","الأربعاء","الخميس","الجمعة","السبت"))</f>
        <v/>
      </c>
      <c r="O1355" s="23">
        <f>IF(OR($K1355="",$L1355=""),"",HYPERLINK("https://maps.google.com/?q="&amp;$K1355&amp;","&amp;$L1355,"عرض الموقع"))</f>
        <v/>
      </c>
      <c r="P1355" s="23">
        <f>IF(OR($B1355="",N($J1355)=0),"",HYPERLINK(PhotoDir&amp;"/"&amp;YEAR($B1355)&amp;"-"&amp;TEXT(MONTH($B1355),"00")&amp;"-"&amp;TEXT(DAY($B1355),"00")&amp;"_"&amp;$D1355,"فتح الصور ("&amp;$J1355&amp;")"))</f>
        <v/>
      </c>
      <c r="Q1355" s="24">
        <f>IF($B1355="","",MONTH($B1355))</f>
        <v/>
      </c>
      <c r="R1355" s="24">
        <f>IF($B1355="","",YEAR($B1355))</f>
        <v/>
      </c>
      <c r="S1355" s="25">
        <f>IF($B1355="","",$B1355-WEEKDAY($B1355,3))</f>
        <v/>
      </c>
      <c r="T1355" s="24">
        <f>IF($B1355="",0,IF(COUNTIFS($B$5:$B1355,$B1355,$D$5:$D1355,$D1355)=1,1,0))</f>
        <v/>
      </c>
      <c r="U1355" s="24">
        <f>IF($B1355="",0,IF(COUNTIFS($B$5:$B1355,$B1355,$C$5:$C1355,$C1355)=1,1,0))</f>
        <v/>
      </c>
      <c r="V1355" s="24">
        <f>IF(OR($B1355="",$G1355="",$G1355="لا توجد مشاهدات"),0,1)</f>
        <v/>
      </c>
      <c r="W1355" s="24">
        <f>IF(AND($B1355&lt;&gt;"",$I1355="تم تحرير مخالفة"),1,0)</f>
        <v/>
      </c>
      <c r="X1355" s="24">
        <f>IF($B1355="","",IF($S1355=WkStart,COUNTIF($S$5:$S1355,WkStart),""))</f>
        <v/>
      </c>
    </row>
    <row r="1356">
      <c r="A1356" s="16">
        <f>IF($B1356="","",ROW()-4)</f>
        <v/>
      </c>
      <c r="B1356" s="17" t="n"/>
      <c r="C1356" s="18" t="n"/>
      <c r="D1356" s="18" t="n"/>
      <c r="E1356" s="19" t="n"/>
      <c r="F1356" s="19" t="n"/>
      <c r="G1356" s="18" t="n"/>
      <c r="H1356" s="18" t="n"/>
      <c r="I1356" s="18" t="n"/>
      <c r="J1356" s="20" t="n"/>
      <c r="K1356" s="21" t="n"/>
      <c r="L1356" s="21" t="n"/>
      <c r="M1356" s="18" t="n"/>
      <c r="N1356" s="22">
        <f>IF($B1356="","",CHOOSE(WEEKDAY($B1356),"الأحد","الاثنين","الثلاثاء","الأربعاء","الخميس","الجمعة","السبت"))</f>
        <v/>
      </c>
      <c r="O1356" s="23">
        <f>IF(OR($K1356="",$L1356=""),"",HYPERLINK("https://maps.google.com/?q="&amp;$K1356&amp;","&amp;$L1356,"عرض الموقع"))</f>
        <v/>
      </c>
      <c r="P1356" s="23">
        <f>IF(OR($B1356="",N($J1356)=0),"",HYPERLINK(PhotoDir&amp;"/"&amp;YEAR($B1356)&amp;"-"&amp;TEXT(MONTH($B1356),"00")&amp;"-"&amp;TEXT(DAY($B1356),"00")&amp;"_"&amp;$D1356,"فتح الصور ("&amp;$J1356&amp;")"))</f>
        <v/>
      </c>
      <c r="Q1356" s="24">
        <f>IF($B1356="","",MONTH($B1356))</f>
        <v/>
      </c>
      <c r="R1356" s="24">
        <f>IF($B1356="","",YEAR($B1356))</f>
        <v/>
      </c>
      <c r="S1356" s="25">
        <f>IF($B1356="","",$B1356-WEEKDAY($B1356,3))</f>
        <v/>
      </c>
      <c r="T1356" s="24">
        <f>IF($B1356="",0,IF(COUNTIFS($B$5:$B1356,$B1356,$D$5:$D1356,$D1356)=1,1,0))</f>
        <v/>
      </c>
      <c r="U1356" s="24">
        <f>IF($B1356="",0,IF(COUNTIFS($B$5:$B1356,$B1356,$C$5:$C1356,$C1356)=1,1,0))</f>
        <v/>
      </c>
      <c r="V1356" s="24">
        <f>IF(OR($B1356="",$G1356="",$G1356="لا توجد مشاهدات"),0,1)</f>
        <v/>
      </c>
      <c r="W1356" s="24">
        <f>IF(AND($B1356&lt;&gt;"",$I1356="تم تحرير مخالفة"),1,0)</f>
        <v/>
      </c>
      <c r="X1356" s="24">
        <f>IF($B1356="","",IF($S1356=WkStart,COUNTIF($S$5:$S1356,WkStart),""))</f>
        <v/>
      </c>
    </row>
    <row r="1357">
      <c r="A1357" s="16">
        <f>IF($B1357="","",ROW()-4)</f>
        <v/>
      </c>
      <c r="B1357" s="17" t="n"/>
      <c r="C1357" s="18" t="n"/>
      <c r="D1357" s="18" t="n"/>
      <c r="E1357" s="19" t="n"/>
      <c r="F1357" s="19" t="n"/>
      <c r="G1357" s="18" t="n"/>
      <c r="H1357" s="18" t="n"/>
      <c r="I1357" s="18" t="n"/>
      <c r="J1357" s="20" t="n"/>
      <c r="K1357" s="21" t="n"/>
      <c r="L1357" s="21" t="n"/>
      <c r="M1357" s="18" t="n"/>
      <c r="N1357" s="22">
        <f>IF($B1357="","",CHOOSE(WEEKDAY($B1357),"الأحد","الاثنين","الثلاثاء","الأربعاء","الخميس","الجمعة","السبت"))</f>
        <v/>
      </c>
      <c r="O1357" s="23">
        <f>IF(OR($K1357="",$L1357=""),"",HYPERLINK("https://maps.google.com/?q="&amp;$K1357&amp;","&amp;$L1357,"عرض الموقع"))</f>
        <v/>
      </c>
      <c r="P1357" s="23">
        <f>IF(OR($B1357="",N($J1357)=0),"",HYPERLINK(PhotoDir&amp;"/"&amp;YEAR($B1357)&amp;"-"&amp;TEXT(MONTH($B1357),"00")&amp;"-"&amp;TEXT(DAY($B1357),"00")&amp;"_"&amp;$D1357,"فتح الصور ("&amp;$J1357&amp;")"))</f>
        <v/>
      </c>
      <c r="Q1357" s="24">
        <f>IF($B1357="","",MONTH($B1357))</f>
        <v/>
      </c>
      <c r="R1357" s="24">
        <f>IF($B1357="","",YEAR($B1357))</f>
        <v/>
      </c>
      <c r="S1357" s="25">
        <f>IF($B1357="","",$B1357-WEEKDAY($B1357,3))</f>
        <v/>
      </c>
      <c r="T1357" s="24">
        <f>IF($B1357="",0,IF(COUNTIFS($B$5:$B1357,$B1357,$D$5:$D1357,$D1357)=1,1,0))</f>
        <v/>
      </c>
      <c r="U1357" s="24">
        <f>IF($B1357="",0,IF(COUNTIFS($B$5:$B1357,$B1357,$C$5:$C1357,$C1357)=1,1,0))</f>
        <v/>
      </c>
      <c r="V1357" s="24">
        <f>IF(OR($B1357="",$G1357="",$G1357="لا توجد مشاهدات"),0,1)</f>
        <v/>
      </c>
      <c r="W1357" s="24">
        <f>IF(AND($B1357&lt;&gt;"",$I1357="تم تحرير مخالفة"),1,0)</f>
        <v/>
      </c>
      <c r="X1357" s="24">
        <f>IF($B1357="","",IF($S1357=WkStart,COUNTIF($S$5:$S1357,WkStart),""))</f>
        <v/>
      </c>
    </row>
    <row r="1358">
      <c r="A1358" s="16">
        <f>IF($B1358="","",ROW()-4)</f>
        <v/>
      </c>
      <c r="B1358" s="17" t="n"/>
      <c r="C1358" s="18" t="n"/>
      <c r="D1358" s="18" t="n"/>
      <c r="E1358" s="19" t="n"/>
      <c r="F1358" s="19" t="n"/>
      <c r="G1358" s="18" t="n"/>
      <c r="H1358" s="18" t="n"/>
      <c r="I1358" s="18" t="n"/>
      <c r="J1358" s="20" t="n"/>
      <c r="K1358" s="21" t="n"/>
      <c r="L1358" s="21" t="n"/>
      <c r="M1358" s="18" t="n"/>
      <c r="N1358" s="22">
        <f>IF($B1358="","",CHOOSE(WEEKDAY($B1358),"الأحد","الاثنين","الثلاثاء","الأربعاء","الخميس","الجمعة","السبت"))</f>
        <v/>
      </c>
      <c r="O1358" s="23">
        <f>IF(OR($K1358="",$L1358=""),"",HYPERLINK("https://maps.google.com/?q="&amp;$K1358&amp;","&amp;$L1358,"عرض الموقع"))</f>
        <v/>
      </c>
      <c r="P1358" s="23">
        <f>IF(OR($B1358="",N($J1358)=0),"",HYPERLINK(PhotoDir&amp;"/"&amp;YEAR($B1358)&amp;"-"&amp;TEXT(MONTH($B1358),"00")&amp;"-"&amp;TEXT(DAY($B1358),"00")&amp;"_"&amp;$D1358,"فتح الصور ("&amp;$J1358&amp;")"))</f>
        <v/>
      </c>
      <c r="Q1358" s="24">
        <f>IF($B1358="","",MONTH($B1358))</f>
        <v/>
      </c>
      <c r="R1358" s="24">
        <f>IF($B1358="","",YEAR($B1358))</f>
        <v/>
      </c>
      <c r="S1358" s="25">
        <f>IF($B1358="","",$B1358-WEEKDAY($B1358,3))</f>
        <v/>
      </c>
      <c r="T1358" s="24">
        <f>IF($B1358="",0,IF(COUNTIFS($B$5:$B1358,$B1358,$D$5:$D1358,$D1358)=1,1,0))</f>
        <v/>
      </c>
      <c r="U1358" s="24">
        <f>IF($B1358="",0,IF(COUNTIFS($B$5:$B1358,$B1358,$C$5:$C1358,$C1358)=1,1,0))</f>
        <v/>
      </c>
      <c r="V1358" s="24">
        <f>IF(OR($B1358="",$G1358="",$G1358="لا توجد مشاهدات"),0,1)</f>
        <v/>
      </c>
      <c r="W1358" s="24">
        <f>IF(AND($B1358&lt;&gt;"",$I1358="تم تحرير مخالفة"),1,0)</f>
        <v/>
      </c>
      <c r="X1358" s="24">
        <f>IF($B1358="","",IF($S1358=WkStart,COUNTIF($S$5:$S1358,WkStart),""))</f>
        <v/>
      </c>
    </row>
    <row r="1359">
      <c r="A1359" s="16">
        <f>IF($B1359="","",ROW()-4)</f>
        <v/>
      </c>
      <c r="B1359" s="17" t="n"/>
      <c r="C1359" s="18" t="n"/>
      <c r="D1359" s="18" t="n"/>
      <c r="E1359" s="19" t="n"/>
      <c r="F1359" s="19" t="n"/>
      <c r="G1359" s="18" t="n"/>
      <c r="H1359" s="18" t="n"/>
      <c r="I1359" s="18" t="n"/>
      <c r="J1359" s="20" t="n"/>
      <c r="K1359" s="21" t="n"/>
      <c r="L1359" s="21" t="n"/>
      <c r="M1359" s="18" t="n"/>
      <c r="N1359" s="22">
        <f>IF($B1359="","",CHOOSE(WEEKDAY($B1359),"الأحد","الاثنين","الثلاثاء","الأربعاء","الخميس","الجمعة","السبت"))</f>
        <v/>
      </c>
      <c r="O1359" s="23">
        <f>IF(OR($K1359="",$L1359=""),"",HYPERLINK("https://maps.google.com/?q="&amp;$K1359&amp;","&amp;$L1359,"عرض الموقع"))</f>
        <v/>
      </c>
      <c r="P1359" s="23">
        <f>IF(OR($B1359="",N($J1359)=0),"",HYPERLINK(PhotoDir&amp;"/"&amp;YEAR($B1359)&amp;"-"&amp;TEXT(MONTH($B1359),"00")&amp;"-"&amp;TEXT(DAY($B1359),"00")&amp;"_"&amp;$D1359,"فتح الصور ("&amp;$J1359&amp;")"))</f>
        <v/>
      </c>
      <c r="Q1359" s="24">
        <f>IF($B1359="","",MONTH($B1359))</f>
        <v/>
      </c>
      <c r="R1359" s="24">
        <f>IF($B1359="","",YEAR($B1359))</f>
        <v/>
      </c>
      <c r="S1359" s="25">
        <f>IF($B1359="","",$B1359-WEEKDAY($B1359,3))</f>
        <v/>
      </c>
      <c r="T1359" s="24">
        <f>IF($B1359="",0,IF(COUNTIFS($B$5:$B1359,$B1359,$D$5:$D1359,$D1359)=1,1,0))</f>
        <v/>
      </c>
      <c r="U1359" s="24">
        <f>IF($B1359="",0,IF(COUNTIFS($B$5:$B1359,$B1359,$C$5:$C1359,$C1359)=1,1,0))</f>
        <v/>
      </c>
      <c r="V1359" s="24">
        <f>IF(OR($B1359="",$G1359="",$G1359="لا توجد مشاهدات"),0,1)</f>
        <v/>
      </c>
      <c r="W1359" s="24">
        <f>IF(AND($B1359&lt;&gt;"",$I1359="تم تحرير مخالفة"),1,0)</f>
        <v/>
      </c>
      <c r="X1359" s="24">
        <f>IF($B1359="","",IF($S1359=WkStart,COUNTIF($S$5:$S1359,WkStart),""))</f>
        <v/>
      </c>
    </row>
    <row r="1360">
      <c r="A1360" s="16">
        <f>IF($B1360="","",ROW()-4)</f>
        <v/>
      </c>
      <c r="B1360" s="17" t="n"/>
      <c r="C1360" s="18" t="n"/>
      <c r="D1360" s="18" t="n"/>
      <c r="E1360" s="19" t="n"/>
      <c r="F1360" s="19" t="n"/>
      <c r="G1360" s="18" t="n"/>
      <c r="H1360" s="18" t="n"/>
      <c r="I1360" s="18" t="n"/>
      <c r="J1360" s="20" t="n"/>
      <c r="K1360" s="21" t="n"/>
      <c r="L1360" s="21" t="n"/>
      <c r="M1360" s="18" t="n"/>
      <c r="N1360" s="22">
        <f>IF($B1360="","",CHOOSE(WEEKDAY($B1360),"الأحد","الاثنين","الثلاثاء","الأربعاء","الخميس","الجمعة","السبت"))</f>
        <v/>
      </c>
      <c r="O1360" s="23">
        <f>IF(OR($K1360="",$L1360=""),"",HYPERLINK("https://maps.google.com/?q="&amp;$K1360&amp;","&amp;$L1360,"عرض الموقع"))</f>
        <v/>
      </c>
      <c r="P1360" s="23">
        <f>IF(OR($B1360="",N($J1360)=0),"",HYPERLINK(PhotoDir&amp;"/"&amp;YEAR($B1360)&amp;"-"&amp;TEXT(MONTH($B1360),"00")&amp;"-"&amp;TEXT(DAY($B1360),"00")&amp;"_"&amp;$D1360,"فتح الصور ("&amp;$J1360&amp;")"))</f>
        <v/>
      </c>
      <c r="Q1360" s="24">
        <f>IF($B1360="","",MONTH($B1360))</f>
        <v/>
      </c>
      <c r="R1360" s="24">
        <f>IF($B1360="","",YEAR($B1360))</f>
        <v/>
      </c>
      <c r="S1360" s="25">
        <f>IF($B1360="","",$B1360-WEEKDAY($B1360,3))</f>
        <v/>
      </c>
      <c r="T1360" s="24">
        <f>IF($B1360="",0,IF(COUNTIFS($B$5:$B1360,$B1360,$D$5:$D1360,$D1360)=1,1,0))</f>
        <v/>
      </c>
      <c r="U1360" s="24">
        <f>IF($B1360="",0,IF(COUNTIFS($B$5:$B1360,$B1360,$C$5:$C1360,$C1360)=1,1,0))</f>
        <v/>
      </c>
      <c r="V1360" s="24">
        <f>IF(OR($B1360="",$G1360="",$G1360="لا توجد مشاهدات"),0,1)</f>
        <v/>
      </c>
      <c r="W1360" s="24">
        <f>IF(AND($B1360&lt;&gt;"",$I1360="تم تحرير مخالفة"),1,0)</f>
        <v/>
      </c>
      <c r="X1360" s="24">
        <f>IF($B1360="","",IF($S1360=WkStart,COUNTIF($S$5:$S1360,WkStart),""))</f>
        <v/>
      </c>
    </row>
    <row r="1361">
      <c r="A1361" s="16">
        <f>IF($B1361="","",ROW()-4)</f>
        <v/>
      </c>
      <c r="B1361" s="17" t="n"/>
      <c r="C1361" s="18" t="n"/>
      <c r="D1361" s="18" t="n"/>
      <c r="E1361" s="19" t="n"/>
      <c r="F1361" s="19" t="n"/>
      <c r="G1361" s="18" t="n"/>
      <c r="H1361" s="18" t="n"/>
      <c r="I1361" s="18" t="n"/>
      <c r="J1361" s="20" t="n"/>
      <c r="K1361" s="21" t="n"/>
      <c r="L1361" s="21" t="n"/>
      <c r="M1361" s="18" t="n"/>
      <c r="N1361" s="22">
        <f>IF($B1361="","",CHOOSE(WEEKDAY($B1361),"الأحد","الاثنين","الثلاثاء","الأربعاء","الخميس","الجمعة","السبت"))</f>
        <v/>
      </c>
      <c r="O1361" s="23">
        <f>IF(OR($K1361="",$L1361=""),"",HYPERLINK("https://maps.google.com/?q="&amp;$K1361&amp;","&amp;$L1361,"عرض الموقع"))</f>
        <v/>
      </c>
      <c r="P1361" s="23">
        <f>IF(OR($B1361="",N($J1361)=0),"",HYPERLINK(PhotoDir&amp;"/"&amp;YEAR($B1361)&amp;"-"&amp;TEXT(MONTH($B1361),"00")&amp;"-"&amp;TEXT(DAY($B1361),"00")&amp;"_"&amp;$D1361,"فتح الصور ("&amp;$J1361&amp;")"))</f>
        <v/>
      </c>
      <c r="Q1361" s="24">
        <f>IF($B1361="","",MONTH($B1361))</f>
        <v/>
      </c>
      <c r="R1361" s="24">
        <f>IF($B1361="","",YEAR($B1361))</f>
        <v/>
      </c>
      <c r="S1361" s="25">
        <f>IF($B1361="","",$B1361-WEEKDAY($B1361,3))</f>
        <v/>
      </c>
      <c r="T1361" s="24">
        <f>IF($B1361="",0,IF(COUNTIFS($B$5:$B1361,$B1361,$D$5:$D1361,$D1361)=1,1,0))</f>
        <v/>
      </c>
      <c r="U1361" s="24">
        <f>IF($B1361="",0,IF(COUNTIFS($B$5:$B1361,$B1361,$C$5:$C1361,$C1361)=1,1,0))</f>
        <v/>
      </c>
      <c r="V1361" s="24">
        <f>IF(OR($B1361="",$G1361="",$G1361="لا توجد مشاهدات"),0,1)</f>
        <v/>
      </c>
      <c r="W1361" s="24">
        <f>IF(AND($B1361&lt;&gt;"",$I1361="تم تحرير مخالفة"),1,0)</f>
        <v/>
      </c>
      <c r="X1361" s="24">
        <f>IF($B1361="","",IF($S1361=WkStart,COUNTIF($S$5:$S1361,WkStart),""))</f>
        <v/>
      </c>
    </row>
    <row r="1362">
      <c r="A1362" s="16">
        <f>IF($B1362="","",ROW()-4)</f>
        <v/>
      </c>
      <c r="B1362" s="17" t="n"/>
      <c r="C1362" s="18" t="n"/>
      <c r="D1362" s="18" t="n"/>
      <c r="E1362" s="19" t="n"/>
      <c r="F1362" s="19" t="n"/>
      <c r="G1362" s="18" t="n"/>
      <c r="H1362" s="18" t="n"/>
      <c r="I1362" s="18" t="n"/>
      <c r="J1362" s="20" t="n"/>
      <c r="K1362" s="21" t="n"/>
      <c r="L1362" s="21" t="n"/>
      <c r="M1362" s="18" t="n"/>
      <c r="N1362" s="22">
        <f>IF($B1362="","",CHOOSE(WEEKDAY($B1362),"الأحد","الاثنين","الثلاثاء","الأربعاء","الخميس","الجمعة","السبت"))</f>
        <v/>
      </c>
      <c r="O1362" s="23">
        <f>IF(OR($K1362="",$L1362=""),"",HYPERLINK("https://maps.google.com/?q="&amp;$K1362&amp;","&amp;$L1362,"عرض الموقع"))</f>
        <v/>
      </c>
      <c r="P1362" s="23">
        <f>IF(OR($B1362="",N($J1362)=0),"",HYPERLINK(PhotoDir&amp;"/"&amp;YEAR($B1362)&amp;"-"&amp;TEXT(MONTH($B1362),"00")&amp;"-"&amp;TEXT(DAY($B1362),"00")&amp;"_"&amp;$D1362,"فتح الصور ("&amp;$J1362&amp;")"))</f>
        <v/>
      </c>
      <c r="Q1362" s="24">
        <f>IF($B1362="","",MONTH($B1362))</f>
        <v/>
      </c>
      <c r="R1362" s="24">
        <f>IF($B1362="","",YEAR($B1362))</f>
        <v/>
      </c>
      <c r="S1362" s="25">
        <f>IF($B1362="","",$B1362-WEEKDAY($B1362,3))</f>
        <v/>
      </c>
      <c r="T1362" s="24">
        <f>IF($B1362="",0,IF(COUNTIFS($B$5:$B1362,$B1362,$D$5:$D1362,$D1362)=1,1,0))</f>
        <v/>
      </c>
      <c r="U1362" s="24">
        <f>IF($B1362="",0,IF(COUNTIFS($B$5:$B1362,$B1362,$C$5:$C1362,$C1362)=1,1,0))</f>
        <v/>
      </c>
      <c r="V1362" s="24">
        <f>IF(OR($B1362="",$G1362="",$G1362="لا توجد مشاهدات"),0,1)</f>
        <v/>
      </c>
      <c r="W1362" s="24">
        <f>IF(AND($B1362&lt;&gt;"",$I1362="تم تحرير مخالفة"),1,0)</f>
        <v/>
      </c>
      <c r="X1362" s="24">
        <f>IF($B1362="","",IF($S1362=WkStart,COUNTIF($S$5:$S1362,WkStart),""))</f>
        <v/>
      </c>
    </row>
    <row r="1363">
      <c r="A1363" s="16">
        <f>IF($B1363="","",ROW()-4)</f>
        <v/>
      </c>
      <c r="B1363" s="17" t="n"/>
      <c r="C1363" s="18" t="n"/>
      <c r="D1363" s="18" t="n"/>
      <c r="E1363" s="19" t="n"/>
      <c r="F1363" s="19" t="n"/>
      <c r="G1363" s="18" t="n"/>
      <c r="H1363" s="18" t="n"/>
      <c r="I1363" s="18" t="n"/>
      <c r="J1363" s="20" t="n"/>
      <c r="K1363" s="21" t="n"/>
      <c r="L1363" s="21" t="n"/>
      <c r="M1363" s="18" t="n"/>
      <c r="N1363" s="22">
        <f>IF($B1363="","",CHOOSE(WEEKDAY($B1363),"الأحد","الاثنين","الثلاثاء","الأربعاء","الخميس","الجمعة","السبت"))</f>
        <v/>
      </c>
      <c r="O1363" s="23">
        <f>IF(OR($K1363="",$L1363=""),"",HYPERLINK("https://maps.google.com/?q="&amp;$K1363&amp;","&amp;$L1363,"عرض الموقع"))</f>
        <v/>
      </c>
      <c r="P1363" s="23">
        <f>IF(OR($B1363="",N($J1363)=0),"",HYPERLINK(PhotoDir&amp;"/"&amp;YEAR($B1363)&amp;"-"&amp;TEXT(MONTH($B1363),"00")&amp;"-"&amp;TEXT(DAY($B1363),"00")&amp;"_"&amp;$D1363,"فتح الصور ("&amp;$J1363&amp;")"))</f>
        <v/>
      </c>
      <c r="Q1363" s="24">
        <f>IF($B1363="","",MONTH($B1363))</f>
        <v/>
      </c>
      <c r="R1363" s="24">
        <f>IF($B1363="","",YEAR($B1363))</f>
        <v/>
      </c>
      <c r="S1363" s="25">
        <f>IF($B1363="","",$B1363-WEEKDAY($B1363,3))</f>
        <v/>
      </c>
      <c r="T1363" s="24">
        <f>IF($B1363="",0,IF(COUNTIFS($B$5:$B1363,$B1363,$D$5:$D1363,$D1363)=1,1,0))</f>
        <v/>
      </c>
      <c r="U1363" s="24">
        <f>IF($B1363="",0,IF(COUNTIFS($B$5:$B1363,$B1363,$C$5:$C1363,$C1363)=1,1,0))</f>
        <v/>
      </c>
      <c r="V1363" s="24">
        <f>IF(OR($B1363="",$G1363="",$G1363="لا توجد مشاهدات"),0,1)</f>
        <v/>
      </c>
      <c r="W1363" s="24">
        <f>IF(AND($B1363&lt;&gt;"",$I1363="تم تحرير مخالفة"),1,0)</f>
        <v/>
      </c>
      <c r="X1363" s="24">
        <f>IF($B1363="","",IF($S1363=WkStart,COUNTIF($S$5:$S1363,WkStart),""))</f>
        <v/>
      </c>
    </row>
    <row r="1364">
      <c r="A1364" s="16">
        <f>IF($B1364="","",ROW()-4)</f>
        <v/>
      </c>
      <c r="B1364" s="17" t="n"/>
      <c r="C1364" s="18" t="n"/>
      <c r="D1364" s="18" t="n"/>
      <c r="E1364" s="19" t="n"/>
      <c r="F1364" s="19" t="n"/>
      <c r="G1364" s="18" t="n"/>
      <c r="H1364" s="18" t="n"/>
      <c r="I1364" s="18" t="n"/>
      <c r="J1364" s="20" t="n"/>
      <c r="K1364" s="21" t="n"/>
      <c r="L1364" s="21" t="n"/>
      <c r="M1364" s="18" t="n"/>
      <c r="N1364" s="22">
        <f>IF($B1364="","",CHOOSE(WEEKDAY($B1364),"الأحد","الاثنين","الثلاثاء","الأربعاء","الخميس","الجمعة","السبت"))</f>
        <v/>
      </c>
      <c r="O1364" s="23">
        <f>IF(OR($K1364="",$L1364=""),"",HYPERLINK("https://maps.google.com/?q="&amp;$K1364&amp;","&amp;$L1364,"عرض الموقع"))</f>
        <v/>
      </c>
      <c r="P1364" s="23">
        <f>IF(OR($B1364="",N($J1364)=0),"",HYPERLINK(PhotoDir&amp;"/"&amp;YEAR($B1364)&amp;"-"&amp;TEXT(MONTH($B1364),"00")&amp;"-"&amp;TEXT(DAY($B1364),"00")&amp;"_"&amp;$D1364,"فتح الصور ("&amp;$J1364&amp;")"))</f>
        <v/>
      </c>
      <c r="Q1364" s="24">
        <f>IF($B1364="","",MONTH($B1364))</f>
        <v/>
      </c>
      <c r="R1364" s="24">
        <f>IF($B1364="","",YEAR($B1364))</f>
        <v/>
      </c>
      <c r="S1364" s="25">
        <f>IF($B1364="","",$B1364-WEEKDAY($B1364,3))</f>
        <v/>
      </c>
      <c r="T1364" s="24">
        <f>IF($B1364="",0,IF(COUNTIFS($B$5:$B1364,$B1364,$D$5:$D1364,$D1364)=1,1,0))</f>
        <v/>
      </c>
      <c r="U1364" s="24">
        <f>IF($B1364="",0,IF(COUNTIFS($B$5:$B1364,$B1364,$C$5:$C1364,$C1364)=1,1,0))</f>
        <v/>
      </c>
      <c r="V1364" s="24">
        <f>IF(OR($B1364="",$G1364="",$G1364="لا توجد مشاهدات"),0,1)</f>
        <v/>
      </c>
      <c r="W1364" s="24">
        <f>IF(AND($B1364&lt;&gt;"",$I1364="تم تحرير مخالفة"),1,0)</f>
        <v/>
      </c>
      <c r="X1364" s="24">
        <f>IF($B1364="","",IF($S1364=WkStart,COUNTIF($S$5:$S1364,WkStart),""))</f>
        <v/>
      </c>
    </row>
    <row r="1365">
      <c r="A1365" s="16">
        <f>IF($B1365="","",ROW()-4)</f>
        <v/>
      </c>
      <c r="B1365" s="17" t="n"/>
      <c r="C1365" s="18" t="n"/>
      <c r="D1365" s="18" t="n"/>
      <c r="E1365" s="19" t="n"/>
      <c r="F1365" s="19" t="n"/>
      <c r="G1365" s="18" t="n"/>
      <c r="H1365" s="18" t="n"/>
      <c r="I1365" s="18" t="n"/>
      <c r="J1365" s="20" t="n"/>
      <c r="K1365" s="21" t="n"/>
      <c r="L1365" s="21" t="n"/>
      <c r="M1365" s="18" t="n"/>
      <c r="N1365" s="22">
        <f>IF($B1365="","",CHOOSE(WEEKDAY($B1365),"الأحد","الاثنين","الثلاثاء","الأربعاء","الخميس","الجمعة","السبت"))</f>
        <v/>
      </c>
      <c r="O1365" s="23">
        <f>IF(OR($K1365="",$L1365=""),"",HYPERLINK("https://maps.google.com/?q="&amp;$K1365&amp;","&amp;$L1365,"عرض الموقع"))</f>
        <v/>
      </c>
      <c r="P1365" s="23">
        <f>IF(OR($B1365="",N($J1365)=0),"",HYPERLINK(PhotoDir&amp;"/"&amp;YEAR($B1365)&amp;"-"&amp;TEXT(MONTH($B1365),"00")&amp;"-"&amp;TEXT(DAY($B1365),"00")&amp;"_"&amp;$D1365,"فتح الصور ("&amp;$J1365&amp;")"))</f>
        <v/>
      </c>
      <c r="Q1365" s="24">
        <f>IF($B1365="","",MONTH($B1365))</f>
        <v/>
      </c>
      <c r="R1365" s="24">
        <f>IF($B1365="","",YEAR($B1365))</f>
        <v/>
      </c>
      <c r="S1365" s="25">
        <f>IF($B1365="","",$B1365-WEEKDAY($B1365,3))</f>
        <v/>
      </c>
      <c r="T1365" s="24">
        <f>IF($B1365="",0,IF(COUNTIFS($B$5:$B1365,$B1365,$D$5:$D1365,$D1365)=1,1,0))</f>
        <v/>
      </c>
      <c r="U1365" s="24">
        <f>IF($B1365="",0,IF(COUNTIFS($B$5:$B1365,$B1365,$C$5:$C1365,$C1365)=1,1,0))</f>
        <v/>
      </c>
      <c r="V1365" s="24">
        <f>IF(OR($B1365="",$G1365="",$G1365="لا توجد مشاهدات"),0,1)</f>
        <v/>
      </c>
      <c r="W1365" s="24">
        <f>IF(AND($B1365&lt;&gt;"",$I1365="تم تحرير مخالفة"),1,0)</f>
        <v/>
      </c>
      <c r="X1365" s="24">
        <f>IF($B1365="","",IF($S1365=WkStart,COUNTIF($S$5:$S1365,WkStart),""))</f>
        <v/>
      </c>
    </row>
    <row r="1366">
      <c r="A1366" s="16">
        <f>IF($B1366="","",ROW()-4)</f>
        <v/>
      </c>
      <c r="B1366" s="17" t="n"/>
      <c r="C1366" s="18" t="n"/>
      <c r="D1366" s="18" t="n"/>
      <c r="E1366" s="19" t="n"/>
      <c r="F1366" s="19" t="n"/>
      <c r="G1366" s="18" t="n"/>
      <c r="H1366" s="18" t="n"/>
      <c r="I1366" s="18" t="n"/>
      <c r="J1366" s="20" t="n"/>
      <c r="K1366" s="21" t="n"/>
      <c r="L1366" s="21" t="n"/>
      <c r="M1366" s="18" t="n"/>
      <c r="N1366" s="22">
        <f>IF($B1366="","",CHOOSE(WEEKDAY($B1366),"الأحد","الاثنين","الثلاثاء","الأربعاء","الخميس","الجمعة","السبت"))</f>
        <v/>
      </c>
      <c r="O1366" s="23">
        <f>IF(OR($K1366="",$L1366=""),"",HYPERLINK("https://maps.google.com/?q="&amp;$K1366&amp;","&amp;$L1366,"عرض الموقع"))</f>
        <v/>
      </c>
      <c r="P1366" s="23">
        <f>IF(OR($B1366="",N($J1366)=0),"",HYPERLINK(PhotoDir&amp;"/"&amp;YEAR($B1366)&amp;"-"&amp;TEXT(MONTH($B1366),"00")&amp;"-"&amp;TEXT(DAY($B1366),"00")&amp;"_"&amp;$D1366,"فتح الصور ("&amp;$J1366&amp;")"))</f>
        <v/>
      </c>
      <c r="Q1366" s="24">
        <f>IF($B1366="","",MONTH($B1366))</f>
        <v/>
      </c>
      <c r="R1366" s="24">
        <f>IF($B1366="","",YEAR($B1366))</f>
        <v/>
      </c>
      <c r="S1366" s="25">
        <f>IF($B1366="","",$B1366-WEEKDAY($B1366,3))</f>
        <v/>
      </c>
      <c r="T1366" s="24">
        <f>IF($B1366="",0,IF(COUNTIFS($B$5:$B1366,$B1366,$D$5:$D1366,$D1366)=1,1,0))</f>
        <v/>
      </c>
      <c r="U1366" s="24">
        <f>IF($B1366="",0,IF(COUNTIFS($B$5:$B1366,$B1366,$C$5:$C1366,$C1366)=1,1,0))</f>
        <v/>
      </c>
      <c r="V1366" s="24">
        <f>IF(OR($B1366="",$G1366="",$G1366="لا توجد مشاهدات"),0,1)</f>
        <v/>
      </c>
      <c r="W1366" s="24">
        <f>IF(AND($B1366&lt;&gt;"",$I1366="تم تحرير مخالفة"),1,0)</f>
        <v/>
      </c>
      <c r="X1366" s="24">
        <f>IF($B1366="","",IF($S1366=WkStart,COUNTIF($S$5:$S1366,WkStart),""))</f>
        <v/>
      </c>
    </row>
    <row r="1367">
      <c r="A1367" s="16">
        <f>IF($B1367="","",ROW()-4)</f>
        <v/>
      </c>
      <c r="B1367" s="17" t="n"/>
      <c r="C1367" s="18" t="n"/>
      <c r="D1367" s="18" t="n"/>
      <c r="E1367" s="19" t="n"/>
      <c r="F1367" s="19" t="n"/>
      <c r="G1367" s="18" t="n"/>
      <c r="H1367" s="18" t="n"/>
      <c r="I1367" s="18" t="n"/>
      <c r="J1367" s="20" t="n"/>
      <c r="K1367" s="21" t="n"/>
      <c r="L1367" s="21" t="n"/>
      <c r="M1367" s="18" t="n"/>
      <c r="N1367" s="22">
        <f>IF($B1367="","",CHOOSE(WEEKDAY($B1367),"الأحد","الاثنين","الثلاثاء","الأربعاء","الخميس","الجمعة","السبت"))</f>
        <v/>
      </c>
      <c r="O1367" s="23">
        <f>IF(OR($K1367="",$L1367=""),"",HYPERLINK("https://maps.google.com/?q="&amp;$K1367&amp;","&amp;$L1367,"عرض الموقع"))</f>
        <v/>
      </c>
      <c r="P1367" s="23">
        <f>IF(OR($B1367="",N($J1367)=0),"",HYPERLINK(PhotoDir&amp;"/"&amp;YEAR($B1367)&amp;"-"&amp;TEXT(MONTH($B1367),"00")&amp;"-"&amp;TEXT(DAY($B1367),"00")&amp;"_"&amp;$D1367,"فتح الصور ("&amp;$J1367&amp;")"))</f>
        <v/>
      </c>
      <c r="Q1367" s="24">
        <f>IF($B1367="","",MONTH($B1367))</f>
        <v/>
      </c>
      <c r="R1367" s="24">
        <f>IF($B1367="","",YEAR($B1367))</f>
        <v/>
      </c>
      <c r="S1367" s="25">
        <f>IF($B1367="","",$B1367-WEEKDAY($B1367,3))</f>
        <v/>
      </c>
      <c r="T1367" s="24">
        <f>IF($B1367="",0,IF(COUNTIFS($B$5:$B1367,$B1367,$D$5:$D1367,$D1367)=1,1,0))</f>
        <v/>
      </c>
      <c r="U1367" s="24">
        <f>IF($B1367="",0,IF(COUNTIFS($B$5:$B1367,$B1367,$C$5:$C1367,$C1367)=1,1,0))</f>
        <v/>
      </c>
      <c r="V1367" s="24">
        <f>IF(OR($B1367="",$G1367="",$G1367="لا توجد مشاهدات"),0,1)</f>
        <v/>
      </c>
      <c r="W1367" s="24">
        <f>IF(AND($B1367&lt;&gt;"",$I1367="تم تحرير مخالفة"),1,0)</f>
        <v/>
      </c>
      <c r="X1367" s="24">
        <f>IF($B1367="","",IF($S1367=WkStart,COUNTIF($S$5:$S1367,WkStart),""))</f>
        <v/>
      </c>
    </row>
    <row r="1368">
      <c r="A1368" s="16">
        <f>IF($B1368="","",ROW()-4)</f>
        <v/>
      </c>
      <c r="B1368" s="17" t="n"/>
      <c r="C1368" s="18" t="n"/>
      <c r="D1368" s="18" t="n"/>
      <c r="E1368" s="19" t="n"/>
      <c r="F1368" s="19" t="n"/>
      <c r="G1368" s="18" t="n"/>
      <c r="H1368" s="18" t="n"/>
      <c r="I1368" s="18" t="n"/>
      <c r="J1368" s="20" t="n"/>
      <c r="K1368" s="21" t="n"/>
      <c r="L1368" s="21" t="n"/>
      <c r="M1368" s="18" t="n"/>
      <c r="N1368" s="22">
        <f>IF($B1368="","",CHOOSE(WEEKDAY($B1368),"الأحد","الاثنين","الثلاثاء","الأربعاء","الخميس","الجمعة","السبت"))</f>
        <v/>
      </c>
      <c r="O1368" s="23">
        <f>IF(OR($K1368="",$L1368=""),"",HYPERLINK("https://maps.google.com/?q="&amp;$K1368&amp;","&amp;$L1368,"عرض الموقع"))</f>
        <v/>
      </c>
      <c r="P1368" s="23">
        <f>IF(OR($B1368="",N($J1368)=0),"",HYPERLINK(PhotoDir&amp;"/"&amp;YEAR($B1368)&amp;"-"&amp;TEXT(MONTH($B1368),"00")&amp;"-"&amp;TEXT(DAY($B1368),"00")&amp;"_"&amp;$D1368,"فتح الصور ("&amp;$J1368&amp;")"))</f>
        <v/>
      </c>
      <c r="Q1368" s="24">
        <f>IF($B1368="","",MONTH($B1368))</f>
        <v/>
      </c>
      <c r="R1368" s="24">
        <f>IF($B1368="","",YEAR($B1368))</f>
        <v/>
      </c>
      <c r="S1368" s="25">
        <f>IF($B1368="","",$B1368-WEEKDAY($B1368,3))</f>
        <v/>
      </c>
      <c r="T1368" s="24">
        <f>IF($B1368="",0,IF(COUNTIFS($B$5:$B1368,$B1368,$D$5:$D1368,$D1368)=1,1,0))</f>
        <v/>
      </c>
      <c r="U1368" s="24">
        <f>IF($B1368="",0,IF(COUNTIFS($B$5:$B1368,$B1368,$C$5:$C1368,$C1368)=1,1,0))</f>
        <v/>
      </c>
      <c r="V1368" s="24">
        <f>IF(OR($B1368="",$G1368="",$G1368="لا توجد مشاهدات"),0,1)</f>
        <v/>
      </c>
      <c r="W1368" s="24">
        <f>IF(AND($B1368&lt;&gt;"",$I1368="تم تحرير مخالفة"),1,0)</f>
        <v/>
      </c>
      <c r="X1368" s="24">
        <f>IF($B1368="","",IF($S1368=WkStart,COUNTIF($S$5:$S1368,WkStart),""))</f>
        <v/>
      </c>
    </row>
    <row r="1369">
      <c r="A1369" s="16">
        <f>IF($B1369="","",ROW()-4)</f>
        <v/>
      </c>
      <c r="B1369" s="17" t="n"/>
      <c r="C1369" s="18" t="n"/>
      <c r="D1369" s="18" t="n"/>
      <c r="E1369" s="19" t="n"/>
      <c r="F1369" s="19" t="n"/>
      <c r="G1369" s="18" t="n"/>
      <c r="H1369" s="18" t="n"/>
      <c r="I1369" s="18" t="n"/>
      <c r="J1369" s="20" t="n"/>
      <c r="K1369" s="21" t="n"/>
      <c r="L1369" s="21" t="n"/>
      <c r="M1369" s="18" t="n"/>
      <c r="N1369" s="22">
        <f>IF($B1369="","",CHOOSE(WEEKDAY($B1369),"الأحد","الاثنين","الثلاثاء","الأربعاء","الخميس","الجمعة","السبت"))</f>
        <v/>
      </c>
      <c r="O1369" s="23">
        <f>IF(OR($K1369="",$L1369=""),"",HYPERLINK("https://maps.google.com/?q="&amp;$K1369&amp;","&amp;$L1369,"عرض الموقع"))</f>
        <v/>
      </c>
      <c r="P1369" s="23">
        <f>IF(OR($B1369="",N($J1369)=0),"",HYPERLINK(PhotoDir&amp;"/"&amp;YEAR($B1369)&amp;"-"&amp;TEXT(MONTH($B1369),"00")&amp;"-"&amp;TEXT(DAY($B1369),"00")&amp;"_"&amp;$D1369,"فتح الصور ("&amp;$J1369&amp;")"))</f>
        <v/>
      </c>
      <c r="Q1369" s="24">
        <f>IF($B1369="","",MONTH($B1369))</f>
        <v/>
      </c>
      <c r="R1369" s="24">
        <f>IF($B1369="","",YEAR($B1369))</f>
        <v/>
      </c>
      <c r="S1369" s="25">
        <f>IF($B1369="","",$B1369-WEEKDAY($B1369,3))</f>
        <v/>
      </c>
      <c r="T1369" s="24">
        <f>IF($B1369="",0,IF(COUNTIFS($B$5:$B1369,$B1369,$D$5:$D1369,$D1369)=1,1,0))</f>
        <v/>
      </c>
      <c r="U1369" s="24">
        <f>IF($B1369="",0,IF(COUNTIFS($B$5:$B1369,$B1369,$C$5:$C1369,$C1369)=1,1,0))</f>
        <v/>
      </c>
      <c r="V1369" s="24">
        <f>IF(OR($B1369="",$G1369="",$G1369="لا توجد مشاهدات"),0,1)</f>
        <v/>
      </c>
      <c r="W1369" s="24">
        <f>IF(AND($B1369&lt;&gt;"",$I1369="تم تحرير مخالفة"),1,0)</f>
        <v/>
      </c>
      <c r="X1369" s="24">
        <f>IF($B1369="","",IF($S1369=WkStart,COUNTIF($S$5:$S1369,WkStart),""))</f>
        <v/>
      </c>
    </row>
    <row r="1370">
      <c r="A1370" s="16">
        <f>IF($B1370="","",ROW()-4)</f>
        <v/>
      </c>
      <c r="B1370" s="17" t="n"/>
      <c r="C1370" s="18" t="n"/>
      <c r="D1370" s="18" t="n"/>
      <c r="E1370" s="19" t="n"/>
      <c r="F1370" s="19" t="n"/>
      <c r="G1370" s="18" t="n"/>
      <c r="H1370" s="18" t="n"/>
      <c r="I1370" s="18" t="n"/>
      <c r="J1370" s="20" t="n"/>
      <c r="K1370" s="21" t="n"/>
      <c r="L1370" s="21" t="n"/>
      <c r="M1370" s="18" t="n"/>
      <c r="N1370" s="22">
        <f>IF($B1370="","",CHOOSE(WEEKDAY($B1370),"الأحد","الاثنين","الثلاثاء","الأربعاء","الخميس","الجمعة","السبت"))</f>
        <v/>
      </c>
      <c r="O1370" s="23">
        <f>IF(OR($K1370="",$L1370=""),"",HYPERLINK("https://maps.google.com/?q="&amp;$K1370&amp;","&amp;$L1370,"عرض الموقع"))</f>
        <v/>
      </c>
      <c r="P1370" s="23">
        <f>IF(OR($B1370="",N($J1370)=0),"",HYPERLINK(PhotoDir&amp;"/"&amp;YEAR($B1370)&amp;"-"&amp;TEXT(MONTH($B1370),"00")&amp;"-"&amp;TEXT(DAY($B1370),"00")&amp;"_"&amp;$D1370,"فتح الصور ("&amp;$J1370&amp;")"))</f>
        <v/>
      </c>
      <c r="Q1370" s="24">
        <f>IF($B1370="","",MONTH($B1370))</f>
        <v/>
      </c>
      <c r="R1370" s="24">
        <f>IF($B1370="","",YEAR($B1370))</f>
        <v/>
      </c>
      <c r="S1370" s="25">
        <f>IF($B1370="","",$B1370-WEEKDAY($B1370,3))</f>
        <v/>
      </c>
      <c r="T1370" s="24">
        <f>IF($B1370="",0,IF(COUNTIFS($B$5:$B1370,$B1370,$D$5:$D1370,$D1370)=1,1,0))</f>
        <v/>
      </c>
      <c r="U1370" s="24">
        <f>IF($B1370="",0,IF(COUNTIFS($B$5:$B1370,$B1370,$C$5:$C1370,$C1370)=1,1,0))</f>
        <v/>
      </c>
      <c r="V1370" s="24">
        <f>IF(OR($B1370="",$G1370="",$G1370="لا توجد مشاهدات"),0,1)</f>
        <v/>
      </c>
      <c r="W1370" s="24">
        <f>IF(AND($B1370&lt;&gt;"",$I1370="تم تحرير مخالفة"),1,0)</f>
        <v/>
      </c>
      <c r="X1370" s="24">
        <f>IF($B1370="","",IF($S1370=WkStart,COUNTIF($S$5:$S1370,WkStart),""))</f>
        <v/>
      </c>
    </row>
    <row r="1371">
      <c r="A1371" s="16">
        <f>IF($B1371="","",ROW()-4)</f>
        <v/>
      </c>
      <c r="B1371" s="17" t="n"/>
      <c r="C1371" s="18" t="n"/>
      <c r="D1371" s="18" t="n"/>
      <c r="E1371" s="19" t="n"/>
      <c r="F1371" s="19" t="n"/>
      <c r="G1371" s="18" t="n"/>
      <c r="H1371" s="18" t="n"/>
      <c r="I1371" s="18" t="n"/>
      <c r="J1371" s="20" t="n"/>
      <c r="K1371" s="21" t="n"/>
      <c r="L1371" s="21" t="n"/>
      <c r="M1371" s="18" t="n"/>
      <c r="N1371" s="22">
        <f>IF($B1371="","",CHOOSE(WEEKDAY($B1371),"الأحد","الاثنين","الثلاثاء","الأربعاء","الخميس","الجمعة","السبت"))</f>
        <v/>
      </c>
      <c r="O1371" s="23">
        <f>IF(OR($K1371="",$L1371=""),"",HYPERLINK("https://maps.google.com/?q="&amp;$K1371&amp;","&amp;$L1371,"عرض الموقع"))</f>
        <v/>
      </c>
      <c r="P1371" s="23">
        <f>IF(OR($B1371="",N($J1371)=0),"",HYPERLINK(PhotoDir&amp;"/"&amp;YEAR($B1371)&amp;"-"&amp;TEXT(MONTH($B1371),"00")&amp;"-"&amp;TEXT(DAY($B1371),"00")&amp;"_"&amp;$D1371,"فتح الصور ("&amp;$J1371&amp;")"))</f>
        <v/>
      </c>
      <c r="Q1371" s="24">
        <f>IF($B1371="","",MONTH($B1371))</f>
        <v/>
      </c>
      <c r="R1371" s="24">
        <f>IF($B1371="","",YEAR($B1371))</f>
        <v/>
      </c>
      <c r="S1371" s="25">
        <f>IF($B1371="","",$B1371-WEEKDAY($B1371,3))</f>
        <v/>
      </c>
      <c r="T1371" s="24">
        <f>IF($B1371="",0,IF(COUNTIFS($B$5:$B1371,$B1371,$D$5:$D1371,$D1371)=1,1,0))</f>
        <v/>
      </c>
      <c r="U1371" s="24">
        <f>IF($B1371="",0,IF(COUNTIFS($B$5:$B1371,$B1371,$C$5:$C1371,$C1371)=1,1,0))</f>
        <v/>
      </c>
      <c r="V1371" s="24">
        <f>IF(OR($B1371="",$G1371="",$G1371="لا توجد مشاهدات"),0,1)</f>
        <v/>
      </c>
      <c r="W1371" s="24">
        <f>IF(AND($B1371&lt;&gt;"",$I1371="تم تحرير مخالفة"),1,0)</f>
        <v/>
      </c>
      <c r="X1371" s="24">
        <f>IF($B1371="","",IF($S1371=WkStart,COUNTIF($S$5:$S1371,WkStart),""))</f>
        <v/>
      </c>
    </row>
    <row r="1372">
      <c r="A1372" s="16">
        <f>IF($B1372="","",ROW()-4)</f>
        <v/>
      </c>
      <c r="B1372" s="17" t="n"/>
      <c r="C1372" s="18" t="n"/>
      <c r="D1372" s="18" t="n"/>
      <c r="E1372" s="19" t="n"/>
      <c r="F1372" s="19" t="n"/>
      <c r="G1372" s="18" t="n"/>
      <c r="H1372" s="18" t="n"/>
      <c r="I1372" s="18" t="n"/>
      <c r="J1372" s="20" t="n"/>
      <c r="K1372" s="21" t="n"/>
      <c r="L1372" s="21" t="n"/>
      <c r="M1372" s="18" t="n"/>
      <c r="N1372" s="22">
        <f>IF($B1372="","",CHOOSE(WEEKDAY($B1372),"الأحد","الاثنين","الثلاثاء","الأربعاء","الخميس","الجمعة","السبت"))</f>
        <v/>
      </c>
      <c r="O1372" s="23">
        <f>IF(OR($K1372="",$L1372=""),"",HYPERLINK("https://maps.google.com/?q="&amp;$K1372&amp;","&amp;$L1372,"عرض الموقع"))</f>
        <v/>
      </c>
      <c r="P1372" s="23">
        <f>IF(OR($B1372="",N($J1372)=0),"",HYPERLINK(PhotoDir&amp;"/"&amp;YEAR($B1372)&amp;"-"&amp;TEXT(MONTH($B1372),"00")&amp;"-"&amp;TEXT(DAY($B1372),"00")&amp;"_"&amp;$D1372,"فتح الصور ("&amp;$J1372&amp;")"))</f>
        <v/>
      </c>
      <c r="Q1372" s="24">
        <f>IF($B1372="","",MONTH($B1372))</f>
        <v/>
      </c>
      <c r="R1372" s="24">
        <f>IF($B1372="","",YEAR($B1372))</f>
        <v/>
      </c>
      <c r="S1372" s="25">
        <f>IF($B1372="","",$B1372-WEEKDAY($B1372,3))</f>
        <v/>
      </c>
      <c r="T1372" s="24">
        <f>IF($B1372="",0,IF(COUNTIFS($B$5:$B1372,$B1372,$D$5:$D1372,$D1372)=1,1,0))</f>
        <v/>
      </c>
      <c r="U1372" s="24">
        <f>IF($B1372="",0,IF(COUNTIFS($B$5:$B1372,$B1372,$C$5:$C1372,$C1372)=1,1,0))</f>
        <v/>
      </c>
      <c r="V1372" s="24">
        <f>IF(OR($B1372="",$G1372="",$G1372="لا توجد مشاهدات"),0,1)</f>
        <v/>
      </c>
      <c r="W1372" s="24">
        <f>IF(AND($B1372&lt;&gt;"",$I1372="تم تحرير مخالفة"),1,0)</f>
        <v/>
      </c>
      <c r="X1372" s="24">
        <f>IF($B1372="","",IF($S1372=WkStart,COUNTIF($S$5:$S1372,WkStart),""))</f>
        <v/>
      </c>
    </row>
    <row r="1373">
      <c r="A1373" s="16">
        <f>IF($B1373="","",ROW()-4)</f>
        <v/>
      </c>
      <c r="B1373" s="17" t="n"/>
      <c r="C1373" s="18" t="n"/>
      <c r="D1373" s="18" t="n"/>
      <c r="E1373" s="19" t="n"/>
      <c r="F1373" s="19" t="n"/>
      <c r="G1373" s="18" t="n"/>
      <c r="H1373" s="18" t="n"/>
      <c r="I1373" s="18" t="n"/>
      <c r="J1373" s="20" t="n"/>
      <c r="K1373" s="21" t="n"/>
      <c r="L1373" s="21" t="n"/>
      <c r="M1373" s="18" t="n"/>
      <c r="N1373" s="22">
        <f>IF($B1373="","",CHOOSE(WEEKDAY($B1373),"الأحد","الاثنين","الثلاثاء","الأربعاء","الخميس","الجمعة","السبت"))</f>
        <v/>
      </c>
      <c r="O1373" s="23">
        <f>IF(OR($K1373="",$L1373=""),"",HYPERLINK("https://maps.google.com/?q="&amp;$K1373&amp;","&amp;$L1373,"عرض الموقع"))</f>
        <v/>
      </c>
      <c r="P1373" s="23">
        <f>IF(OR($B1373="",N($J1373)=0),"",HYPERLINK(PhotoDir&amp;"/"&amp;YEAR($B1373)&amp;"-"&amp;TEXT(MONTH($B1373),"00")&amp;"-"&amp;TEXT(DAY($B1373),"00")&amp;"_"&amp;$D1373,"فتح الصور ("&amp;$J1373&amp;")"))</f>
        <v/>
      </c>
      <c r="Q1373" s="24">
        <f>IF($B1373="","",MONTH($B1373))</f>
        <v/>
      </c>
      <c r="R1373" s="24">
        <f>IF($B1373="","",YEAR($B1373))</f>
        <v/>
      </c>
      <c r="S1373" s="25">
        <f>IF($B1373="","",$B1373-WEEKDAY($B1373,3))</f>
        <v/>
      </c>
      <c r="T1373" s="24">
        <f>IF($B1373="",0,IF(COUNTIFS($B$5:$B1373,$B1373,$D$5:$D1373,$D1373)=1,1,0))</f>
        <v/>
      </c>
      <c r="U1373" s="24">
        <f>IF($B1373="",0,IF(COUNTIFS($B$5:$B1373,$B1373,$C$5:$C1373,$C1373)=1,1,0))</f>
        <v/>
      </c>
      <c r="V1373" s="24">
        <f>IF(OR($B1373="",$G1373="",$G1373="لا توجد مشاهدات"),0,1)</f>
        <v/>
      </c>
      <c r="W1373" s="24">
        <f>IF(AND($B1373&lt;&gt;"",$I1373="تم تحرير مخالفة"),1,0)</f>
        <v/>
      </c>
      <c r="X1373" s="24">
        <f>IF($B1373="","",IF($S1373=WkStart,COUNTIF($S$5:$S1373,WkStart),""))</f>
        <v/>
      </c>
    </row>
    <row r="1374">
      <c r="A1374" s="16">
        <f>IF($B1374="","",ROW()-4)</f>
        <v/>
      </c>
      <c r="B1374" s="17" t="n"/>
      <c r="C1374" s="18" t="n"/>
      <c r="D1374" s="18" t="n"/>
      <c r="E1374" s="19" t="n"/>
      <c r="F1374" s="19" t="n"/>
      <c r="G1374" s="18" t="n"/>
      <c r="H1374" s="18" t="n"/>
      <c r="I1374" s="18" t="n"/>
      <c r="J1374" s="20" t="n"/>
      <c r="K1374" s="21" t="n"/>
      <c r="L1374" s="21" t="n"/>
      <c r="M1374" s="18" t="n"/>
      <c r="N1374" s="22">
        <f>IF($B1374="","",CHOOSE(WEEKDAY($B1374),"الأحد","الاثنين","الثلاثاء","الأربعاء","الخميس","الجمعة","السبت"))</f>
        <v/>
      </c>
      <c r="O1374" s="23">
        <f>IF(OR($K1374="",$L1374=""),"",HYPERLINK("https://maps.google.com/?q="&amp;$K1374&amp;","&amp;$L1374,"عرض الموقع"))</f>
        <v/>
      </c>
      <c r="P1374" s="23">
        <f>IF(OR($B1374="",N($J1374)=0),"",HYPERLINK(PhotoDir&amp;"/"&amp;YEAR($B1374)&amp;"-"&amp;TEXT(MONTH($B1374),"00")&amp;"-"&amp;TEXT(DAY($B1374),"00")&amp;"_"&amp;$D1374,"فتح الصور ("&amp;$J1374&amp;")"))</f>
        <v/>
      </c>
      <c r="Q1374" s="24">
        <f>IF($B1374="","",MONTH($B1374))</f>
        <v/>
      </c>
      <c r="R1374" s="24">
        <f>IF($B1374="","",YEAR($B1374))</f>
        <v/>
      </c>
      <c r="S1374" s="25">
        <f>IF($B1374="","",$B1374-WEEKDAY($B1374,3))</f>
        <v/>
      </c>
      <c r="T1374" s="24">
        <f>IF($B1374="",0,IF(COUNTIFS($B$5:$B1374,$B1374,$D$5:$D1374,$D1374)=1,1,0))</f>
        <v/>
      </c>
      <c r="U1374" s="24">
        <f>IF($B1374="",0,IF(COUNTIFS($B$5:$B1374,$B1374,$C$5:$C1374,$C1374)=1,1,0))</f>
        <v/>
      </c>
      <c r="V1374" s="24">
        <f>IF(OR($B1374="",$G1374="",$G1374="لا توجد مشاهدات"),0,1)</f>
        <v/>
      </c>
      <c r="W1374" s="24">
        <f>IF(AND($B1374&lt;&gt;"",$I1374="تم تحرير مخالفة"),1,0)</f>
        <v/>
      </c>
      <c r="X1374" s="24">
        <f>IF($B1374="","",IF($S1374=WkStart,COUNTIF($S$5:$S1374,WkStart),""))</f>
        <v/>
      </c>
    </row>
    <row r="1375">
      <c r="A1375" s="16">
        <f>IF($B1375="","",ROW()-4)</f>
        <v/>
      </c>
      <c r="B1375" s="17" t="n"/>
      <c r="C1375" s="18" t="n"/>
      <c r="D1375" s="18" t="n"/>
      <c r="E1375" s="19" t="n"/>
      <c r="F1375" s="19" t="n"/>
      <c r="G1375" s="18" t="n"/>
      <c r="H1375" s="18" t="n"/>
      <c r="I1375" s="18" t="n"/>
      <c r="J1375" s="20" t="n"/>
      <c r="K1375" s="21" t="n"/>
      <c r="L1375" s="21" t="n"/>
      <c r="M1375" s="18" t="n"/>
      <c r="N1375" s="22">
        <f>IF($B1375="","",CHOOSE(WEEKDAY($B1375),"الأحد","الاثنين","الثلاثاء","الأربعاء","الخميس","الجمعة","السبت"))</f>
        <v/>
      </c>
      <c r="O1375" s="23">
        <f>IF(OR($K1375="",$L1375=""),"",HYPERLINK("https://maps.google.com/?q="&amp;$K1375&amp;","&amp;$L1375,"عرض الموقع"))</f>
        <v/>
      </c>
      <c r="P1375" s="23">
        <f>IF(OR($B1375="",N($J1375)=0),"",HYPERLINK(PhotoDir&amp;"/"&amp;YEAR($B1375)&amp;"-"&amp;TEXT(MONTH($B1375),"00")&amp;"-"&amp;TEXT(DAY($B1375),"00")&amp;"_"&amp;$D1375,"فتح الصور ("&amp;$J1375&amp;")"))</f>
        <v/>
      </c>
      <c r="Q1375" s="24">
        <f>IF($B1375="","",MONTH($B1375))</f>
        <v/>
      </c>
      <c r="R1375" s="24">
        <f>IF($B1375="","",YEAR($B1375))</f>
        <v/>
      </c>
      <c r="S1375" s="25">
        <f>IF($B1375="","",$B1375-WEEKDAY($B1375,3))</f>
        <v/>
      </c>
      <c r="T1375" s="24">
        <f>IF($B1375="",0,IF(COUNTIFS($B$5:$B1375,$B1375,$D$5:$D1375,$D1375)=1,1,0))</f>
        <v/>
      </c>
      <c r="U1375" s="24">
        <f>IF($B1375="",0,IF(COUNTIFS($B$5:$B1375,$B1375,$C$5:$C1375,$C1375)=1,1,0))</f>
        <v/>
      </c>
      <c r="V1375" s="24">
        <f>IF(OR($B1375="",$G1375="",$G1375="لا توجد مشاهدات"),0,1)</f>
        <v/>
      </c>
      <c r="W1375" s="24">
        <f>IF(AND($B1375&lt;&gt;"",$I1375="تم تحرير مخالفة"),1,0)</f>
        <v/>
      </c>
      <c r="X1375" s="24">
        <f>IF($B1375="","",IF($S1375=WkStart,COUNTIF($S$5:$S1375,WkStart),""))</f>
        <v/>
      </c>
    </row>
    <row r="1376">
      <c r="A1376" s="16">
        <f>IF($B1376="","",ROW()-4)</f>
        <v/>
      </c>
      <c r="B1376" s="17" t="n"/>
      <c r="C1376" s="18" t="n"/>
      <c r="D1376" s="18" t="n"/>
      <c r="E1376" s="19" t="n"/>
      <c r="F1376" s="19" t="n"/>
      <c r="G1376" s="18" t="n"/>
      <c r="H1376" s="18" t="n"/>
      <c r="I1376" s="18" t="n"/>
      <c r="J1376" s="20" t="n"/>
      <c r="K1376" s="21" t="n"/>
      <c r="L1376" s="21" t="n"/>
      <c r="M1376" s="18" t="n"/>
      <c r="N1376" s="22">
        <f>IF($B1376="","",CHOOSE(WEEKDAY($B1376),"الأحد","الاثنين","الثلاثاء","الأربعاء","الخميس","الجمعة","السبت"))</f>
        <v/>
      </c>
      <c r="O1376" s="23">
        <f>IF(OR($K1376="",$L1376=""),"",HYPERLINK("https://maps.google.com/?q="&amp;$K1376&amp;","&amp;$L1376,"عرض الموقع"))</f>
        <v/>
      </c>
      <c r="P1376" s="23">
        <f>IF(OR($B1376="",N($J1376)=0),"",HYPERLINK(PhotoDir&amp;"/"&amp;YEAR($B1376)&amp;"-"&amp;TEXT(MONTH($B1376),"00")&amp;"-"&amp;TEXT(DAY($B1376),"00")&amp;"_"&amp;$D1376,"فتح الصور ("&amp;$J1376&amp;")"))</f>
        <v/>
      </c>
      <c r="Q1376" s="24">
        <f>IF($B1376="","",MONTH($B1376))</f>
        <v/>
      </c>
      <c r="R1376" s="24">
        <f>IF($B1376="","",YEAR($B1376))</f>
        <v/>
      </c>
      <c r="S1376" s="25">
        <f>IF($B1376="","",$B1376-WEEKDAY($B1376,3))</f>
        <v/>
      </c>
      <c r="T1376" s="24">
        <f>IF($B1376="",0,IF(COUNTIFS($B$5:$B1376,$B1376,$D$5:$D1376,$D1376)=1,1,0))</f>
        <v/>
      </c>
      <c r="U1376" s="24">
        <f>IF($B1376="",0,IF(COUNTIFS($B$5:$B1376,$B1376,$C$5:$C1376,$C1376)=1,1,0))</f>
        <v/>
      </c>
      <c r="V1376" s="24">
        <f>IF(OR($B1376="",$G1376="",$G1376="لا توجد مشاهدات"),0,1)</f>
        <v/>
      </c>
      <c r="W1376" s="24">
        <f>IF(AND($B1376&lt;&gt;"",$I1376="تم تحرير مخالفة"),1,0)</f>
        <v/>
      </c>
      <c r="X1376" s="24">
        <f>IF($B1376="","",IF($S1376=WkStart,COUNTIF($S$5:$S1376,WkStart),""))</f>
        <v/>
      </c>
    </row>
    <row r="1377">
      <c r="A1377" s="16">
        <f>IF($B1377="","",ROW()-4)</f>
        <v/>
      </c>
      <c r="B1377" s="17" t="n"/>
      <c r="C1377" s="18" t="n"/>
      <c r="D1377" s="18" t="n"/>
      <c r="E1377" s="19" t="n"/>
      <c r="F1377" s="19" t="n"/>
      <c r="G1377" s="18" t="n"/>
      <c r="H1377" s="18" t="n"/>
      <c r="I1377" s="18" t="n"/>
      <c r="J1377" s="20" t="n"/>
      <c r="K1377" s="21" t="n"/>
      <c r="L1377" s="21" t="n"/>
      <c r="M1377" s="18" t="n"/>
      <c r="N1377" s="22">
        <f>IF($B1377="","",CHOOSE(WEEKDAY($B1377),"الأحد","الاثنين","الثلاثاء","الأربعاء","الخميس","الجمعة","السبت"))</f>
        <v/>
      </c>
      <c r="O1377" s="23">
        <f>IF(OR($K1377="",$L1377=""),"",HYPERLINK("https://maps.google.com/?q="&amp;$K1377&amp;","&amp;$L1377,"عرض الموقع"))</f>
        <v/>
      </c>
      <c r="P1377" s="23">
        <f>IF(OR($B1377="",N($J1377)=0),"",HYPERLINK(PhotoDir&amp;"/"&amp;YEAR($B1377)&amp;"-"&amp;TEXT(MONTH($B1377),"00")&amp;"-"&amp;TEXT(DAY($B1377),"00")&amp;"_"&amp;$D1377,"فتح الصور ("&amp;$J1377&amp;")"))</f>
        <v/>
      </c>
      <c r="Q1377" s="24">
        <f>IF($B1377="","",MONTH($B1377))</f>
        <v/>
      </c>
      <c r="R1377" s="24">
        <f>IF($B1377="","",YEAR($B1377))</f>
        <v/>
      </c>
      <c r="S1377" s="25">
        <f>IF($B1377="","",$B1377-WEEKDAY($B1377,3))</f>
        <v/>
      </c>
      <c r="T1377" s="24">
        <f>IF($B1377="",0,IF(COUNTIFS($B$5:$B1377,$B1377,$D$5:$D1377,$D1377)=1,1,0))</f>
        <v/>
      </c>
      <c r="U1377" s="24">
        <f>IF($B1377="",0,IF(COUNTIFS($B$5:$B1377,$B1377,$C$5:$C1377,$C1377)=1,1,0))</f>
        <v/>
      </c>
      <c r="V1377" s="24">
        <f>IF(OR($B1377="",$G1377="",$G1377="لا توجد مشاهدات"),0,1)</f>
        <v/>
      </c>
      <c r="W1377" s="24">
        <f>IF(AND($B1377&lt;&gt;"",$I1377="تم تحرير مخالفة"),1,0)</f>
        <v/>
      </c>
      <c r="X1377" s="24">
        <f>IF($B1377="","",IF($S1377=WkStart,COUNTIF($S$5:$S1377,WkStart),""))</f>
        <v/>
      </c>
    </row>
    <row r="1378">
      <c r="A1378" s="16">
        <f>IF($B1378="","",ROW()-4)</f>
        <v/>
      </c>
      <c r="B1378" s="17" t="n"/>
      <c r="C1378" s="18" t="n"/>
      <c r="D1378" s="18" t="n"/>
      <c r="E1378" s="19" t="n"/>
      <c r="F1378" s="19" t="n"/>
      <c r="G1378" s="18" t="n"/>
      <c r="H1378" s="18" t="n"/>
      <c r="I1378" s="18" t="n"/>
      <c r="J1378" s="20" t="n"/>
      <c r="K1378" s="21" t="n"/>
      <c r="L1378" s="21" t="n"/>
      <c r="M1378" s="18" t="n"/>
      <c r="N1378" s="22">
        <f>IF($B1378="","",CHOOSE(WEEKDAY($B1378),"الأحد","الاثنين","الثلاثاء","الأربعاء","الخميس","الجمعة","السبت"))</f>
        <v/>
      </c>
      <c r="O1378" s="23">
        <f>IF(OR($K1378="",$L1378=""),"",HYPERLINK("https://maps.google.com/?q="&amp;$K1378&amp;","&amp;$L1378,"عرض الموقع"))</f>
        <v/>
      </c>
      <c r="P1378" s="23">
        <f>IF(OR($B1378="",N($J1378)=0),"",HYPERLINK(PhotoDir&amp;"/"&amp;YEAR($B1378)&amp;"-"&amp;TEXT(MONTH($B1378),"00")&amp;"-"&amp;TEXT(DAY($B1378),"00")&amp;"_"&amp;$D1378,"فتح الصور ("&amp;$J1378&amp;")"))</f>
        <v/>
      </c>
      <c r="Q1378" s="24">
        <f>IF($B1378="","",MONTH($B1378))</f>
        <v/>
      </c>
      <c r="R1378" s="24">
        <f>IF($B1378="","",YEAR($B1378))</f>
        <v/>
      </c>
      <c r="S1378" s="25">
        <f>IF($B1378="","",$B1378-WEEKDAY($B1378,3))</f>
        <v/>
      </c>
      <c r="T1378" s="24">
        <f>IF($B1378="",0,IF(COUNTIFS($B$5:$B1378,$B1378,$D$5:$D1378,$D1378)=1,1,0))</f>
        <v/>
      </c>
      <c r="U1378" s="24">
        <f>IF($B1378="",0,IF(COUNTIFS($B$5:$B1378,$B1378,$C$5:$C1378,$C1378)=1,1,0))</f>
        <v/>
      </c>
      <c r="V1378" s="24">
        <f>IF(OR($B1378="",$G1378="",$G1378="لا توجد مشاهدات"),0,1)</f>
        <v/>
      </c>
      <c r="W1378" s="24">
        <f>IF(AND($B1378&lt;&gt;"",$I1378="تم تحرير مخالفة"),1,0)</f>
        <v/>
      </c>
      <c r="X1378" s="24">
        <f>IF($B1378="","",IF($S1378=WkStart,COUNTIF($S$5:$S1378,WkStart),""))</f>
        <v/>
      </c>
    </row>
    <row r="1379">
      <c r="A1379" s="16">
        <f>IF($B1379="","",ROW()-4)</f>
        <v/>
      </c>
      <c r="B1379" s="17" t="n"/>
      <c r="C1379" s="18" t="n"/>
      <c r="D1379" s="18" t="n"/>
      <c r="E1379" s="19" t="n"/>
      <c r="F1379" s="19" t="n"/>
      <c r="G1379" s="18" t="n"/>
      <c r="H1379" s="18" t="n"/>
      <c r="I1379" s="18" t="n"/>
      <c r="J1379" s="20" t="n"/>
      <c r="K1379" s="21" t="n"/>
      <c r="L1379" s="21" t="n"/>
      <c r="M1379" s="18" t="n"/>
      <c r="N1379" s="22">
        <f>IF($B1379="","",CHOOSE(WEEKDAY($B1379),"الأحد","الاثنين","الثلاثاء","الأربعاء","الخميس","الجمعة","السبت"))</f>
        <v/>
      </c>
      <c r="O1379" s="23">
        <f>IF(OR($K1379="",$L1379=""),"",HYPERLINK("https://maps.google.com/?q="&amp;$K1379&amp;","&amp;$L1379,"عرض الموقع"))</f>
        <v/>
      </c>
      <c r="P1379" s="23">
        <f>IF(OR($B1379="",N($J1379)=0),"",HYPERLINK(PhotoDir&amp;"/"&amp;YEAR($B1379)&amp;"-"&amp;TEXT(MONTH($B1379),"00")&amp;"-"&amp;TEXT(DAY($B1379),"00")&amp;"_"&amp;$D1379,"فتح الصور ("&amp;$J1379&amp;")"))</f>
        <v/>
      </c>
      <c r="Q1379" s="24">
        <f>IF($B1379="","",MONTH($B1379))</f>
        <v/>
      </c>
      <c r="R1379" s="24">
        <f>IF($B1379="","",YEAR($B1379))</f>
        <v/>
      </c>
      <c r="S1379" s="25">
        <f>IF($B1379="","",$B1379-WEEKDAY($B1379,3))</f>
        <v/>
      </c>
      <c r="T1379" s="24">
        <f>IF($B1379="",0,IF(COUNTIFS($B$5:$B1379,$B1379,$D$5:$D1379,$D1379)=1,1,0))</f>
        <v/>
      </c>
      <c r="U1379" s="24">
        <f>IF($B1379="",0,IF(COUNTIFS($B$5:$B1379,$B1379,$C$5:$C1379,$C1379)=1,1,0))</f>
        <v/>
      </c>
      <c r="V1379" s="24">
        <f>IF(OR($B1379="",$G1379="",$G1379="لا توجد مشاهدات"),0,1)</f>
        <v/>
      </c>
      <c r="W1379" s="24">
        <f>IF(AND($B1379&lt;&gt;"",$I1379="تم تحرير مخالفة"),1,0)</f>
        <v/>
      </c>
      <c r="X1379" s="24">
        <f>IF($B1379="","",IF($S1379=WkStart,COUNTIF($S$5:$S1379,WkStart),""))</f>
        <v/>
      </c>
    </row>
    <row r="1380">
      <c r="A1380" s="16">
        <f>IF($B1380="","",ROW()-4)</f>
        <v/>
      </c>
      <c r="B1380" s="17" t="n"/>
      <c r="C1380" s="18" t="n"/>
      <c r="D1380" s="18" t="n"/>
      <c r="E1380" s="19" t="n"/>
      <c r="F1380" s="19" t="n"/>
      <c r="G1380" s="18" t="n"/>
      <c r="H1380" s="18" t="n"/>
      <c r="I1380" s="18" t="n"/>
      <c r="J1380" s="20" t="n"/>
      <c r="K1380" s="21" t="n"/>
      <c r="L1380" s="21" t="n"/>
      <c r="M1380" s="18" t="n"/>
      <c r="N1380" s="22">
        <f>IF($B1380="","",CHOOSE(WEEKDAY($B1380),"الأحد","الاثنين","الثلاثاء","الأربعاء","الخميس","الجمعة","السبت"))</f>
        <v/>
      </c>
      <c r="O1380" s="23">
        <f>IF(OR($K1380="",$L1380=""),"",HYPERLINK("https://maps.google.com/?q="&amp;$K1380&amp;","&amp;$L1380,"عرض الموقع"))</f>
        <v/>
      </c>
      <c r="P1380" s="23">
        <f>IF(OR($B1380="",N($J1380)=0),"",HYPERLINK(PhotoDir&amp;"/"&amp;YEAR($B1380)&amp;"-"&amp;TEXT(MONTH($B1380),"00")&amp;"-"&amp;TEXT(DAY($B1380),"00")&amp;"_"&amp;$D1380,"فتح الصور ("&amp;$J1380&amp;")"))</f>
        <v/>
      </c>
      <c r="Q1380" s="24">
        <f>IF($B1380="","",MONTH($B1380))</f>
        <v/>
      </c>
      <c r="R1380" s="24">
        <f>IF($B1380="","",YEAR($B1380))</f>
        <v/>
      </c>
      <c r="S1380" s="25">
        <f>IF($B1380="","",$B1380-WEEKDAY($B1380,3))</f>
        <v/>
      </c>
      <c r="T1380" s="24">
        <f>IF($B1380="",0,IF(COUNTIFS($B$5:$B1380,$B1380,$D$5:$D1380,$D1380)=1,1,0))</f>
        <v/>
      </c>
      <c r="U1380" s="24">
        <f>IF($B1380="",0,IF(COUNTIFS($B$5:$B1380,$B1380,$C$5:$C1380,$C1380)=1,1,0))</f>
        <v/>
      </c>
      <c r="V1380" s="24">
        <f>IF(OR($B1380="",$G1380="",$G1380="لا توجد مشاهدات"),0,1)</f>
        <v/>
      </c>
      <c r="W1380" s="24">
        <f>IF(AND($B1380&lt;&gt;"",$I1380="تم تحرير مخالفة"),1,0)</f>
        <v/>
      </c>
      <c r="X1380" s="24">
        <f>IF($B1380="","",IF($S1380=WkStart,COUNTIF($S$5:$S1380,WkStart),""))</f>
        <v/>
      </c>
    </row>
    <row r="1381">
      <c r="A1381" s="16">
        <f>IF($B1381="","",ROW()-4)</f>
        <v/>
      </c>
      <c r="B1381" s="17" t="n"/>
      <c r="C1381" s="18" t="n"/>
      <c r="D1381" s="18" t="n"/>
      <c r="E1381" s="19" t="n"/>
      <c r="F1381" s="19" t="n"/>
      <c r="G1381" s="18" t="n"/>
      <c r="H1381" s="18" t="n"/>
      <c r="I1381" s="18" t="n"/>
      <c r="J1381" s="20" t="n"/>
      <c r="K1381" s="21" t="n"/>
      <c r="L1381" s="21" t="n"/>
      <c r="M1381" s="18" t="n"/>
      <c r="N1381" s="22">
        <f>IF($B1381="","",CHOOSE(WEEKDAY($B1381),"الأحد","الاثنين","الثلاثاء","الأربعاء","الخميس","الجمعة","السبت"))</f>
        <v/>
      </c>
      <c r="O1381" s="23">
        <f>IF(OR($K1381="",$L1381=""),"",HYPERLINK("https://maps.google.com/?q="&amp;$K1381&amp;","&amp;$L1381,"عرض الموقع"))</f>
        <v/>
      </c>
      <c r="P1381" s="23">
        <f>IF(OR($B1381="",N($J1381)=0),"",HYPERLINK(PhotoDir&amp;"/"&amp;YEAR($B1381)&amp;"-"&amp;TEXT(MONTH($B1381),"00")&amp;"-"&amp;TEXT(DAY($B1381),"00")&amp;"_"&amp;$D1381,"فتح الصور ("&amp;$J1381&amp;")"))</f>
        <v/>
      </c>
      <c r="Q1381" s="24">
        <f>IF($B1381="","",MONTH($B1381))</f>
        <v/>
      </c>
      <c r="R1381" s="24">
        <f>IF($B1381="","",YEAR($B1381))</f>
        <v/>
      </c>
      <c r="S1381" s="25">
        <f>IF($B1381="","",$B1381-WEEKDAY($B1381,3))</f>
        <v/>
      </c>
      <c r="T1381" s="24">
        <f>IF($B1381="",0,IF(COUNTIFS($B$5:$B1381,$B1381,$D$5:$D1381,$D1381)=1,1,0))</f>
        <v/>
      </c>
      <c r="U1381" s="24">
        <f>IF($B1381="",0,IF(COUNTIFS($B$5:$B1381,$B1381,$C$5:$C1381,$C1381)=1,1,0))</f>
        <v/>
      </c>
      <c r="V1381" s="24">
        <f>IF(OR($B1381="",$G1381="",$G1381="لا توجد مشاهدات"),0,1)</f>
        <v/>
      </c>
      <c r="W1381" s="24">
        <f>IF(AND($B1381&lt;&gt;"",$I1381="تم تحرير مخالفة"),1,0)</f>
        <v/>
      </c>
      <c r="X1381" s="24">
        <f>IF($B1381="","",IF($S1381=WkStart,COUNTIF($S$5:$S1381,WkStart),""))</f>
        <v/>
      </c>
    </row>
    <row r="1382">
      <c r="A1382" s="16">
        <f>IF($B1382="","",ROW()-4)</f>
        <v/>
      </c>
      <c r="B1382" s="17" t="n"/>
      <c r="C1382" s="18" t="n"/>
      <c r="D1382" s="18" t="n"/>
      <c r="E1382" s="19" t="n"/>
      <c r="F1382" s="19" t="n"/>
      <c r="G1382" s="18" t="n"/>
      <c r="H1382" s="18" t="n"/>
      <c r="I1382" s="18" t="n"/>
      <c r="J1382" s="20" t="n"/>
      <c r="K1382" s="21" t="n"/>
      <c r="L1382" s="21" t="n"/>
      <c r="M1382" s="18" t="n"/>
      <c r="N1382" s="22">
        <f>IF($B1382="","",CHOOSE(WEEKDAY($B1382),"الأحد","الاثنين","الثلاثاء","الأربعاء","الخميس","الجمعة","السبت"))</f>
        <v/>
      </c>
      <c r="O1382" s="23">
        <f>IF(OR($K1382="",$L1382=""),"",HYPERLINK("https://maps.google.com/?q="&amp;$K1382&amp;","&amp;$L1382,"عرض الموقع"))</f>
        <v/>
      </c>
      <c r="P1382" s="23">
        <f>IF(OR($B1382="",N($J1382)=0),"",HYPERLINK(PhotoDir&amp;"/"&amp;YEAR($B1382)&amp;"-"&amp;TEXT(MONTH($B1382),"00")&amp;"-"&amp;TEXT(DAY($B1382),"00")&amp;"_"&amp;$D1382,"فتح الصور ("&amp;$J1382&amp;")"))</f>
        <v/>
      </c>
      <c r="Q1382" s="24">
        <f>IF($B1382="","",MONTH($B1382))</f>
        <v/>
      </c>
      <c r="R1382" s="24">
        <f>IF($B1382="","",YEAR($B1382))</f>
        <v/>
      </c>
      <c r="S1382" s="25">
        <f>IF($B1382="","",$B1382-WEEKDAY($B1382,3))</f>
        <v/>
      </c>
      <c r="T1382" s="24">
        <f>IF($B1382="",0,IF(COUNTIFS($B$5:$B1382,$B1382,$D$5:$D1382,$D1382)=1,1,0))</f>
        <v/>
      </c>
      <c r="U1382" s="24">
        <f>IF($B1382="",0,IF(COUNTIFS($B$5:$B1382,$B1382,$C$5:$C1382,$C1382)=1,1,0))</f>
        <v/>
      </c>
      <c r="V1382" s="24">
        <f>IF(OR($B1382="",$G1382="",$G1382="لا توجد مشاهدات"),0,1)</f>
        <v/>
      </c>
      <c r="W1382" s="24">
        <f>IF(AND($B1382&lt;&gt;"",$I1382="تم تحرير مخالفة"),1,0)</f>
        <v/>
      </c>
      <c r="X1382" s="24">
        <f>IF($B1382="","",IF($S1382=WkStart,COUNTIF($S$5:$S1382,WkStart),""))</f>
        <v/>
      </c>
    </row>
    <row r="1383">
      <c r="A1383" s="16">
        <f>IF($B1383="","",ROW()-4)</f>
        <v/>
      </c>
      <c r="B1383" s="17" t="n"/>
      <c r="C1383" s="18" t="n"/>
      <c r="D1383" s="18" t="n"/>
      <c r="E1383" s="19" t="n"/>
      <c r="F1383" s="19" t="n"/>
      <c r="G1383" s="18" t="n"/>
      <c r="H1383" s="18" t="n"/>
      <c r="I1383" s="18" t="n"/>
      <c r="J1383" s="20" t="n"/>
      <c r="K1383" s="21" t="n"/>
      <c r="L1383" s="21" t="n"/>
      <c r="M1383" s="18" t="n"/>
      <c r="N1383" s="22">
        <f>IF($B1383="","",CHOOSE(WEEKDAY($B1383),"الأحد","الاثنين","الثلاثاء","الأربعاء","الخميس","الجمعة","السبت"))</f>
        <v/>
      </c>
      <c r="O1383" s="23">
        <f>IF(OR($K1383="",$L1383=""),"",HYPERLINK("https://maps.google.com/?q="&amp;$K1383&amp;","&amp;$L1383,"عرض الموقع"))</f>
        <v/>
      </c>
      <c r="P1383" s="23">
        <f>IF(OR($B1383="",N($J1383)=0),"",HYPERLINK(PhotoDir&amp;"/"&amp;YEAR($B1383)&amp;"-"&amp;TEXT(MONTH($B1383),"00")&amp;"-"&amp;TEXT(DAY($B1383),"00")&amp;"_"&amp;$D1383,"فتح الصور ("&amp;$J1383&amp;")"))</f>
        <v/>
      </c>
      <c r="Q1383" s="24">
        <f>IF($B1383="","",MONTH($B1383))</f>
        <v/>
      </c>
      <c r="R1383" s="24">
        <f>IF($B1383="","",YEAR($B1383))</f>
        <v/>
      </c>
      <c r="S1383" s="25">
        <f>IF($B1383="","",$B1383-WEEKDAY($B1383,3))</f>
        <v/>
      </c>
      <c r="T1383" s="24">
        <f>IF($B1383="",0,IF(COUNTIFS($B$5:$B1383,$B1383,$D$5:$D1383,$D1383)=1,1,0))</f>
        <v/>
      </c>
      <c r="U1383" s="24">
        <f>IF($B1383="",0,IF(COUNTIFS($B$5:$B1383,$B1383,$C$5:$C1383,$C1383)=1,1,0))</f>
        <v/>
      </c>
      <c r="V1383" s="24">
        <f>IF(OR($B1383="",$G1383="",$G1383="لا توجد مشاهدات"),0,1)</f>
        <v/>
      </c>
      <c r="W1383" s="24">
        <f>IF(AND($B1383&lt;&gt;"",$I1383="تم تحرير مخالفة"),1,0)</f>
        <v/>
      </c>
      <c r="X1383" s="24">
        <f>IF($B1383="","",IF($S1383=WkStart,COUNTIF($S$5:$S1383,WkStart),""))</f>
        <v/>
      </c>
    </row>
    <row r="1384">
      <c r="A1384" s="16">
        <f>IF($B1384="","",ROW()-4)</f>
        <v/>
      </c>
      <c r="B1384" s="17" t="n"/>
      <c r="C1384" s="18" t="n"/>
      <c r="D1384" s="18" t="n"/>
      <c r="E1384" s="19" t="n"/>
      <c r="F1384" s="19" t="n"/>
      <c r="G1384" s="18" t="n"/>
      <c r="H1384" s="18" t="n"/>
      <c r="I1384" s="18" t="n"/>
      <c r="J1384" s="20" t="n"/>
      <c r="K1384" s="21" t="n"/>
      <c r="L1384" s="21" t="n"/>
      <c r="M1384" s="18" t="n"/>
      <c r="N1384" s="22">
        <f>IF($B1384="","",CHOOSE(WEEKDAY($B1384),"الأحد","الاثنين","الثلاثاء","الأربعاء","الخميس","الجمعة","السبت"))</f>
        <v/>
      </c>
      <c r="O1384" s="23">
        <f>IF(OR($K1384="",$L1384=""),"",HYPERLINK("https://maps.google.com/?q="&amp;$K1384&amp;","&amp;$L1384,"عرض الموقع"))</f>
        <v/>
      </c>
      <c r="P1384" s="23">
        <f>IF(OR($B1384="",N($J1384)=0),"",HYPERLINK(PhotoDir&amp;"/"&amp;YEAR($B1384)&amp;"-"&amp;TEXT(MONTH($B1384),"00")&amp;"-"&amp;TEXT(DAY($B1384),"00")&amp;"_"&amp;$D1384,"فتح الصور ("&amp;$J1384&amp;")"))</f>
        <v/>
      </c>
      <c r="Q1384" s="24">
        <f>IF($B1384="","",MONTH($B1384))</f>
        <v/>
      </c>
      <c r="R1384" s="24">
        <f>IF($B1384="","",YEAR($B1384))</f>
        <v/>
      </c>
      <c r="S1384" s="25">
        <f>IF($B1384="","",$B1384-WEEKDAY($B1384,3))</f>
        <v/>
      </c>
      <c r="T1384" s="24">
        <f>IF($B1384="",0,IF(COUNTIFS($B$5:$B1384,$B1384,$D$5:$D1384,$D1384)=1,1,0))</f>
        <v/>
      </c>
      <c r="U1384" s="24">
        <f>IF($B1384="",0,IF(COUNTIFS($B$5:$B1384,$B1384,$C$5:$C1384,$C1384)=1,1,0))</f>
        <v/>
      </c>
      <c r="V1384" s="24">
        <f>IF(OR($B1384="",$G1384="",$G1384="لا توجد مشاهدات"),0,1)</f>
        <v/>
      </c>
      <c r="W1384" s="24">
        <f>IF(AND($B1384&lt;&gt;"",$I1384="تم تحرير مخالفة"),1,0)</f>
        <v/>
      </c>
      <c r="X1384" s="24">
        <f>IF($B1384="","",IF($S1384=WkStart,COUNTIF($S$5:$S1384,WkStart),""))</f>
        <v/>
      </c>
    </row>
    <row r="1385">
      <c r="A1385" s="16">
        <f>IF($B1385="","",ROW()-4)</f>
        <v/>
      </c>
      <c r="B1385" s="17" t="n"/>
      <c r="C1385" s="18" t="n"/>
      <c r="D1385" s="18" t="n"/>
      <c r="E1385" s="19" t="n"/>
      <c r="F1385" s="19" t="n"/>
      <c r="G1385" s="18" t="n"/>
      <c r="H1385" s="18" t="n"/>
      <c r="I1385" s="18" t="n"/>
      <c r="J1385" s="20" t="n"/>
      <c r="K1385" s="21" t="n"/>
      <c r="L1385" s="21" t="n"/>
      <c r="M1385" s="18" t="n"/>
      <c r="N1385" s="22">
        <f>IF($B1385="","",CHOOSE(WEEKDAY($B1385),"الأحد","الاثنين","الثلاثاء","الأربعاء","الخميس","الجمعة","السبت"))</f>
        <v/>
      </c>
      <c r="O1385" s="23">
        <f>IF(OR($K1385="",$L1385=""),"",HYPERLINK("https://maps.google.com/?q="&amp;$K1385&amp;","&amp;$L1385,"عرض الموقع"))</f>
        <v/>
      </c>
      <c r="P1385" s="23">
        <f>IF(OR($B1385="",N($J1385)=0),"",HYPERLINK(PhotoDir&amp;"/"&amp;YEAR($B1385)&amp;"-"&amp;TEXT(MONTH($B1385),"00")&amp;"-"&amp;TEXT(DAY($B1385),"00")&amp;"_"&amp;$D1385,"فتح الصور ("&amp;$J1385&amp;")"))</f>
        <v/>
      </c>
      <c r="Q1385" s="24">
        <f>IF($B1385="","",MONTH($B1385))</f>
        <v/>
      </c>
      <c r="R1385" s="24">
        <f>IF($B1385="","",YEAR($B1385))</f>
        <v/>
      </c>
      <c r="S1385" s="25">
        <f>IF($B1385="","",$B1385-WEEKDAY($B1385,3))</f>
        <v/>
      </c>
      <c r="T1385" s="24">
        <f>IF($B1385="",0,IF(COUNTIFS($B$5:$B1385,$B1385,$D$5:$D1385,$D1385)=1,1,0))</f>
        <v/>
      </c>
      <c r="U1385" s="24">
        <f>IF($B1385="",0,IF(COUNTIFS($B$5:$B1385,$B1385,$C$5:$C1385,$C1385)=1,1,0))</f>
        <v/>
      </c>
      <c r="V1385" s="24">
        <f>IF(OR($B1385="",$G1385="",$G1385="لا توجد مشاهدات"),0,1)</f>
        <v/>
      </c>
      <c r="W1385" s="24">
        <f>IF(AND($B1385&lt;&gt;"",$I1385="تم تحرير مخالفة"),1,0)</f>
        <v/>
      </c>
      <c r="X1385" s="24">
        <f>IF($B1385="","",IF($S1385=WkStart,COUNTIF($S$5:$S1385,WkStart),""))</f>
        <v/>
      </c>
    </row>
    <row r="1386">
      <c r="A1386" s="16">
        <f>IF($B1386="","",ROW()-4)</f>
        <v/>
      </c>
      <c r="B1386" s="17" t="n"/>
      <c r="C1386" s="18" t="n"/>
      <c r="D1386" s="18" t="n"/>
      <c r="E1386" s="19" t="n"/>
      <c r="F1386" s="19" t="n"/>
      <c r="G1386" s="18" t="n"/>
      <c r="H1386" s="18" t="n"/>
      <c r="I1386" s="18" t="n"/>
      <c r="J1386" s="20" t="n"/>
      <c r="K1386" s="21" t="n"/>
      <c r="L1386" s="21" t="n"/>
      <c r="M1386" s="18" t="n"/>
      <c r="N1386" s="22">
        <f>IF($B1386="","",CHOOSE(WEEKDAY($B1386),"الأحد","الاثنين","الثلاثاء","الأربعاء","الخميس","الجمعة","السبت"))</f>
        <v/>
      </c>
      <c r="O1386" s="23">
        <f>IF(OR($K1386="",$L1386=""),"",HYPERLINK("https://maps.google.com/?q="&amp;$K1386&amp;","&amp;$L1386,"عرض الموقع"))</f>
        <v/>
      </c>
      <c r="P1386" s="23">
        <f>IF(OR($B1386="",N($J1386)=0),"",HYPERLINK(PhotoDir&amp;"/"&amp;YEAR($B1386)&amp;"-"&amp;TEXT(MONTH($B1386),"00")&amp;"-"&amp;TEXT(DAY($B1386),"00")&amp;"_"&amp;$D1386,"فتح الصور ("&amp;$J1386&amp;")"))</f>
        <v/>
      </c>
      <c r="Q1386" s="24">
        <f>IF($B1386="","",MONTH($B1386))</f>
        <v/>
      </c>
      <c r="R1386" s="24">
        <f>IF($B1386="","",YEAR($B1386))</f>
        <v/>
      </c>
      <c r="S1386" s="25">
        <f>IF($B1386="","",$B1386-WEEKDAY($B1386,3))</f>
        <v/>
      </c>
      <c r="T1386" s="24">
        <f>IF($B1386="",0,IF(COUNTIFS($B$5:$B1386,$B1386,$D$5:$D1386,$D1386)=1,1,0))</f>
        <v/>
      </c>
      <c r="U1386" s="24">
        <f>IF($B1386="",0,IF(COUNTIFS($B$5:$B1386,$B1386,$C$5:$C1386,$C1386)=1,1,0))</f>
        <v/>
      </c>
      <c r="V1386" s="24">
        <f>IF(OR($B1386="",$G1386="",$G1386="لا توجد مشاهدات"),0,1)</f>
        <v/>
      </c>
      <c r="W1386" s="24">
        <f>IF(AND($B1386&lt;&gt;"",$I1386="تم تحرير مخالفة"),1,0)</f>
        <v/>
      </c>
      <c r="X1386" s="24">
        <f>IF($B1386="","",IF($S1386=WkStart,COUNTIF($S$5:$S1386,WkStart),""))</f>
        <v/>
      </c>
    </row>
    <row r="1387">
      <c r="A1387" s="16">
        <f>IF($B1387="","",ROW()-4)</f>
        <v/>
      </c>
      <c r="B1387" s="17" t="n"/>
      <c r="C1387" s="18" t="n"/>
      <c r="D1387" s="18" t="n"/>
      <c r="E1387" s="19" t="n"/>
      <c r="F1387" s="19" t="n"/>
      <c r="G1387" s="18" t="n"/>
      <c r="H1387" s="18" t="n"/>
      <c r="I1387" s="18" t="n"/>
      <c r="J1387" s="20" t="n"/>
      <c r="K1387" s="21" t="n"/>
      <c r="L1387" s="21" t="n"/>
      <c r="M1387" s="18" t="n"/>
      <c r="N1387" s="22">
        <f>IF($B1387="","",CHOOSE(WEEKDAY($B1387),"الأحد","الاثنين","الثلاثاء","الأربعاء","الخميس","الجمعة","السبت"))</f>
        <v/>
      </c>
      <c r="O1387" s="23">
        <f>IF(OR($K1387="",$L1387=""),"",HYPERLINK("https://maps.google.com/?q="&amp;$K1387&amp;","&amp;$L1387,"عرض الموقع"))</f>
        <v/>
      </c>
      <c r="P1387" s="23">
        <f>IF(OR($B1387="",N($J1387)=0),"",HYPERLINK(PhotoDir&amp;"/"&amp;YEAR($B1387)&amp;"-"&amp;TEXT(MONTH($B1387),"00")&amp;"-"&amp;TEXT(DAY($B1387),"00")&amp;"_"&amp;$D1387,"فتح الصور ("&amp;$J1387&amp;")"))</f>
        <v/>
      </c>
      <c r="Q1387" s="24">
        <f>IF($B1387="","",MONTH($B1387))</f>
        <v/>
      </c>
      <c r="R1387" s="24">
        <f>IF($B1387="","",YEAR($B1387))</f>
        <v/>
      </c>
      <c r="S1387" s="25">
        <f>IF($B1387="","",$B1387-WEEKDAY($B1387,3))</f>
        <v/>
      </c>
      <c r="T1387" s="24">
        <f>IF($B1387="",0,IF(COUNTIFS($B$5:$B1387,$B1387,$D$5:$D1387,$D1387)=1,1,0))</f>
        <v/>
      </c>
      <c r="U1387" s="24">
        <f>IF($B1387="",0,IF(COUNTIFS($B$5:$B1387,$B1387,$C$5:$C1387,$C1387)=1,1,0))</f>
        <v/>
      </c>
      <c r="V1387" s="24">
        <f>IF(OR($B1387="",$G1387="",$G1387="لا توجد مشاهدات"),0,1)</f>
        <v/>
      </c>
      <c r="W1387" s="24">
        <f>IF(AND($B1387&lt;&gt;"",$I1387="تم تحرير مخالفة"),1,0)</f>
        <v/>
      </c>
      <c r="X1387" s="24">
        <f>IF($B1387="","",IF($S1387=WkStart,COUNTIF($S$5:$S1387,WkStart),""))</f>
        <v/>
      </c>
    </row>
    <row r="1388">
      <c r="A1388" s="16">
        <f>IF($B1388="","",ROW()-4)</f>
        <v/>
      </c>
      <c r="B1388" s="17" t="n"/>
      <c r="C1388" s="18" t="n"/>
      <c r="D1388" s="18" t="n"/>
      <c r="E1388" s="19" t="n"/>
      <c r="F1388" s="19" t="n"/>
      <c r="G1388" s="18" t="n"/>
      <c r="H1388" s="18" t="n"/>
      <c r="I1388" s="18" t="n"/>
      <c r="J1388" s="20" t="n"/>
      <c r="K1388" s="21" t="n"/>
      <c r="L1388" s="21" t="n"/>
      <c r="M1388" s="18" t="n"/>
      <c r="N1388" s="22">
        <f>IF($B1388="","",CHOOSE(WEEKDAY($B1388),"الأحد","الاثنين","الثلاثاء","الأربعاء","الخميس","الجمعة","السبت"))</f>
        <v/>
      </c>
      <c r="O1388" s="23">
        <f>IF(OR($K1388="",$L1388=""),"",HYPERLINK("https://maps.google.com/?q="&amp;$K1388&amp;","&amp;$L1388,"عرض الموقع"))</f>
        <v/>
      </c>
      <c r="P1388" s="23">
        <f>IF(OR($B1388="",N($J1388)=0),"",HYPERLINK(PhotoDir&amp;"/"&amp;YEAR($B1388)&amp;"-"&amp;TEXT(MONTH($B1388),"00")&amp;"-"&amp;TEXT(DAY($B1388),"00")&amp;"_"&amp;$D1388,"فتح الصور ("&amp;$J1388&amp;")"))</f>
        <v/>
      </c>
      <c r="Q1388" s="24">
        <f>IF($B1388="","",MONTH($B1388))</f>
        <v/>
      </c>
      <c r="R1388" s="24">
        <f>IF($B1388="","",YEAR($B1388))</f>
        <v/>
      </c>
      <c r="S1388" s="25">
        <f>IF($B1388="","",$B1388-WEEKDAY($B1388,3))</f>
        <v/>
      </c>
      <c r="T1388" s="24">
        <f>IF($B1388="",0,IF(COUNTIFS($B$5:$B1388,$B1388,$D$5:$D1388,$D1388)=1,1,0))</f>
        <v/>
      </c>
      <c r="U1388" s="24">
        <f>IF($B1388="",0,IF(COUNTIFS($B$5:$B1388,$B1388,$C$5:$C1388,$C1388)=1,1,0))</f>
        <v/>
      </c>
      <c r="V1388" s="24">
        <f>IF(OR($B1388="",$G1388="",$G1388="لا توجد مشاهدات"),0,1)</f>
        <v/>
      </c>
      <c r="W1388" s="24">
        <f>IF(AND($B1388&lt;&gt;"",$I1388="تم تحرير مخالفة"),1,0)</f>
        <v/>
      </c>
      <c r="X1388" s="24">
        <f>IF($B1388="","",IF($S1388=WkStart,COUNTIF($S$5:$S1388,WkStart),""))</f>
        <v/>
      </c>
    </row>
    <row r="1389">
      <c r="A1389" s="16">
        <f>IF($B1389="","",ROW()-4)</f>
        <v/>
      </c>
      <c r="B1389" s="17" t="n"/>
      <c r="C1389" s="18" t="n"/>
      <c r="D1389" s="18" t="n"/>
      <c r="E1389" s="19" t="n"/>
      <c r="F1389" s="19" t="n"/>
      <c r="G1389" s="18" t="n"/>
      <c r="H1389" s="18" t="n"/>
      <c r="I1389" s="18" t="n"/>
      <c r="J1389" s="20" t="n"/>
      <c r="K1389" s="21" t="n"/>
      <c r="L1389" s="21" t="n"/>
      <c r="M1389" s="18" t="n"/>
      <c r="N1389" s="22">
        <f>IF($B1389="","",CHOOSE(WEEKDAY($B1389),"الأحد","الاثنين","الثلاثاء","الأربعاء","الخميس","الجمعة","السبت"))</f>
        <v/>
      </c>
      <c r="O1389" s="23">
        <f>IF(OR($K1389="",$L1389=""),"",HYPERLINK("https://maps.google.com/?q="&amp;$K1389&amp;","&amp;$L1389,"عرض الموقع"))</f>
        <v/>
      </c>
      <c r="P1389" s="23">
        <f>IF(OR($B1389="",N($J1389)=0),"",HYPERLINK(PhotoDir&amp;"/"&amp;YEAR($B1389)&amp;"-"&amp;TEXT(MONTH($B1389),"00")&amp;"-"&amp;TEXT(DAY($B1389),"00")&amp;"_"&amp;$D1389,"فتح الصور ("&amp;$J1389&amp;")"))</f>
        <v/>
      </c>
      <c r="Q1389" s="24">
        <f>IF($B1389="","",MONTH($B1389))</f>
        <v/>
      </c>
      <c r="R1389" s="24">
        <f>IF($B1389="","",YEAR($B1389))</f>
        <v/>
      </c>
      <c r="S1389" s="25">
        <f>IF($B1389="","",$B1389-WEEKDAY($B1389,3))</f>
        <v/>
      </c>
      <c r="T1389" s="24">
        <f>IF($B1389="",0,IF(COUNTIFS($B$5:$B1389,$B1389,$D$5:$D1389,$D1389)=1,1,0))</f>
        <v/>
      </c>
      <c r="U1389" s="24">
        <f>IF($B1389="",0,IF(COUNTIFS($B$5:$B1389,$B1389,$C$5:$C1389,$C1389)=1,1,0))</f>
        <v/>
      </c>
      <c r="V1389" s="24">
        <f>IF(OR($B1389="",$G1389="",$G1389="لا توجد مشاهدات"),0,1)</f>
        <v/>
      </c>
      <c r="W1389" s="24">
        <f>IF(AND($B1389&lt;&gt;"",$I1389="تم تحرير مخالفة"),1,0)</f>
        <v/>
      </c>
      <c r="X1389" s="24">
        <f>IF($B1389="","",IF($S1389=WkStart,COUNTIF($S$5:$S1389,WkStart),""))</f>
        <v/>
      </c>
    </row>
    <row r="1390">
      <c r="A1390" s="16">
        <f>IF($B1390="","",ROW()-4)</f>
        <v/>
      </c>
      <c r="B1390" s="17" t="n"/>
      <c r="C1390" s="18" t="n"/>
      <c r="D1390" s="18" t="n"/>
      <c r="E1390" s="19" t="n"/>
      <c r="F1390" s="19" t="n"/>
      <c r="G1390" s="18" t="n"/>
      <c r="H1390" s="18" t="n"/>
      <c r="I1390" s="18" t="n"/>
      <c r="J1390" s="20" t="n"/>
      <c r="K1390" s="21" t="n"/>
      <c r="L1390" s="21" t="n"/>
      <c r="M1390" s="18" t="n"/>
      <c r="N1390" s="22">
        <f>IF($B1390="","",CHOOSE(WEEKDAY($B1390),"الأحد","الاثنين","الثلاثاء","الأربعاء","الخميس","الجمعة","السبت"))</f>
        <v/>
      </c>
      <c r="O1390" s="23">
        <f>IF(OR($K1390="",$L1390=""),"",HYPERLINK("https://maps.google.com/?q="&amp;$K1390&amp;","&amp;$L1390,"عرض الموقع"))</f>
        <v/>
      </c>
      <c r="P1390" s="23">
        <f>IF(OR($B1390="",N($J1390)=0),"",HYPERLINK(PhotoDir&amp;"/"&amp;YEAR($B1390)&amp;"-"&amp;TEXT(MONTH($B1390),"00")&amp;"-"&amp;TEXT(DAY($B1390),"00")&amp;"_"&amp;$D1390,"فتح الصور ("&amp;$J1390&amp;")"))</f>
        <v/>
      </c>
      <c r="Q1390" s="24">
        <f>IF($B1390="","",MONTH($B1390))</f>
        <v/>
      </c>
      <c r="R1390" s="24">
        <f>IF($B1390="","",YEAR($B1390))</f>
        <v/>
      </c>
      <c r="S1390" s="25">
        <f>IF($B1390="","",$B1390-WEEKDAY($B1390,3))</f>
        <v/>
      </c>
      <c r="T1390" s="24">
        <f>IF($B1390="",0,IF(COUNTIFS($B$5:$B1390,$B1390,$D$5:$D1390,$D1390)=1,1,0))</f>
        <v/>
      </c>
      <c r="U1390" s="24">
        <f>IF($B1390="",0,IF(COUNTIFS($B$5:$B1390,$B1390,$C$5:$C1390,$C1390)=1,1,0))</f>
        <v/>
      </c>
      <c r="V1390" s="24">
        <f>IF(OR($B1390="",$G1390="",$G1390="لا توجد مشاهدات"),0,1)</f>
        <v/>
      </c>
      <c r="W1390" s="24">
        <f>IF(AND($B1390&lt;&gt;"",$I1390="تم تحرير مخالفة"),1,0)</f>
        <v/>
      </c>
      <c r="X1390" s="24">
        <f>IF($B1390="","",IF($S1390=WkStart,COUNTIF($S$5:$S1390,WkStart),""))</f>
        <v/>
      </c>
    </row>
    <row r="1391">
      <c r="A1391" s="16">
        <f>IF($B1391="","",ROW()-4)</f>
        <v/>
      </c>
      <c r="B1391" s="17" t="n"/>
      <c r="C1391" s="18" t="n"/>
      <c r="D1391" s="18" t="n"/>
      <c r="E1391" s="19" t="n"/>
      <c r="F1391" s="19" t="n"/>
      <c r="G1391" s="18" t="n"/>
      <c r="H1391" s="18" t="n"/>
      <c r="I1391" s="18" t="n"/>
      <c r="J1391" s="20" t="n"/>
      <c r="K1391" s="21" t="n"/>
      <c r="L1391" s="21" t="n"/>
      <c r="M1391" s="18" t="n"/>
      <c r="N1391" s="22">
        <f>IF($B1391="","",CHOOSE(WEEKDAY($B1391),"الأحد","الاثنين","الثلاثاء","الأربعاء","الخميس","الجمعة","السبت"))</f>
        <v/>
      </c>
      <c r="O1391" s="23">
        <f>IF(OR($K1391="",$L1391=""),"",HYPERLINK("https://maps.google.com/?q="&amp;$K1391&amp;","&amp;$L1391,"عرض الموقع"))</f>
        <v/>
      </c>
      <c r="P1391" s="23">
        <f>IF(OR($B1391="",N($J1391)=0),"",HYPERLINK(PhotoDir&amp;"/"&amp;YEAR($B1391)&amp;"-"&amp;TEXT(MONTH($B1391),"00")&amp;"-"&amp;TEXT(DAY($B1391),"00")&amp;"_"&amp;$D1391,"فتح الصور ("&amp;$J1391&amp;")"))</f>
        <v/>
      </c>
      <c r="Q1391" s="24">
        <f>IF($B1391="","",MONTH($B1391))</f>
        <v/>
      </c>
      <c r="R1391" s="24">
        <f>IF($B1391="","",YEAR($B1391))</f>
        <v/>
      </c>
      <c r="S1391" s="25">
        <f>IF($B1391="","",$B1391-WEEKDAY($B1391,3))</f>
        <v/>
      </c>
      <c r="T1391" s="24">
        <f>IF($B1391="",0,IF(COUNTIFS($B$5:$B1391,$B1391,$D$5:$D1391,$D1391)=1,1,0))</f>
        <v/>
      </c>
      <c r="U1391" s="24">
        <f>IF($B1391="",0,IF(COUNTIFS($B$5:$B1391,$B1391,$C$5:$C1391,$C1391)=1,1,0))</f>
        <v/>
      </c>
      <c r="V1391" s="24">
        <f>IF(OR($B1391="",$G1391="",$G1391="لا توجد مشاهدات"),0,1)</f>
        <v/>
      </c>
      <c r="W1391" s="24">
        <f>IF(AND($B1391&lt;&gt;"",$I1391="تم تحرير مخالفة"),1,0)</f>
        <v/>
      </c>
      <c r="X1391" s="24">
        <f>IF($B1391="","",IF($S1391=WkStart,COUNTIF($S$5:$S1391,WkStart),""))</f>
        <v/>
      </c>
    </row>
    <row r="1392">
      <c r="A1392" s="16">
        <f>IF($B1392="","",ROW()-4)</f>
        <v/>
      </c>
      <c r="B1392" s="17" t="n"/>
      <c r="C1392" s="18" t="n"/>
      <c r="D1392" s="18" t="n"/>
      <c r="E1392" s="19" t="n"/>
      <c r="F1392" s="19" t="n"/>
      <c r="G1392" s="18" t="n"/>
      <c r="H1392" s="18" t="n"/>
      <c r="I1392" s="18" t="n"/>
      <c r="J1392" s="20" t="n"/>
      <c r="K1392" s="21" t="n"/>
      <c r="L1392" s="21" t="n"/>
      <c r="M1392" s="18" t="n"/>
      <c r="N1392" s="22">
        <f>IF($B1392="","",CHOOSE(WEEKDAY($B1392),"الأحد","الاثنين","الثلاثاء","الأربعاء","الخميس","الجمعة","السبت"))</f>
        <v/>
      </c>
      <c r="O1392" s="23">
        <f>IF(OR($K1392="",$L1392=""),"",HYPERLINK("https://maps.google.com/?q="&amp;$K1392&amp;","&amp;$L1392,"عرض الموقع"))</f>
        <v/>
      </c>
      <c r="P1392" s="23">
        <f>IF(OR($B1392="",N($J1392)=0),"",HYPERLINK(PhotoDir&amp;"/"&amp;YEAR($B1392)&amp;"-"&amp;TEXT(MONTH($B1392),"00")&amp;"-"&amp;TEXT(DAY($B1392),"00")&amp;"_"&amp;$D1392,"فتح الصور ("&amp;$J1392&amp;")"))</f>
        <v/>
      </c>
      <c r="Q1392" s="24">
        <f>IF($B1392="","",MONTH($B1392))</f>
        <v/>
      </c>
      <c r="R1392" s="24">
        <f>IF($B1392="","",YEAR($B1392))</f>
        <v/>
      </c>
      <c r="S1392" s="25">
        <f>IF($B1392="","",$B1392-WEEKDAY($B1392,3))</f>
        <v/>
      </c>
      <c r="T1392" s="24">
        <f>IF($B1392="",0,IF(COUNTIFS($B$5:$B1392,$B1392,$D$5:$D1392,$D1392)=1,1,0))</f>
        <v/>
      </c>
      <c r="U1392" s="24">
        <f>IF($B1392="",0,IF(COUNTIFS($B$5:$B1392,$B1392,$C$5:$C1392,$C1392)=1,1,0))</f>
        <v/>
      </c>
      <c r="V1392" s="24">
        <f>IF(OR($B1392="",$G1392="",$G1392="لا توجد مشاهدات"),0,1)</f>
        <v/>
      </c>
      <c r="W1392" s="24">
        <f>IF(AND($B1392&lt;&gt;"",$I1392="تم تحرير مخالفة"),1,0)</f>
        <v/>
      </c>
      <c r="X1392" s="24">
        <f>IF($B1392="","",IF($S1392=WkStart,COUNTIF($S$5:$S1392,WkStart),""))</f>
        <v/>
      </c>
    </row>
    <row r="1393">
      <c r="A1393" s="16">
        <f>IF($B1393="","",ROW()-4)</f>
        <v/>
      </c>
      <c r="B1393" s="17" t="n"/>
      <c r="C1393" s="18" t="n"/>
      <c r="D1393" s="18" t="n"/>
      <c r="E1393" s="19" t="n"/>
      <c r="F1393" s="19" t="n"/>
      <c r="G1393" s="18" t="n"/>
      <c r="H1393" s="18" t="n"/>
      <c r="I1393" s="18" t="n"/>
      <c r="J1393" s="20" t="n"/>
      <c r="K1393" s="21" t="n"/>
      <c r="L1393" s="21" t="n"/>
      <c r="M1393" s="18" t="n"/>
      <c r="N1393" s="22">
        <f>IF($B1393="","",CHOOSE(WEEKDAY($B1393),"الأحد","الاثنين","الثلاثاء","الأربعاء","الخميس","الجمعة","السبت"))</f>
        <v/>
      </c>
      <c r="O1393" s="23">
        <f>IF(OR($K1393="",$L1393=""),"",HYPERLINK("https://maps.google.com/?q="&amp;$K1393&amp;","&amp;$L1393,"عرض الموقع"))</f>
        <v/>
      </c>
      <c r="P1393" s="23">
        <f>IF(OR($B1393="",N($J1393)=0),"",HYPERLINK(PhotoDir&amp;"/"&amp;YEAR($B1393)&amp;"-"&amp;TEXT(MONTH($B1393),"00")&amp;"-"&amp;TEXT(DAY($B1393),"00")&amp;"_"&amp;$D1393,"فتح الصور ("&amp;$J1393&amp;")"))</f>
        <v/>
      </c>
      <c r="Q1393" s="24">
        <f>IF($B1393="","",MONTH($B1393))</f>
        <v/>
      </c>
      <c r="R1393" s="24">
        <f>IF($B1393="","",YEAR($B1393))</f>
        <v/>
      </c>
      <c r="S1393" s="25">
        <f>IF($B1393="","",$B1393-WEEKDAY($B1393,3))</f>
        <v/>
      </c>
      <c r="T1393" s="24">
        <f>IF($B1393="",0,IF(COUNTIFS($B$5:$B1393,$B1393,$D$5:$D1393,$D1393)=1,1,0))</f>
        <v/>
      </c>
      <c r="U1393" s="24">
        <f>IF($B1393="",0,IF(COUNTIFS($B$5:$B1393,$B1393,$C$5:$C1393,$C1393)=1,1,0))</f>
        <v/>
      </c>
      <c r="V1393" s="24">
        <f>IF(OR($B1393="",$G1393="",$G1393="لا توجد مشاهدات"),0,1)</f>
        <v/>
      </c>
      <c r="W1393" s="24">
        <f>IF(AND($B1393&lt;&gt;"",$I1393="تم تحرير مخالفة"),1,0)</f>
        <v/>
      </c>
      <c r="X1393" s="24">
        <f>IF($B1393="","",IF($S1393=WkStart,COUNTIF($S$5:$S1393,WkStart),""))</f>
        <v/>
      </c>
    </row>
    <row r="1394">
      <c r="A1394" s="16">
        <f>IF($B1394="","",ROW()-4)</f>
        <v/>
      </c>
      <c r="B1394" s="17" t="n"/>
      <c r="C1394" s="18" t="n"/>
      <c r="D1394" s="18" t="n"/>
      <c r="E1394" s="19" t="n"/>
      <c r="F1394" s="19" t="n"/>
      <c r="G1394" s="18" t="n"/>
      <c r="H1394" s="18" t="n"/>
      <c r="I1394" s="18" t="n"/>
      <c r="J1394" s="20" t="n"/>
      <c r="K1394" s="21" t="n"/>
      <c r="L1394" s="21" t="n"/>
      <c r="M1394" s="18" t="n"/>
      <c r="N1394" s="22">
        <f>IF($B1394="","",CHOOSE(WEEKDAY($B1394),"الأحد","الاثنين","الثلاثاء","الأربعاء","الخميس","الجمعة","السبت"))</f>
        <v/>
      </c>
      <c r="O1394" s="23">
        <f>IF(OR($K1394="",$L1394=""),"",HYPERLINK("https://maps.google.com/?q="&amp;$K1394&amp;","&amp;$L1394,"عرض الموقع"))</f>
        <v/>
      </c>
      <c r="P1394" s="23">
        <f>IF(OR($B1394="",N($J1394)=0),"",HYPERLINK(PhotoDir&amp;"/"&amp;YEAR($B1394)&amp;"-"&amp;TEXT(MONTH($B1394),"00")&amp;"-"&amp;TEXT(DAY($B1394),"00")&amp;"_"&amp;$D1394,"فتح الصور ("&amp;$J1394&amp;")"))</f>
        <v/>
      </c>
      <c r="Q1394" s="24">
        <f>IF($B1394="","",MONTH($B1394))</f>
        <v/>
      </c>
      <c r="R1394" s="24">
        <f>IF($B1394="","",YEAR($B1394))</f>
        <v/>
      </c>
      <c r="S1394" s="25">
        <f>IF($B1394="","",$B1394-WEEKDAY($B1394,3))</f>
        <v/>
      </c>
      <c r="T1394" s="24">
        <f>IF($B1394="",0,IF(COUNTIFS($B$5:$B1394,$B1394,$D$5:$D1394,$D1394)=1,1,0))</f>
        <v/>
      </c>
      <c r="U1394" s="24">
        <f>IF($B1394="",0,IF(COUNTIFS($B$5:$B1394,$B1394,$C$5:$C1394,$C1394)=1,1,0))</f>
        <v/>
      </c>
      <c r="V1394" s="24">
        <f>IF(OR($B1394="",$G1394="",$G1394="لا توجد مشاهدات"),0,1)</f>
        <v/>
      </c>
      <c r="W1394" s="24">
        <f>IF(AND($B1394&lt;&gt;"",$I1394="تم تحرير مخالفة"),1,0)</f>
        <v/>
      </c>
      <c r="X1394" s="24">
        <f>IF($B1394="","",IF($S1394=WkStart,COUNTIF($S$5:$S1394,WkStart),""))</f>
        <v/>
      </c>
    </row>
    <row r="1395">
      <c r="A1395" s="16">
        <f>IF($B1395="","",ROW()-4)</f>
        <v/>
      </c>
      <c r="B1395" s="17" t="n"/>
      <c r="C1395" s="18" t="n"/>
      <c r="D1395" s="18" t="n"/>
      <c r="E1395" s="19" t="n"/>
      <c r="F1395" s="19" t="n"/>
      <c r="G1395" s="18" t="n"/>
      <c r="H1395" s="18" t="n"/>
      <c r="I1395" s="18" t="n"/>
      <c r="J1395" s="20" t="n"/>
      <c r="K1395" s="21" t="n"/>
      <c r="L1395" s="21" t="n"/>
      <c r="M1395" s="18" t="n"/>
      <c r="N1395" s="22">
        <f>IF($B1395="","",CHOOSE(WEEKDAY($B1395),"الأحد","الاثنين","الثلاثاء","الأربعاء","الخميس","الجمعة","السبت"))</f>
        <v/>
      </c>
      <c r="O1395" s="23">
        <f>IF(OR($K1395="",$L1395=""),"",HYPERLINK("https://maps.google.com/?q="&amp;$K1395&amp;","&amp;$L1395,"عرض الموقع"))</f>
        <v/>
      </c>
      <c r="P1395" s="23">
        <f>IF(OR($B1395="",N($J1395)=0),"",HYPERLINK(PhotoDir&amp;"/"&amp;YEAR($B1395)&amp;"-"&amp;TEXT(MONTH($B1395),"00")&amp;"-"&amp;TEXT(DAY($B1395),"00")&amp;"_"&amp;$D1395,"فتح الصور ("&amp;$J1395&amp;")"))</f>
        <v/>
      </c>
      <c r="Q1395" s="24">
        <f>IF($B1395="","",MONTH($B1395))</f>
        <v/>
      </c>
      <c r="R1395" s="24">
        <f>IF($B1395="","",YEAR($B1395))</f>
        <v/>
      </c>
      <c r="S1395" s="25">
        <f>IF($B1395="","",$B1395-WEEKDAY($B1395,3))</f>
        <v/>
      </c>
      <c r="T1395" s="24">
        <f>IF($B1395="",0,IF(COUNTIFS($B$5:$B1395,$B1395,$D$5:$D1395,$D1395)=1,1,0))</f>
        <v/>
      </c>
      <c r="U1395" s="24">
        <f>IF($B1395="",0,IF(COUNTIFS($B$5:$B1395,$B1395,$C$5:$C1395,$C1395)=1,1,0))</f>
        <v/>
      </c>
      <c r="V1395" s="24">
        <f>IF(OR($B1395="",$G1395="",$G1395="لا توجد مشاهدات"),0,1)</f>
        <v/>
      </c>
      <c r="W1395" s="24">
        <f>IF(AND($B1395&lt;&gt;"",$I1395="تم تحرير مخالفة"),1,0)</f>
        <v/>
      </c>
      <c r="X1395" s="24">
        <f>IF($B1395="","",IF($S1395=WkStart,COUNTIF($S$5:$S1395,WkStart),""))</f>
        <v/>
      </c>
    </row>
    <row r="1396">
      <c r="A1396" s="16">
        <f>IF($B1396="","",ROW()-4)</f>
        <v/>
      </c>
      <c r="B1396" s="17" t="n"/>
      <c r="C1396" s="18" t="n"/>
      <c r="D1396" s="18" t="n"/>
      <c r="E1396" s="19" t="n"/>
      <c r="F1396" s="19" t="n"/>
      <c r="G1396" s="18" t="n"/>
      <c r="H1396" s="18" t="n"/>
      <c r="I1396" s="18" t="n"/>
      <c r="J1396" s="20" t="n"/>
      <c r="K1396" s="21" t="n"/>
      <c r="L1396" s="21" t="n"/>
      <c r="M1396" s="18" t="n"/>
      <c r="N1396" s="22">
        <f>IF($B1396="","",CHOOSE(WEEKDAY($B1396),"الأحد","الاثنين","الثلاثاء","الأربعاء","الخميس","الجمعة","السبت"))</f>
        <v/>
      </c>
      <c r="O1396" s="23">
        <f>IF(OR($K1396="",$L1396=""),"",HYPERLINK("https://maps.google.com/?q="&amp;$K1396&amp;","&amp;$L1396,"عرض الموقع"))</f>
        <v/>
      </c>
      <c r="P1396" s="23">
        <f>IF(OR($B1396="",N($J1396)=0),"",HYPERLINK(PhotoDir&amp;"/"&amp;YEAR($B1396)&amp;"-"&amp;TEXT(MONTH($B1396),"00")&amp;"-"&amp;TEXT(DAY($B1396),"00")&amp;"_"&amp;$D1396,"فتح الصور ("&amp;$J1396&amp;")"))</f>
        <v/>
      </c>
      <c r="Q1396" s="24">
        <f>IF($B1396="","",MONTH($B1396))</f>
        <v/>
      </c>
      <c r="R1396" s="24">
        <f>IF($B1396="","",YEAR($B1396))</f>
        <v/>
      </c>
      <c r="S1396" s="25">
        <f>IF($B1396="","",$B1396-WEEKDAY($B1396,3))</f>
        <v/>
      </c>
      <c r="T1396" s="24">
        <f>IF($B1396="",0,IF(COUNTIFS($B$5:$B1396,$B1396,$D$5:$D1396,$D1396)=1,1,0))</f>
        <v/>
      </c>
      <c r="U1396" s="24">
        <f>IF($B1396="",0,IF(COUNTIFS($B$5:$B1396,$B1396,$C$5:$C1396,$C1396)=1,1,0))</f>
        <v/>
      </c>
      <c r="V1396" s="24">
        <f>IF(OR($B1396="",$G1396="",$G1396="لا توجد مشاهدات"),0,1)</f>
        <v/>
      </c>
      <c r="W1396" s="24">
        <f>IF(AND($B1396&lt;&gt;"",$I1396="تم تحرير مخالفة"),1,0)</f>
        <v/>
      </c>
      <c r="X1396" s="24">
        <f>IF($B1396="","",IF($S1396=WkStart,COUNTIF($S$5:$S1396,WkStart),""))</f>
        <v/>
      </c>
    </row>
    <row r="1397">
      <c r="A1397" s="16">
        <f>IF($B1397="","",ROW()-4)</f>
        <v/>
      </c>
      <c r="B1397" s="17" t="n"/>
      <c r="C1397" s="18" t="n"/>
      <c r="D1397" s="18" t="n"/>
      <c r="E1397" s="19" t="n"/>
      <c r="F1397" s="19" t="n"/>
      <c r="G1397" s="18" t="n"/>
      <c r="H1397" s="18" t="n"/>
      <c r="I1397" s="18" t="n"/>
      <c r="J1397" s="20" t="n"/>
      <c r="K1397" s="21" t="n"/>
      <c r="L1397" s="21" t="n"/>
      <c r="M1397" s="18" t="n"/>
      <c r="N1397" s="22">
        <f>IF($B1397="","",CHOOSE(WEEKDAY($B1397),"الأحد","الاثنين","الثلاثاء","الأربعاء","الخميس","الجمعة","السبت"))</f>
        <v/>
      </c>
      <c r="O1397" s="23">
        <f>IF(OR($K1397="",$L1397=""),"",HYPERLINK("https://maps.google.com/?q="&amp;$K1397&amp;","&amp;$L1397,"عرض الموقع"))</f>
        <v/>
      </c>
      <c r="P1397" s="23">
        <f>IF(OR($B1397="",N($J1397)=0),"",HYPERLINK(PhotoDir&amp;"/"&amp;YEAR($B1397)&amp;"-"&amp;TEXT(MONTH($B1397),"00")&amp;"-"&amp;TEXT(DAY($B1397),"00")&amp;"_"&amp;$D1397,"فتح الصور ("&amp;$J1397&amp;")"))</f>
        <v/>
      </c>
      <c r="Q1397" s="24">
        <f>IF($B1397="","",MONTH($B1397))</f>
        <v/>
      </c>
      <c r="R1397" s="24">
        <f>IF($B1397="","",YEAR($B1397))</f>
        <v/>
      </c>
      <c r="S1397" s="25">
        <f>IF($B1397="","",$B1397-WEEKDAY($B1397,3))</f>
        <v/>
      </c>
      <c r="T1397" s="24">
        <f>IF($B1397="",0,IF(COUNTIFS($B$5:$B1397,$B1397,$D$5:$D1397,$D1397)=1,1,0))</f>
        <v/>
      </c>
      <c r="U1397" s="24">
        <f>IF($B1397="",0,IF(COUNTIFS($B$5:$B1397,$B1397,$C$5:$C1397,$C1397)=1,1,0))</f>
        <v/>
      </c>
      <c r="V1397" s="24">
        <f>IF(OR($B1397="",$G1397="",$G1397="لا توجد مشاهدات"),0,1)</f>
        <v/>
      </c>
      <c r="W1397" s="24">
        <f>IF(AND($B1397&lt;&gt;"",$I1397="تم تحرير مخالفة"),1,0)</f>
        <v/>
      </c>
      <c r="X1397" s="24">
        <f>IF($B1397="","",IF($S1397=WkStart,COUNTIF($S$5:$S1397,WkStart),""))</f>
        <v/>
      </c>
    </row>
    <row r="1398">
      <c r="A1398" s="16">
        <f>IF($B1398="","",ROW()-4)</f>
        <v/>
      </c>
      <c r="B1398" s="17" t="n"/>
      <c r="C1398" s="18" t="n"/>
      <c r="D1398" s="18" t="n"/>
      <c r="E1398" s="19" t="n"/>
      <c r="F1398" s="19" t="n"/>
      <c r="G1398" s="18" t="n"/>
      <c r="H1398" s="18" t="n"/>
      <c r="I1398" s="18" t="n"/>
      <c r="J1398" s="20" t="n"/>
      <c r="K1398" s="21" t="n"/>
      <c r="L1398" s="21" t="n"/>
      <c r="M1398" s="18" t="n"/>
      <c r="N1398" s="22">
        <f>IF($B1398="","",CHOOSE(WEEKDAY($B1398),"الأحد","الاثنين","الثلاثاء","الأربعاء","الخميس","الجمعة","السبت"))</f>
        <v/>
      </c>
      <c r="O1398" s="23">
        <f>IF(OR($K1398="",$L1398=""),"",HYPERLINK("https://maps.google.com/?q="&amp;$K1398&amp;","&amp;$L1398,"عرض الموقع"))</f>
        <v/>
      </c>
      <c r="P1398" s="23">
        <f>IF(OR($B1398="",N($J1398)=0),"",HYPERLINK(PhotoDir&amp;"/"&amp;YEAR($B1398)&amp;"-"&amp;TEXT(MONTH($B1398),"00")&amp;"-"&amp;TEXT(DAY($B1398),"00")&amp;"_"&amp;$D1398,"فتح الصور ("&amp;$J1398&amp;")"))</f>
        <v/>
      </c>
      <c r="Q1398" s="24">
        <f>IF($B1398="","",MONTH($B1398))</f>
        <v/>
      </c>
      <c r="R1398" s="24">
        <f>IF($B1398="","",YEAR($B1398))</f>
        <v/>
      </c>
      <c r="S1398" s="25">
        <f>IF($B1398="","",$B1398-WEEKDAY($B1398,3))</f>
        <v/>
      </c>
      <c r="T1398" s="24">
        <f>IF($B1398="",0,IF(COUNTIFS($B$5:$B1398,$B1398,$D$5:$D1398,$D1398)=1,1,0))</f>
        <v/>
      </c>
      <c r="U1398" s="24">
        <f>IF($B1398="",0,IF(COUNTIFS($B$5:$B1398,$B1398,$C$5:$C1398,$C1398)=1,1,0))</f>
        <v/>
      </c>
      <c r="V1398" s="24">
        <f>IF(OR($B1398="",$G1398="",$G1398="لا توجد مشاهدات"),0,1)</f>
        <v/>
      </c>
      <c r="W1398" s="24">
        <f>IF(AND($B1398&lt;&gt;"",$I1398="تم تحرير مخالفة"),1,0)</f>
        <v/>
      </c>
      <c r="X1398" s="24">
        <f>IF($B1398="","",IF($S1398=WkStart,COUNTIF($S$5:$S1398,WkStart),""))</f>
        <v/>
      </c>
    </row>
    <row r="1399">
      <c r="A1399" s="16">
        <f>IF($B1399="","",ROW()-4)</f>
        <v/>
      </c>
      <c r="B1399" s="17" t="n"/>
      <c r="C1399" s="18" t="n"/>
      <c r="D1399" s="18" t="n"/>
      <c r="E1399" s="19" t="n"/>
      <c r="F1399" s="19" t="n"/>
      <c r="G1399" s="18" t="n"/>
      <c r="H1399" s="18" t="n"/>
      <c r="I1399" s="18" t="n"/>
      <c r="J1399" s="20" t="n"/>
      <c r="K1399" s="21" t="n"/>
      <c r="L1399" s="21" t="n"/>
      <c r="M1399" s="18" t="n"/>
      <c r="N1399" s="22">
        <f>IF($B1399="","",CHOOSE(WEEKDAY($B1399),"الأحد","الاثنين","الثلاثاء","الأربعاء","الخميس","الجمعة","السبت"))</f>
        <v/>
      </c>
      <c r="O1399" s="23">
        <f>IF(OR($K1399="",$L1399=""),"",HYPERLINK("https://maps.google.com/?q="&amp;$K1399&amp;","&amp;$L1399,"عرض الموقع"))</f>
        <v/>
      </c>
      <c r="P1399" s="23">
        <f>IF(OR($B1399="",N($J1399)=0),"",HYPERLINK(PhotoDir&amp;"/"&amp;YEAR($B1399)&amp;"-"&amp;TEXT(MONTH($B1399),"00")&amp;"-"&amp;TEXT(DAY($B1399),"00")&amp;"_"&amp;$D1399,"فتح الصور ("&amp;$J1399&amp;")"))</f>
        <v/>
      </c>
      <c r="Q1399" s="24">
        <f>IF($B1399="","",MONTH($B1399))</f>
        <v/>
      </c>
      <c r="R1399" s="24">
        <f>IF($B1399="","",YEAR($B1399))</f>
        <v/>
      </c>
      <c r="S1399" s="25">
        <f>IF($B1399="","",$B1399-WEEKDAY($B1399,3))</f>
        <v/>
      </c>
      <c r="T1399" s="24">
        <f>IF($B1399="",0,IF(COUNTIFS($B$5:$B1399,$B1399,$D$5:$D1399,$D1399)=1,1,0))</f>
        <v/>
      </c>
      <c r="U1399" s="24">
        <f>IF($B1399="",0,IF(COUNTIFS($B$5:$B1399,$B1399,$C$5:$C1399,$C1399)=1,1,0))</f>
        <v/>
      </c>
      <c r="V1399" s="24">
        <f>IF(OR($B1399="",$G1399="",$G1399="لا توجد مشاهدات"),0,1)</f>
        <v/>
      </c>
      <c r="W1399" s="24">
        <f>IF(AND($B1399&lt;&gt;"",$I1399="تم تحرير مخالفة"),1,0)</f>
        <v/>
      </c>
      <c r="X1399" s="24">
        <f>IF($B1399="","",IF($S1399=WkStart,COUNTIF($S$5:$S1399,WkStart),""))</f>
        <v/>
      </c>
    </row>
    <row r="1400">
      <c r="A1400" s="16">
        <f>IF($B1400="","",ROW()-4)</f>
        <v/>
      </c>
      <c r="B1400" s="17" t="n"/>
      <c r="C1400" s="18" t="n"/>
      <c r="D1400" s="18" t="n"/>
      <c r="E1400" s="19" t="n"/>
      <c r="F1400" s="19" t="n"/>
      <c r="G1400" s="18" t="n"/>
      <c r="H1400" s="18" t="n"/>
      <c r="I1400" s="18" t="n"/>
      <c r="J1400" s="20" t="n"/>
      <c r="K1400" s="21" t="n"/>
      <c r="L1400" s="21" t="n"/>
      <c r="M1400" s="18" t="n"/>
      <c r="N1400" s="22">
        <f>IF($B1400="","",CHOOSE(WEEKDAY($B1400),"الأحد","الاثنين","الثلاثاء","الأربعاء","الخميس","الجمعة","السبت"))</f>
        <v/>
      </c>
      <c r="O1400" s="23">
        <f>IF(OR($K1400="",$L1400=""),"",HYPERLINK("https://maps.google.com/?q="&amp;$K1400&amp;","&amp;$L1400,"عرض الموقع"))</f>
        <v/>
      </c>
      <c r="P1400" s="23">
        <f>IF(OR($B1400="",N($J1400)=0),"",HYPERLINK(PhotoDir&amp;"/"&amp;YEAR($B1400)&amp;"-"&amp;TEXT(MONTH($B1400),"00")&amp;"-"&amp;TEXT(DAY($B1400),"00")&amp;"_"&amp;$D1400,"فتح الصور ("&amp;$J1400&amp;")"))</f>
        <v/>
      </c>
      <c r="Q1400" s="24">
        <f>IF($B1400="","",MONTH($B1400))</f>
        <v/>
      </c>
      <c r="R1400" s="24">
        <f>IF($B1400="","",YEAR($B1400))</f>
        <v/>
      </c>
      <c r="S1400" s="25">
        <f>IF($B1400="","",$B1400-WEEKDAY($B1400,3))</f>
        <v/>
      </c>
      <c r="T1400" s="24">
        <f>IF($B1400="",0,IF(COUNTIFS($B$5:$B1400,$B1400,$D$5:$D1400,$D1400)=1,1,0))</f>
        <v/>
      </c>
      <c r="U1400" s="24">
        <f>IF($B1400="",0,IF(COUNTIFS($B$5:$B1400,$B1400,$C$5:$C1400,$C1400)=1,1,0))</f>
        <v/>
      </c>
      <c r="V1400" s="24">
        <f>IF(OR($B1400="",$G1400="",$G1400="لا توجد مشاهدات"),0,1)</f>
        <v/>
      </c>
      <c r="W1400" s="24">
        <f>IF(AND($B1400&lt;&gt;"",$I1400="تم تحرير مخالفة"),1,0)</f>
        <v/>
      </c>
      <c r="X1400" s="24">
        <f>IF($B1400="","",IF($S1400=WkStart,COUNTIF($S$5:$S1400,WkStart),""))</f>
        <v/>
      </c>
    </row>
    <row r="1401">
      <c r="A1401" s="16">
        <f>IF($B1401="","",ROW()-4)</f>
        <v/>
      </c>
      <c r="B1401" s="17" t="n"/>
      <c r="C1401" s="18" t="n"/>
      <c r="D1401" s="18" t="n"/>
      <c r="E1401" s="19" t="n"/>
      <c r="F1401" s="19" t="n"/>
      <c r="G1401" s="18" t="n"/>
      <c r="H1401" s="18" t="n"/>
      <c r="I1401" s="18" t="n"/>
      <c r="J1401" s="20" t="n"/>
      <c r="K1401" s="21" t="n"/>
      <c r="L1401" s="21" t="n"/>
      <c r="M1401" s="18" t="n"/>
      <c r="N1401" s="22">
        <f>IF($B1401="","",CHOOSE(WEEKDAY($B1401),"الأحد","الاثنين","الثلاثاء","الأربعاء","الخميس","الجمعة","السبت"))</f>
        <v/>
      </c>
      <c r="O1401" s="23">
        <f>IF(OR($K1401="",$L1401=""),"",HYPERLINK("https://maps.google.com/?q="&amp;$K1401&amp;","&amp;$L1401,"عرض الموقع"))</f>
        <v/>
      </c>
      <c r="P1401" s="23">
        <f>IF(OR($B1401="",N($J1401)=0),"",HYPERLINK(PhotoDir&amp;"/"&amp;YEAR($B1401)&amp;"-"&amp;TEXT(MONTH($B1401),"00")&amp;"-"&amp;TEXT(DAY($B1401),"00")&amp;"_"&amp;$D1401,"فتح الصور ("&amp;$J1401&amp;")"))</f>
        <v/>
      </c>
      <c r="Q1401" s="24">
        <f>IF($B1401="","",MONTH($B1401))</f>
        <v/>
      </c>
      <c r="R1401" s="24">
        <f>IF($B1401="","",YEAR($B1401))</f>
        <v/>
      </c>
      <c r="S1401" s="25">
        <f>IF($B1401="","",$B1401-WEEKDAY($B1401,3))</f>
        <v/>
      </c>
      <c r="T1401" s="24">
        <f>IF($B1401="",0,IF(COUNTIFS($B$5:$B1401,$B1401,$D$5:$D1401,$D1401)=1,1,0))</f>
        <v/>
      </c>
      <c r="U1401" s="24">
        <f>IF($B1401="",0,IF(COUNTIFS($B$5:$B1401,$B1401,$C$5:$C1401,$C1401)=1,1,0))</f>
        <v/>
      </c>
      <c r="V1401" s="24">
        <f>IF(OR($B1401="",$G1401="",$G1401="لا توجد مشاهدات"),0,1)</f>
        <v/>
      </c>
      <c r="W1401" s="24">
        <f>IF(AND($B1401&lt;&gt;"",$I1401="تم تحرير مخالفة"),1,0)</f>
        <v/>
      </c>
      <c r="X1401" s="24">
        <f>IF($B1401="","",IF($S1401=WkStart,COUNTIF($S$5:$S1401,WkStart),""))</f>
        <v/>
      </c>
    </row>
    <row r="1402">
      <c r="A1402" s="16">
        <f>IF($B1402="","",ROW()-4)</f>
        <v/>
      </c>
      <c r="B1402" s="17" t="n"/>
      <c r="C1402" s="18" t="n"/>
      <c r="D1402" s="18" t="n"/>
      <c r="E1402" s="19" t="n"/>
      <c r="F1402" s="19" t="n"/>
      <c r="G1402" s="18" t="n"/>
      <c r="H1402" s="18" t="n"/>
      <c r="I1402" s="18" t="n"/>
      <c r="J1402" s="20" t="n"/>
      <c r="K1402" s="21" t="n"/>
      <c r="L1402" s="21" t="n"/>
      <c r="M1402" s="18" t="n"/>
      <c r="N1402" s="22">
        <f>IF($B1402="","",CHOOSE(WEEKDAY($B1402),"الأحد","الاثنين","الثلاثاء","الأربعاء","الخميس","الجمعة","السبت"))</f>
        <v/>
      </c>
      <c r="O1402" s="23">
        <f>IF(OR($K1402="",$L1402=""),"",HYPERLINK("https://maps.google.com/?q="&amp;$K1402&amp;","&amp;$L1402,"عرض الموقع"))</f>
        <v/>
      </c>
      <c r="P1402" s="23">
        <f>IF(OR($B1402="",N($J1402)=0),"",HYPERLINK(PhotoDir&amp;"/"&amp;YEAR($B1402)&amp;"-"&amp;TEXT(MONTH($B1402),"00")&amp;"-"&amp;TEXT(DAY($B1402),"00")&amp;"_"&amp;$D1402,"فتح الصور ("&amp;$J1402&amp;")"))</f>
        <v/>
      </c>
      <c r="Q1402" s="24">
        <f>IF($B1402="","",MONTH($B1402))</f>
        <v/>
      </c>
      <c r="R1402" s="24">
        <f>IF($B1402="","",YEAR($B1402))</f>
        <v/>
      </c>
      <c r="S1402" s="25">
        <f>IF($B1402="","",$B1402-WEEKDAY($B1402,3))</f>
        <v/>
      </c>
      <c r="T1402" s="24">
        <f>IF($B1402="",0,IF(COUNTIFS($B$5:$B1402,$B1402,$D$5:$D1402,$D1402)=1,1,0))</f>
        <v/>
      </c>
      <c r="U1402" s="24">
        <f>IF($B1402="",0,IF(COUNTIFS($B$5:$B1402,$B1402,$C$5:$C1402,$C1402)=1,1,0))</f>
        <v/>
      </c>
      <c r="V1402" s="24">
        <f>IF(OR($B1402="",$G1402="",$G1402="لا توجد مشاهدات"),0,1)</f>
        <v/>
      </c>
      <c r="W1402" s="24">
        <f>IF(AND($B1402&lt;&gt;"",$I1402="تم تحرير مخالفة"),1,0)</f>
        <v/>
      </c>
      <c r="X1402" s="24">
        <f>IF($B1402="","",IF($S1402=WkStart,COUNTIF($S$5:$S1402,WkStart),""))</f>
        <v/>
      </c>
    </row>
    <row r="1403">
      <c r="A1403" s="16">
        <f>IF($B1403="","",ROW()-4)</f>
        <v/>
      </c>
      <c r="B1403" s="17" t="n"/>
      <c r="C1403" s="18" t="n"/>
      <c r="D1403" s="18" t="n"/>
      <c r="E1403" s="19" t="n"/>
      <c r="F1403" s="19" t="n"/>
      <c r="G1403" s="18" t="n"/>
      <c r="H1403" s="18" t="n"/>
      <c r="I1403" s="18" t="n"/>
      <c r="J1403" s="20" t="n"/>
      <c r="K1403" s="21" t="n"/>
      <c r="L1403" s="21" t="n"/>
      <c r="M1403" s="18" t="n"/>
      <c r="N1403" s="22">
        <f>IF($B1403="","",CHOOSE(WEEKDAY($B1403),"الأحد","الاثنين","الثلاثاء","الأربعاء","الخميس","الجمعة","السبت"))</f>
        <v/>
      </c>
      <c r="O1403" s="23">
        <f>IF(OR($K1403="",$L1403=""),"",HYPERLINK("https://maps.google.com/?q="&amp;$K1403&amp;","&amp;$L1403,"عرض الموقع"))</f>
        <v/>
      </c>
      <c r="P1403" s="23">
        <f>IF(OR($B1403="",N($J1403)=0),"",HYPERLINK(PhotoDir&amp;"/"&amp;YEAR($B1403)&amp;"-"&amp;TEXT(MONTH($B1403),"00")&amp;"-"&amp;TEXT(DAY($B1403),"00")&amp;"_"&amp;$D1403,"فتح الصور ("&amp;$J1403&amp;")"))</f>
        <v/>
      </c>
      <c r="Q1403" s="24">
        <f>IF($B1403="","",MONTH($B1403))</f>
        <v/>
      </c>
      <c r="R1403" s="24">
        <f>IF($B1403="","",YEAR($B1403))</f>
        <v/>
      </c>
      <c r="S1403" s="25">
        <f>IF($B1403="","",$B1403-WEEKDAY($B1403,3))</f>
        <v/>
      </c>
      <c r="T1403" s="24">
        <f>IF($B1403="",0,IF(COUNTIFS($B$5:$B1403,$B1403,$D$5:$D1403,$D1403)=1,1,0))</f>
        <v/>
      </c>
      <c r="U1403" s="24">
        <f>IF($B1403="",0,IF(COUNTIFS($B$5:$B1403,$B1403,$C$5:$C1403,$C1403)=1,1,0))</f>
        <v/>
      </c>
      <c r="V1403" s="24">
        <f>IF(OR($B1403="",$G1403="",$G1403="لا توجد مشاهدات"),0,1)</f>
        <v/>
      </c>
      <c r="W1403" s="24">
        <f>IF(AND($B1403&lt;&gt;"",$I1403="تم تحرير مخالفة"),1,0)</f>
        <v/>
      </c>
      <c r="X1403" s="24">
        <f>IF($B1403="","",IF($S1403=WkStart,COUNTIF($S$5:$S1403,WkStart),""))</f>
        <v/>
      </c>
    </row>
    <row r="1404">
      <c r="A1404" s="16">
        <f>IF($B1404="","",ROW()-4)</f>
        <v/>
      </c>
      <c r="B1404" s="17" t="n"/>
      <c r="C1404" s="18" t="n"/>
      <c r="D1404" s="18" t="n"/>
      <c r="E1404" s="19" t="n"/>
      <c r="F1404" s="19" t="n"/>
      <c r="G1404" s="18" t="n"/>
      <c r="H1404" s="18" t="n"/>
      <c r="I1404" s="18" t="n"/>
      <c r="J1404" s="20" t="n"/>
      <c r="K1404" s="21" t="n"/>
      <c r="L1404" s="21" t="n"/>
      <c r="M1404" s="18" t="n"/>
      <c r="N1404" s="22">
        <f>IF($B1404="","",CHOOSE(WEEKDAY($B1404),"الأحد","الاثنين","الثلاثاء","الأربعاء","الخميس","الجمعة","السبت"))</f>
        <v/>
      </c>
      <c r="O1404" s="23">
        <f>IF(OR($K1404="",$L1404=""),"",HYPERLINK("https://maps.google.com/?q="&amp;$K1404&amp;","&amp;$L1404,"عرض الموقع"))</f>
        <v/>
      </c>
      <c r="P1404" s="23">
        <f>IF(OR($B1404="",N($J1404)=0),"",HYPERLINK(PhotoDir&amp;"/"&amp;YEAR($B1404)&amp;"-"&amp;TEXT(MONTH($B1404),"00")&amp;"-"&amp;TEXT(DAY($B1404),"00")&amp;"_"&amp;$D1404,"فتح الصور ("&amp;$J1404&amp;")"))</f>
        <v/>
      </c>
      <c r="Q1404" s="24">
        <f>IF($B1404="","",MONTH($B1404))</f>
        <v/>
      </c>
      <c r="R1404" s="24">
        <f>IF($B1404="","",YEAR($B1404))</f>
        <v/>
      </c>
      <c r="S1404" s="25">
        <f>IF($B1404="","",$B1404-WEEKDAY($B1404,3))</f>
        <v/>
      </c>
      <c r="T1404" s="24">
        <f>IF($B1404="",0,IF(COUNTIFS($B$5:$B1404,$B1404,$D$5:$D1404,$D1404)=1,1,0))</f>
        <v/>
      </c>
      <c r="U1404" s="24">
        <f>IF($B1404="",0,IF(COUNTIFS($B$5:$B1404,$B1404,$C$5:$C1404,$C1404)=1,1,0))</f>
        <v/>
      </c>
      <c r="V1404" s="24">
        <f>IF(OR($B1404="",$G1404="",$G1404="لا توجد مشاهدات"),0,1)</f>
        <v/>
      </c>
      <c r="W1404" s="24">
        <f>IF(AND($B1404&lt;&gt;"",$I1404="تم تحرير مخالفة"),1,0)</f>
        <v/>
      </c>
      <c r="X1404" s="24">
        <f>IF($B1404="","",IF($S1404=WkStart,COUNTIF($S$5:$S1404,WkStart),""))</f>
        <v/>
      </c>
    </row>
    <row r="1405">
      <c r="A1405" s="16">
        <f>IF($B1405="","",ROW()-4)</f>
        <v/>
      </c>
      <c r="B1405" s="17" t="n"/>
      <c r="C1405" s="18" t="n"/>
      <c r="D1405" s="18" t="n"/>
      <c r="E1405" s="19" t="n"/>
      <c r="F1405" s="19" t="n"/>
      <c r="G1405" s="18" t="n"/>
      <c r="H1405" s="18" t="n"/>
      <c r="I1405" s="18" t="n"/>
      <c r="J1405" s="20" t="n"/>
      <c r="K1405" s="21" t="n"/>
      <c r="L1405" s="21" t="n"/>
      <c r="M1405" s="18" t="n"/>
      <c r="N1405" s="22">
        <f>IF($B1405="","",CHOOSE(WEEKDAY($B1405),"الأحد","الاثنين","الثلاثاء","الأربعاء","الخميس","الجمعة","السبت"))</f>
        <v/>
      </c>
      <c r="O1405" s="23">
        <f>IF(OR($K1405="",$L1405=""),"",HYPERLINK("https://maps.google.com/?q="&amp;$K1405&amp;","&amp;$L1405,"عرض الموقع"))</f>
        <v/>
      </c>
      <c r="P1405" s="23">
        <f>IF(OR($B1405="",N($J1405)=0),"",HYPERLINK(PhotoDir&amp;"/"&amp;YEAR($B1405)&amp;"-"&amp;TEXT(MONTH($B1405),"00")&amp;"-"&amp;TEXT(DAY($B1405),"00")&amp;"_"&amp;$D1405,"فتح الصور ("&amp;$J1405&amp;")"))</f>
        <v/>
      </c>
      <c r="Q1405" s="24">
        <f>IF($B1405="","",MONTH($B1405))</f>
        <v/>
      </c>
      <c r="R1405" s="24">
        <f>IF($B1405="","",YEAR($B1405))</f>
        <v/>
      </c>
      <c r="S1405" s="25">
        <f>IF($B1405="","",$B1405-WEEKDAY($B1405,3))</f>
        <v/>
      </c>
      <c r="T1405" s="24">
        <f>IF($B1405="",0,IF(COUNTIFS($B$5:$B1405,$B1405,$D$5:$D1405,$D1405)=1,1,0))</f>
        <v/>
      </c>
      <c r="U1405" s="24">
        <f>IF($B1405="",0,IF(COUNTIFS($B$5:$B1405,$B1405,$C$5:$C1405,$C1405)=1,1,0))</f>
        <v/>
      </c>
      <c r="V1405" s="24">
        <f>IF(OR($B1405="",$G1405="",$G1405="لا توجد مشاهدات"),0,1)</f>
        <v/>
      </c>
      <c r="W1405" s="24">
        <f>IF(AND($B1405&lt;&gt;"",$I1405="تم تحرير مخالفة"),1,0)</f>
        <v/>
      </c>
      <c r="X1405" s="24">
        <f>IF($B1405="","",IF($S1405=WkStart,COUNTIF($S$5:$S1405,WkStart),""))</f>
        <v/>
      </c>
    </row>
    <row r="1406">
      <c r="A1406" s="16">
        <f>IF($B1406="","",ROW()-4)</f>
        <v/>
      </c>
      <c r="B1406" s="17" t="n"/>
      <c r="C1406" s="18" t="n"/>
      <c r="D1406" s="18" t="n"/>
      <c r="E1406" s="19" t="n"/>
      <c r="F1406" s="19" t="n"/>
      <c r="G1406" s="18" t="n"/>
      <c r="H1406" s="18" t="n"/>
      <c r="I1406" s="18" t="n"/>
      <c r="J1406" s="20" t="n"/>
      <c r="K1406" s="21" t="n"/>
      <c r="L1406" s="21" t="n"/>
      <c r="M1406" s="18" t="n"/>
      <c r="N1406" s="22">
        <f>IF($B1406="","",CHOOSE(WEEKDAY($B1406),"الأحد","الاثنين","الثلاثاء","الأربعاء","الخميس","الجمعة","السبت"))</f>
        <v/>
      </c>
      <c r="O1406" s="23">
        <f>IF(OR($K1406="",$L1406=""),"",HYPERLINK("https://maps.google.com/?q="&amp;$K1406&amp;","&amp;$L1406,"عرض الموقع"))</f>
        <v/>
      </c>
      <c r="P1406" s="23">
        <f>IF(OR($B1406="",N($J1406)=0),"",HYPERLINK(PhotoDir&amp;"/"&amp;YEAR($B1406)&amp;"-"&amp;TEXT(MONTH($B1406),"00")&amp;"-"&amp;TEXT(DAY($B1406),"00")&amp;"_"&amp;$D1406,"فتح الصور ("&amp;$J1406&amp;")"))</f>
        <v/>
      </c>
      <c r="Q1406" s="24">
        <f>IF($B1406="","",MONTH($B1406))</f>
        <v/>
      </c>
      <c r="R1406" s="24">
        <f>IF($B1406="","",YEAR($B1406))</f>
        <v/>
      </c>
      <c r="S1406" s="25">
        <f>IF($B1406="","",$B1406-WEEKDAY($B1406,3))</f>
        <v/>
      </c>
      <c r="T1406" s="24">
        <f>IF($B1406="",0,IF(COUNTIFS($B$5:$B1406,$B1406,$D$5:$D1406,$D1406)=1,1,0))</f>
        <v/>
      </c>
      <c r="U1406" s="24">
        <f>IF($B1406="",0,IF(COUNTIFS($B$5:$B1406,$B1406,$C$5:$C1406,$C1406)=1,1,0))</f>
        <v/>
      </c>
      <c r="V1406" s="24">
        <f>IF(OR($B1406="",$G1406="",$G1406="لا توجد مشاهدات"),0,1)</f>
        <v/>
      </c>
      <c r="W1406" s="24">
        <f>IF(AND($B1406&lt;&gt;"",$I1406="تم تحرير مخالفة"),1,0)</f>
        <v/>
      </c>
      <c r="X1406" s="24">
        <f>IF($B1406="","",IF($S1406=WkStart,COUNTIF($S$5:$S1406,WkStart),""))</f>
        <v/>
      </c>
    </row>
    <row r="1407">
      <c r="A1407" s="16">
        <f>IF($B1407="","",ROW()-4)</f>
        <v/>
      </c>
      <c r="B1407" s="17" t="n"/>
      <c r="C1407" s="18" t="n"/>
      <c r="D1407" s="18" t="n"/>
      <c r="E1407" s="19" t="n"/>
      <c r="F1407" s="19" t="n"/>
      <c r="G1407" s="18" t="n"/>
      <c r="H1407" s="18" t="n"/>
      <c r="I1407" s="18" t="n"/>
      <c r="J1407" s="20" t="n"/>
      <c r="K1407" s="21" t="n"/>
      <c r="L1407" s="21" t="n"/>
      <c r="M1407" s="18" t="n"/>
      <c r="N1407" s="22">
        <f>IF($B1407="","",CHOOSE(WEEKDAY($B1407),"الأحد","الاثنين","الثلاثاء","الأربعاء","الخميس","الجمعة","السبت"))</f>
        <v/>
      </c>
      <c r="O1407" s="23">
        <f>IF(OR($K1407="",$L1407=""),"",HYPERLINK("https://maps.google.com/?q="&amp;$K1407&amp;","&amp;$L1407,"عرض الموقع"))</f>
        <v/>
      </c>
      <c r="P1407" s="23">
        <f>IF(OR($B1407="",N($J1407)=0),"",HYPERLINK(PhotoDir&amp;"/"&amp;YEAR($B1407)&amp;"-"&amp;TEXT(MONTH($B1407),"00")&amp;"-"&amp;TEXT(DAY($B1407),"00")&amp;"_"&amp;$D1407,"فتح الصور ("&amp;$J1407&amp;")"))</f>
        <v/>
      </c>
      <c r="Q1407" s="24">
        <f>IF($B1407="","",MONTH($B1407))</f>
        <v/>
      </c>
      <c r="R1407" s="24">
        <f>IF($B1407="","",YEAR($B1407))</f>
        <v/>
      </c>
      <c r="S1407" s="25">
        <f>IF($B1407="","",$B1407-WEEKDAY($B1407,3))</f>
        <v/>
      </c>
      <c r="T1407" s="24">
        <f>IF($B1407="",0,IF(COUNTIFS($B$5:$B1407,$B1407,$D$5:$D1407,$D1407)=1,1,0))</f>
        <v/>
      </c>
      <c r="U1407" s="24">
        <f>IF($B1407="",0,IF(COUNTIFS($B$5:$B1407,$B1407,$C$5:$C1407,$C1407)=1,1,0))</f>
        <v/>
      </c>
      <c r="V1407" s="24">
        <f>IF(OR($B1407="",$G1407="",$G1407="لا توجد مشاهدات"),0,1)</f>
        <v/>
      </c>
      <c r="W1407" s="24">
        <f>IF(AND($B1407&lt;&gt;"",$I1407="تم تحرير مخالفة"),1,0)</f>
        <v/>
      </c>
      <c r="X1407" s="24">
        <f>IF($B1407="","",IF($S1407=WkStart,COUNTIF($S$5:$S1407,WkStart),""))</f>
        <v/>
      </c>
    </row>
    <row r="1408">
      <c r="A1408" s="16">
        <f>IF($B1408="","",ROW()-4)</f>
        <v/>
      </c>
      <c r="B1408" s="17" t="n"/>
      <c r="C1408" s="18" t="n"/>
      <c r="D1408" s="18" t="n"/>
      <c r="E1408" s="19" t="n"/>
      <c r="F1408" s="19" t="n"/>
      <c r="G1408" s="18" t="n"/>
      <c r="H1408" s="18" t="n"/>
      <c r="I1408" s="18" t="n"/>
      <c r="J1408" s="20" t="n"/>
      <c r="K1408" s="21" t="n"/>
      <c r="L1408" s="21" t="n"/>
      <c r="M1408" s="18" t="n"/>
      <c r="N1408" s="22">
        <f>IF($B1408="","",CHOOSE(WEEKDAY($B1408),"الأحد","الاثنين","الثلاثاء","الأربعاء","الخميس","الجمعة","السبت"))</f>
        <v/>
      </c>
      <c r="O1408" s="23">
        <f>IF(OR($K1408="",$L1408=""),"",HYPERLINK("https://maps.google.com/?q="&amp;$K1408&amp;","&amp;$L1408,"عرض الموقع"))</f>
        <v/>
      </c>
      <c r="P1408" s="23">
        <f>IF(OR($B1408="",N($J1408)=0),"",HYPERLINK(PhotoDir&amp;"/"&amp;YEAR($B1408)&amp;"-"&amp;TEXT(MONTH($B1408),"00")&amp;"-"&amp;TEXT(DAY($B1408),"00")&amp;"_"&amp;$D1408,"فتح الصور ("&amp;$J1408&amp;")"))</f>
        <v/>
      </c>
      <c r="Q1408" s="24">
        <f>IF($B1408="","",MONTH($B1408))</f>
        <v/>
      </c>
      <c r="R1408" s="24">
        <f>IF($B1408="","",YEAR($B1408))</f>
        <v/>
      </c>
      <c r="S1408" s="25">
        <f>IF($B1408="","",$B1408-WEEKDAY($B1408,3))</f>
        <v/>
      </c>
      <c r="T1408" s="24">
        <f>IF($B1408="",0,IF(COUNTIFS($B$5:$B1408,$B1408,$D$5:$D1408,$D1408)=1,1,0))</f>
        <v/>
      </c>
      <c r="U1408" s="24">
        <f>IF($B1408="",0,IF(COUNTIFS($B$5:$B1408,$B1408,$C$5:$C1408,$C1408)=1,1,0))</f>
        <v/>
      </c>
      <c r="V1408" s="24">
        <f>IF(OR($B1408="",$G1408="",$G1408="لا توجد مشاهدات"),0,1)</f>
        <v/>
      </c>
      <c r="W1408" s="24">
        <f>IF(AND($B1408&lt;&gt;"",$I1408="تم تحرير مخالفة"),1,0)</f>
        <v/>
      </c>
      <c r="X1408" s="24">
        <f>IF($B1408="","",IF($S1408=WkStart,COUNTIF($S$5:$S1408,WkStart),""))</f>
        <v/>
      </c>
    </row>
    <row r="1409">
      <c r="A1409" s="16">
        <f>IF($B1409="","",ROW()-4)</f>
        <v/>
      </c>
      <c r="B1409" s="17" t="n"/>
      <c r="C1409" s="18" t="n"/>
      <c r="D1409" s="18" t="n"/>
      <c r="E1409" s="19" t="n"/>
      <c r="F1409" s="19" t="n"/>
      <c r="G1409" s="18" t="n"/>
      <c r="H1409" s="18" t="n"/>
      <c r="I1409" s="18" t="n"/>
      <c r="J1409" s="20" t="n"/>
      <c r="K1409" s="21" t="n"/>
      <c r="L1409" s="21" t="n"/>
      <c r="M1409" s="18" t="n"/>
      <c r="N1409" s="22">
        <f>IF($B1409="","",CHOOSE(WEEKDAY($B1409),"الأحد","الاثنين","الثلاثاء","الأربعاء","الخميس","الجمعة","السبت"))</f>
        <v/>
      </c>
      <c r="O1409" s="23">
        <f>IF(OR($K1409="",$L1409=""),"",HYPERLINK("https://maps.google.com/?q="&amp;$K1409&amp;","&amp;$L1409,"عرض الموقع"))</f>
        <v/>
      </c>
      <c r="P1409" s="23">
        <f>IF(OR($B1409="",N($J1409)=0),"",HYPERLINK(PhotoDir&amp;"/"&amp;YEAR($B1409)&amp;"-"&amp;TEXT(MONTH($B1409),"00")&amp;"-"&amp;TEXT(DAY($B1409),"00")&amp;"_"&amp;$D1409,"فتح الصور ("&amp;$J1409&amp;")"))</f>
        <v/>
      </c>
      <c r="Q1409" s="24">
        <f>IF($B1409="","",MONTH($B1409))</f>
        <v/>
      </c>
      <c r="R1409" s="24">
        <f>IF($B1409="","",YEAR($B1409))</f>
        <v/>
      </c>
      <c r="S1409" s="25">
        <f>IF($B1409="","",$B1409-WEEKDAY($B1409,3))</f>
        <v/>
      </c>
      <c r="T1409" s="24">
        <f>IF($B1409="",0,IF(COUNTIFS($B$5:$B1409,$B1409,$D$5:$D1409,$D1409)=1,1,0))</f>
        <v/>
      </c>
      <c r="U1409" s="24">
        <f>IF($B1409="",0,IF(COUNTIFS($B$5:$B1409,$B1409,$C$5:$C1409,$C1409)=1,1,0))</f>
        <v/>
      </c>
      <c r="V1409" s="24">
        <f>IF(OR($B1409="",$G1409="",$G1409="لا توجد مشاهدات"),0,1)</f>
        <v/>
      </c>
      <c r="W1409" s="24">
        <f>IF(AND($B1409&lt;&gt;"",$I1409="تم تحرير مخالفة"),1,0)</f>
        <v/>
      </c>
      <c r="X1409" s="24">
        <f>IF($B1409="","",IF($S1409=WkStart,COUNTIF($S$5:$S1409,WkStart),""))</f>
        <v/>
      </c>
    </row>
    <row r="1410">
      <c r="A1410" s="16">
        <f>IF($B1410="","",ROW()-4)</f>
        <v/>
      </c>
      <c r="B1410" s="17" t="n"/>
      <c r="C1410" s="18" t="n"/>
      <c r="D1410" s="18" t="n"/>
      <c r="E1410" s="19" t="n"/>
      <c r="F1410" s="19" t="n"/>
      <c r="G1410" s="18" t="n"/>
      <c r="H1410" s="18" t="n"/>
      <c r="I1410" s="18" t="n"/>
      <c r="J1410" s="20" t="n"/>
      <c r="K1410" s="21" t="n"/>
      <c r="L1410" s="21" t="n"/>
      <c r="M1410" s="18" t="n"/>
      <c r="N1410" s="22">
        <f>IF($B1410="","",CHOOSE(WEEKDAY($B1410),"الأحد","الاثنين","الثلاثاء","الأربعاء","الخميس","الجمعة","السبت"))</f>
        <v/>
      </c>
      <c r="O1410" s="23">
        <f>IF(OR($K1410="",$L1410=""),"",HYPERLINK("https://maps.google.com/?q="&amp;$K1410&amp;","&amp;$L1410,"عرض الموقع"))</f>
        <v/>
      </c>
      <c r="P1410" s="23">
        <f>IF(OR($B1410="",N($J1410)=0),"",HYPERLINK(PhotoDir&amp;"/"&amp;YEAR($B1410)&amp;"-"&amp;TEXT(MONTH($B1410),"00")&amp;"-"&amp;TEXT(DAY($B1410),"00")&amp;"_"&amp;$D1410,"فتح الصور ("&amp;$J1410&amp;")"))</f>
        <v/>
      </c>
      <c r="Q1410" s="24">
        <f>IF($B1410="","",MONTH($B1410))</f>
        <v/>
      </c>
      <c r="R1410" s="24">
        <f>IF($B1410="","",YEAR($B1410))</f>
        <v/>
      </c>
      <c r="S1410" s="25">
        <f>IF($B1410="","",$B1410-WEEKDAY($B1410,3))</f>
        <v/>
      </c>
      <c r="T1410" s="24">
        <f>IF($B1410="",0,IF(COUNTIFS($B$5:$B1410,$B1410,$D$5:$D1410,$D1410)=1,1,0))</f>
        <v/>
      </c>
      <c r="U1410" s="24">
        <f>IF($B1410="",0,IF(COUNTIFS($B$5:$B1410,$B1410,$C$5:$C1410,$C1410)=1,1,0))</f>
        <v/>
      </c>
      <c r="V1410" s="24">
        <f>IF(OR($B1410="",$G1410="",$G1410="لا توجد مشاهدات"),0,1)</f>
        <v/>
      </c>
      <c r="W1410" s="24">
        <f>IF(AND($B1410&lt;&gt;"",$I1410="تم تحرير مخالفة"),1,0)</f>
        <v/>
      </c>
      <c r="X1410" s="24">
        <f>IF($B1410="","",IF($S1410=WkStart,COUNTIF($S$5:$S1410,WkStart),""))</f>
        <v/>
      </c>
    </row>
    <row r="1411">
      <c r="A1411" s="16">
        <f>IF($B1411="","",ROW()-4)</f>
        <v/>
      </c>
      <c r="B1411" s="17" t="n"/>
      <c r="C1411" s="18" t="n"/>
      <c r="D1411" s="18" t="n"/>
      <c r="E1411" s="19" t="n"/>
      <c r="F1411" s="19" t="n"/>
      <c r="G1411" s="18" t="n"/>
      <c r="H1411" s="18" t="n"/>
      <c r="I1411" s="18" t="n"/>
      <c r="J1411" s="20" t="n"/>
      <c r="K1411" s="21" t="n"/>
      <c r="L1411" s="21" t="n"/>
      <c r="M1411" s="18" t="n"/>
      <c r="N1411" s="22">
        <f>IF($B1411="","",CHOOSE(WEEKDAY($B1411),"الأحد","الاثنين","الثلاثاء","الأربعاء","الخميس","الجمعة","السبت"))</f>
        <v/>
      </c>
      <c r="O1411" s="23">
        <f>IF(OR($K1411="",$L1411=""),"",HYPERLINK("https://maps.google.com/?q="&amp;$K1411&amp;","&amp;$L1411,"عرض الموقع"))</f>
        <v/>
      </c>
      <c r="P1411" s="23">
        <f>IF(OR($B1411="",N($J1411)=0),"",HYPERLINK(PhotoDir&amp;"/"&amp;YEAR($B1411)&amp;"-"&amp;TEXT(MONTH($B1411),"00")&amp;"-"&amp;TEXT(DAY($B1411),"00")&amp;"_"&amp;$D1411,"فتح الصور ("&amp;$J1411&amp;")"))</f>
        <v/>
      </c>
      <c r="Q1411" s="24">
        <f>IF($B1411="","",MONTH($B1411))</f>
        <v/>
      </c>
      <c r="R1411" s="24">
        <f>IF($B1411="","",YEAR($B1411))</f>
        <v/>
      </c>
      <c r="S1411" s="25">
        <f>IF($B1411="","",$B1411-WEEKDAY($B1411,3))</f>
        <v/>
      </c>
      <c r="T1411" s="24">
        <f>IF($B1411="",0,IF(COUNTIFS($B$5:$B1411,$B1411,$D$5:$D1411,$D1411)=1,1,0))</f>
        <v/>
      </c>
      <c r="U1411" s="24">
        <f>IF($B1411="",0,IF(COUNTIFS($B$5:$B1411,$B1411,$C$5:$C1411,$C1411)=1,1,0))</f>
        <v/>
      </c>
      <c r="V1411" s="24">
        <f>IF(OR($B1411="",$G1411="",$G1411="لا توجد مشاهدات"),0,1)</f>
        <v/>
      </c>
      <c r="W1411" s="24">
        <f>IF(AND($B1411&lt;&gt;"",$I1411="تم تحرير مخالفة"),1,0)</f>
        <v/>
      </c>
      <c r="X1411" s="24">
        <f>IF($B1411="","",IF($S1411=WkStart,COUNTIF($S$5:$S1411,WkStart),""))</f>
        <v/>
      </c>
    </row>
    <row r="1412">
      <c r="A1412" s="16">
        <f>IF($B1412="","",ROW()-4)</f>
        <v/>
      </c>
      <c r="B1412" s="17" t="n"/>
      <c r="C1412" s="18" t="n"/>
      <c r="D1412" s="18" t="n"/>
      <c r="E1412" s="19" t="n"/>
      <c r="F1412" s="19" t="n"/>
      <c r="G1412" s="18" t="n"/>
      <c r="H1412" s="18" t="n"/>
      <c r="I1412" s="18" t="n"/>
      <c r="J1412" s="20" t="n"/>
      <c r="K1412" s="21" t="n"/>
      <c r="L1412" s="21" t="n"/>
      <c r="M1412" s="18" t="n"/>
      <c r="N1412" s="22">
        <f>IF($B1412="","",CHOOSE(WEEKDAY($B1412),"الأحد","الاثنين","الثلاثاء","الأربعاء","الخميس","الجمعة","السبت"))</f>
        <v/>
      </c>
      <c r="O1412" s="23">
        <f>IF(OR($K1412="",$L1412=""),"",HYPERLINK("https://maps.google.com/?q="&amp;$K1412&amp;","&amp;$L1412,"عرض الموقع"))</f>
        <v/>
      </c>
      <c r="P1412" s="23">
        <f>IF(OR($B1412="",N($J1412)=0),"",HYPERLINK(PhotoDir&amp;"/"&amp;YEAR($B1412)&amp;"-"&amp;TEXT(MONTH($B1412),"00")&amp;"-"&amp;TEXT(DAY($B1412),"00")&amp;"_"&amp;$D1412,"فتح الصور ("&amp;$J1412&amp;")"))</f>
        <v/>
      </c>
      <c r="Q1412" s="24">
        <f>IF($B1412="","",MONTH($B1412))</f>
        <v/>
      </c>
      <c r="R1412" s="24">
        <f>IF($B1412="","",YEAR($B1412))</f>
        <v/>
      </c>
      <c r="S1412" s="25">
        <f>IF($B1412="","",$B1412-WEEKDAY($B1412,3))</f>
        <v/>
      </c>
      <c r="T1412" s="24">
        <f>IF($B1412="",0,IF(COUNTIFS($B$5:$B1412,$B1412,$D$5:$D1412,$D1412)=1,1,0))</f>
        <v/>
      </c>
      <c r="U1412" s="24">
        <f>IF($B1412="",0,IF(COUNTIFS($B$5:$B1412,$B1412,$C$5:$C1412,$C1412)=1,1,0))</f>
        <v/>
      </c>
      <c r="V1412" s="24">
        <f>IF(OR($B1412="",$G1412="",$G1412="لا توجد مشاهدات"),0,1)</f>
        <v/>
      </c>
      <c r="W1412" s="24">
        <f>IF(AND($B1412&lt;&gt;"",$I1412="تم تحرير مخالفة"),1,0)</f>
        <v/>
      </c>
      <c r="X1412" s="24">
        <f>IF($B1412="","",IF($S1412=WkStart,COUNTIF($S$5:$S1412,WkStart),""))</f>
        <v/>
      </c>
    </row>
    <row r="1413">
      <c r="A1413" s="16">
        <f>IF($B1413="","",ROW()-4)</f>
        <v/>
      </c>
      <c r="B1413" s="17" t="n"/>
      <c r="C1413" s="18" t="n"/>
      <c r="D1413" s="18" t="n"/>
      <c r="E1413" s="19" t="n"/>
      <c r="F1413" s="19" t="n"/>
      <c r="G1413" s="18" t="n"/>
      <c r="H1413" s="18" t="n"/>
      <c r="I1413" s="18" t="n"/>
      <c r="J1413" s="20" t="n"/>
      <c r="K1413" s="21" t="n"/>
      <c r="L1413" s="21" t="n"/>
      <c r="M1413" s="18" t="n"/>
      <c r="N1413" s="22">
        <f>IF($B1413="","",CHOOSE(WEEKDAY($B1413),"الأحد","الاثنين","الثلاثاء","الأربعاء","الخميس","الجمعة","السبت"))</f>
        <v/>
      </c>
      <c r="O1413" s="23">
        <f>IF(OR($K1413="",$L1413=""),"",HYPERLINK("https://maps.google.com/?q="&amp;$K1413&amp;","&amp;$L1413,"عرض الموقع"))</f>
        <v/>
      </c>
      <c r="P1413" s="23">
        <f>IF(OR($B1413="",N($J1413)=0),"",HYPERLINK(PhotoDir&amp;"/"&amp;YEAR($B1413)&amp;"-"&amp;TEXT(MONTH($B1413),"00")&amp;"-"&amp;TEXT(DAY($B1413),"00")&amp;"_"&amp;$D1413,"فتح الصور ("&amp;$J1413&amp;")"))</f>
        <v/>
      </c>
      <c r="Q1413" s="24">
        <f>IF($B1413="","",MONTH($B1413))</f>
        <v/>
      </c>
      <c r="R1413" s="24">
        <f>IF($B1413="","",YEAR($B1413))</f>
        <v/>
      </c>
      <c r="S1413" s="25">
        <f>IF($B1413="","",$B1413-WEEKDAY($B1413,3))</f>
        <v/>
      </c>
      <c r="T1413" s="24">
        <f>IF($B1413="",0,IF(COUNTIFS($B$5:$B1413,$B1413,$D$5:$D1413,$D1413)=1,1,0))</f>
        <v/>
      </c>
      <c r="U1413" s="24">
        <f>IF($B1413="",0,IF(COUNTIFS($B$5:$B1413,$B1413,$C$5:$C1413,$C1413)=1,1,0))</f>
        <v/>
      </c>
      <c r="V1413" s="24">
        <f>IF(OR($B1413="",$G1413="",$G1413="لا توجد مشاهدات"),0,1)</f>
        <v/>
      </c>
      <c r="W1413" s="24">
        <f>IF(AND($B1413&lt;&gt;"",$I1413="تم تحرير مخالفة"),1,0)</f>
        <v/>
      </c>
      <c r="X1413" s="24">
        <f>IF($B1413="","",IF($S1413=WkStart,COUNTIF($S$5:$S1413,WkStart),""))</f>
        <v/>
      </c>
    </row>
    <row r="1414">
      <c r="A1414" s="16">
        <f>IF($B1414="","",ROW()-4)</f>
        <v/>
      </c>
      <c r="B1414" s="17" t="n"/>
      <c r="C1414" s="18" t="n"/>
      <c r="D1414" s="18" t="n"/>
      <c r="E1414" s="19" t="n"/>
      <c r="F1414" s="19" t="n"/>
      <c r="G1414" s="18" t="n"/>
      <c r="H1414" s="18" t="n"/>
      <c r="I1414" s="18" t="n"/>
      <c r="J1414" s="20" t="n"/>
      <c r="K1414" s="21" t="n"/>
      <c r="L1414" s="21" t="n"/>
      <c r="M1414" s="18" t="n"/>
      <c r="N1414" s="22">
        <f>IF($B1414="","",CHOOSE(WEEKDAY($B1414),"الأحد","الاثنين","الثلاثاء","الأربعاء","الخميس","الجمعة","السبت"))</f>
        <v/>
      </c>
      <c r="O1414" s="23">
        <f>IF(OR($K1414="",$L1414=""),"",HYPERLINK("https://maps.google.com/?q="&amp;$K1414&amp;","&amp;$L1414,"عرض الموقع"))</f>
        <v/>
      </c>
      <c r="P1414" s="23">
        <f>IF(OR($B1414="",N($J1414)=0),"",HYPERLINK(PhotoDir&amp;"/"&amp;YEAR($B1414)&amp;"-"&amp;TEXT(MONTH($B1414),"00")&amp;"-"&amp;TEXT(DAY($B1414),"00")&amp;"_"&amp;$D1414,"فتح الصور ("&amp;$J1414&amp;")"))</f>
        <v/>
      </c>
      <c r="Q1414" s="24">
        <f>IF($B1414="","",MONTH($B1414))</f>
        <v/>
      </c>
      <c r="R1414" s="24">
        <f>IF($B1414="","",YEAR($B1414))</f>
        <v/>
      </c>
      <c r="S1414" s="25">
        <f>IF($B1414="","",$B1414-WEEKDAY($B1414,3))</f>
        <v/>
      </c>
      <c r="T1414" s="24">
        <f>IF($B1414="",0,IF(COUNTIFS($B$5:$B1414,$B1414,$D$5:$D1414,$D1414)=1,1,0))</f>
        <v/>
      </c>
      <c r="U1414" s="24">
        <f>IF($B1414="",0,IF(COUNTIFS($B$5:$B1414,$B1414,$C$5:$C1414,$C1414)=1,1,0))</f>
        <v/>
      </c>
      <c r="V1414" s="24">
        <f>IF(OR($B1414="",$G1414="",$G1414="لا توجد مشاهدات"),0,1)</f>
        <v/>
      </c>
      <c r="W1414" s="24">
        <f>IF(AND($B1414&lt;&gt;"",$I1414="تم تحرير مخالفة"),1,0)</f>
        <v/>
      </c>
      <c r="X1414" s="24">
        <f>IF($B1414="","",IF($S1414=WkStart,COUNTIF($S$5:$S1414,WkStart),""))</f>
        <v/>
      </c>
    </row>
    <row r="1415">
      <c r="A1415" s="16">
        <f>IF($B1415="","",ROW()-4)</f>
        <v/>
      </c>
      <c r="B1415" s="17" t="n"/>
      <c r="C1415" s="18" t="n"/>
      <c r="D1415" s="18" t="n"/>
      <c r="E1415" s="19" t="n"/>
      <c r="F1415" s="19" t="n"/>
      <c r="G1415" s="18" t="n"/>
      <c r="H1415" s="18" t="n"/>
      <c r="I1415" s="18" t="n"/>
      <c r="J1415" s="20" t="n"/>
      <c r="K1415" s="21" t="n"/>
      <c r="L1415" s="21" t="n"/>
      <c r="M1415" s="18" t="n"/>
      <c r="N1415" s="22">
        <f>IF($B1415="","",CHOOSE(WEEKDAY($B1415),"الأحد","الاثنين","الثلاثاء","الأربعاء","الخميس","الجمعة","السبت"))</f>
        <v/>
      </c>
      <c r="O1415" s="23">
        <f>IF(OR($K1415="",$L1415=""),"",HYPERLINK("https://maps.google.com/?q="&amp;$K1415&amp;","&amp;$L1415,"عرض الموقع"))</f>
        <v/>
      </c>
      <c r="P1415" s="23">
        <f>IF(OR($B1415="",N($J1415)=0),"",HYPERLINK(PhotoDir&amp;"/"&amp;YEAR($B1415)&amp;"-"&amp;TEXT(MONTH($B1415),"00")&amp;"-"&amp;TEXT(DAY($B1415),"00")&amp;"_"&amp;$D1415,"فتح الصور ("&amp;$J1415&amp;")"))</f>
        <v/>
      </c>
      <c r="Q1415" s="24">
        <f>IF($B1415="","",MONTH($B1415))</f>
        <v/>
      </c>
      <c r="R1415" s="24">
        <f>IF($B1415="","",YEAR($B1415))</f>
        <v/>
      </c>
      <c r="S1415" s="25">
        <f>IF($B1415="","",$B1415-WEEKDAY($B1415,3))</f>
        <v/>
      </c>
      <c r="T1415" s="24">
        <f>IF($B1415="",0,IF(COUNTIFS($B$5:$B1415,$B1415,$D$5:$D1415,$D1415)=1,1,0))</f>
        <v/>
      </c>
      <c r="U1415" s="24">
        <f>IF($B1415="",0,IF(COUNTIFS($B$5:$B1415,$B1415,$C$5:$C1415,$C1415)=1,1,0))</f>
        <v/>
      </c>
      <c r="V1415" s="24">
        <f>IF(OR($B1415="",$G1415="",$G1415="لا توجد مشاهدات"),0,1)</f>
        <v/>
      </c>
      <c r="W1415" s="24">
        <f>IF(AND($B1415&lt;&gt;"",$I1415="تم تحرير مخالفة"),1,0)</f>
        <v/>
      </c>
      <c r="X1415" s="24">
        <f>IF($B1415="","",IF($S1415=WkStart,COUNTIF($S$5:$S1415,WkStart),""))</f>
        <v/>
      </c>
    </row>
    <row r="1416">
      <c r="A1416" s="16">
        <f>IF($B1416="","",ROW()-4)</f>
        <v/>
      </c>
      <c r="B1416" s="17" t="n"/>
      <c r="C1416" s="18" t="n"/>
      <c r="D1416" s="18" t="n"/>
      <c r="E1416" s="19" t="n"/>
      <c r="F1416" s="19" t="n"/>
      <c r="G1416" s="18" t="n"/>
      <c r="H1416" s="18" t="n"/>
      <c r="I1416" s="18" t="n"/>
      <c r="J1416" s="20" t="n"/>
      <c r="K1416" s="21" t="n"/>
      <c r="L1416" s="21" t="n"/>
      <c r="M1416" s="18" t="n"/>
      <c r="N1416" s="22">
        <f>IF($B1416="","",CHOOSE(WEEKDAY($B1416),"الأحد","الاثنين","الثلاثاء","الأربعاء","الخميس","الجمعة","السبت"))</f>
        <v/>
      </c>
      <c r="O1416" s="23">
        <f>IF(OR($K1416="",$L1416=""),"",HYPERLINK("https://maps.google.com/?q="&amp;$K1416&amp;","&amp;$L1416,"عرض الموقع"))</f>
        <v/>
      </c>
      <c r="P1416" s="23">
        <f>IF(OR($B1416="",N($J1416)=0),"",HYPERLINK(PhotoDir&amp;"/"&amp;YEAR($B1416)&amp;"-"&amp;TEXT(MONTH($B1416),"00")&amp;"-"&amp;TEXT(DAY($B1416),"00")&amp;"_"&amp;$D1416,"فتح الصور ("&amp;$J1416&amp;")"))</f>
        <v/>
      </c>
      <c r="Q1416" s="24">
        <f>IF($B1416="","",MONTH($B1416))</f>
        <v/>
      </c>
      <c r="R1416" s="24">
        <f>IF($B1416="","",YEAR($B1416))</f>
        <v/>
      </c>
      <c r="S1416" s="25">
        <f>IF($B1416="","",$B1416-WEEKDAY($B1416,3))</f>
        <v/>
      </c>
      <c r="T1416" s="24">
        <f>IF($B1416="",0,IF(COUNTIFS($B$5:$B1416,$B1416,$D$5:$D1416,$D1416)=1,1,0))</f>
        <v/>
      </c>
      <c r="U1416" s="24">
        <f>IF($B1416="",0,IF(COUNTIFS($B$5:$B1416,$B1416,$C$5:$C1416,$C1416)=1,1,0))</f>
        <v/>
      </c>
      <c r="V1416" s="24">
        <f>IF(OR($B1416="",$G1416="",$G1416="لا توجد مشاهدات"),0,1)</f>
        <v/>
      </c>
      <c r="W1416" s="24">
        <f>IF(AND($B1416&lt;&gt;"",$I1416="تم تحرير مخالفة"),1,0)</f>
        <v/>
      </c>
      <c r="X1416" s="24">
        <f>IF($B1416="","",IF($S1416=WkStart,COUNTIF($S$5:$S1416,WkStart),""))</f>
        <v/>
      </c>
    </row>
    <row r="1417">
      <c r="A1417" s="16">
        <f>IF($B1417="","",ROW()-4)</f>
        <v/>
      </c>
      <c r="B1417" s="17" t="n"/>
      <c r="C1417" s="18" t="n"/>
      <c r="D1417" s="18" t="n"/>
      <c r="E1417" s="19" t="n"/>
      <c r="F1417" s="19" t="n"/>
      <c r="G1417" s="18" t="n"/>
      <c r="H1417" s="18" t="n"/>
      <c r="I1417" s="18" t="n"/>
      <c r="J1417" s="20" t="n"/>
      <c r="K1417" s="21" t="n"/>
      <c r="L1417" s="21" t="n"/>
      <c r="M1417" s="18" t="n"/>
      <c r="N1417" s="22">
        <f>IF($B1417="","",CHOOSE(WEEKDAY($B1417),"الأحد","الاثنين","الثلاثاء","الأربعاء","الخميس","الجمعة","السبت"))</f>
        <v/>
      </c>
      <c r="O1417" s="23">
        <f>IF(OR($K1417="",$L1417=""),"",HYPERLINK("https://maps.google.com/?q="&amp;$K1417&amp;","&amp;$L1417,"عرض الموقع"))</f>
        <v/>
      </c>
      <c r="P1417" s="23">
        <f>IF(OR($B1417="",N($J1417)=0),"",HYPERLINK(PhotoDir&amp;"/"&amp;YEAR($B1417)&amp;"-"&amp;TEXT(MONTH($B1417),"00")&amp;"-"&amp;TEXT(DAY($B1417),"00")&amp;"_"&amp;$D1417,"فتح الصور ("&amp;$J1417&amp;")"))</f>
        <v/>
      </c>
      <c r="Q1417" s="24">
        <f>IF($B1417="","",MONTH($B1417))</f>
        <v/>
      </c>
      <c r="R1417" s="24">
        <f>IF($B1417="","",YEAR($B1417))</f>
        <v/>
      </c>
      <c r="S1417" s="25">
        <f>IF($B1417="","",$B1417-WEEKDAY($B1417,3))</f>
        <v/>
      </c>
      <c r="T1417" s="24">
        <f>IF($B1417="",0,IF(COUNTIFS($B$5:$B1417,$B1417,$D$5:$D1417,$D1417)=1,1,0))</f>
        <v/>
      </c>
      <c r="U1417" s="24">
        <f>IF($B1417="",0,IF(COUNTIFS($B$5:$B1417,$B1417,$C$5:$C1417,$C1417)=1,1,0))</f>
        <v/>
      </c>
      <c r="V1417" s="24">
        <f>IF(OR($B1417="",$G1417="",$G1417="لا توجد مشاهدات"),0,1)</f>
        <v/>
      </c>
      <c r="W1417" s="24">
        <f>IF(AND($B1417&lt;&gt;"",$I1417="تم تحرير مخالفة"),1,0)</f>
        <v/>
      </c>
      <c r="X1417" s="24">
        <f>IF($B1417="","",IF($S1417=WkStart,COUNTIF($S$5:$S1417,WkStart),""))</f>
        <v/>
      </c>
    </row>
    <row r="1418">
      <c r="A1418" s="16">
        <f>IF($B1418="","",ROW()-4)</f>
        <v/>
      </c>
      <c r="B1418" s="17" t="n"/>
      <c r="C1418" s="18" t="n"/>
      <c r="D1418" s="18" t="n"/>
      <c r="E1418" s="19" t="n"/>
      <c r="F1418" s="19" t="n"/>
      <c r="G1418" s="18" t="n"/>
      <c r="H1418" s="18" t="n"/>
      <c r="I1418" s="18" t="n"/>
      <c r="J1418" s="20" t="n"/>
      <c r="K1418" s="21" t="n"/>
      <c r="L1418" s="21" t="n"/>
      <c r="M1418" s="18" t="n"/>
      <c r="N1418" s="22">
        <f>IF($B1418="","",CHOOSE(WEEKDAY($B1418),"الأحد","الاثنين","الثلاثاء","الأربعاء","الخميس","الجمعة","السبت"))</f>
        <v/>
      </c>
      <c r="O1418" s="23">
        <f>IF(OR($K1418="",$L1418=""),"",HYPERLINK("https://maps.google.com/?q="&amp;$K1418&amp;","&amp;$L1418,"عرض الموقع"))</f>
        <v/>
      </c>
      <c r="P1418" s="23">
        <f>IF(OR($B1418="",N($J1418)=0),"",HYPERLINK(PhotoDir&amp;"/"&amp;YEAR($B1418)&amp;"-"&amp;TEXT(MONTH($B1418),"00")&amp;"-"&amp;TEXT(DAY($B1418),"00")&amp;"_"&amp;$D1418,"فتح الصور ("&amp;$J1418&amp;")"))</f>
        <v/>
      </c>
      <c r="Q1418" s="24">
        <f>IF($B1418="","",MONTH($B1418))</f>
        <v/>
      </c>
      <c r="R1418" s="24">
        <f>IF($B1418="","",YEAR($B1418))</f>
        <v/>
      </c>
      <c r="S1418" s="25">
        <f>IF($B1418="","",$B1418-WEEKDAY($B1418,3))</f>
        <v/>
      </c>
      <c r="T1418" s="24">
        <f>IF($B1418="",0,IF(COUNTIFS($B$5:$B1418,$B1418,$D$5:$D1418,$D1418)=1,1,0))</f>
        <v/>
      </c>
      <c r="U1418" s="24">
        <f>IF($B1418="",0,IF(COUNTIFS($B$5:$B1418,$B1418,$C$5:$C1418,$C1418)=1,1,0))</f>
        <v/>
      </c>
      <c r="V1418" s="24">
        <f>IF(OR($B1418="",$G1418="",$G1418="لا توجد مشاهدات"),0,1)</f>
        <v/>
      </c>
      <c r="W1418" s="24">
        <f>IF(AND($B1418&lt;&gt;"",$I1418="تم تحرير مخالفة"),1,0)</f>
        <v/>
      </c>
      <c r="X1418" s="24">
        <f>IF($B1418="","",IF($S1418=WkStart,COUNTIF($S$5:$S1418,WkStart),""))</f>
        <v/>
      </c>
    </row>
    <row r="1419">
      <c r="A1419" s="16">
        <f>IF($B1419="","",ROW()-4)</f>
        <v/>
      </c>
      <c r="B1419" s="17" t="n"/>
      <c r="C1419" s="18" t="n"/>
      <c r="D1419" s="18" t="n"/>
      <c r="E1419" s="19" t="n"/>
      <c r="F1419" s="19" t="n"/>
      <c r="G1419" s="18" t="n"/>
      <c r="H1419" s="18" t="n"/>
      <c r="I1419" s="18" t="n"/>
      <c r="J1419" s="20" t="n"/>
      <c r="K1419" s="21" t="n"/>
      <c r="L1419" s="21" t="n"/>
      <c r="M1419" s="18" t="n"/>
      <c r="N1419" s="22">
        <f>IF($B1419="","",CHOOSE(WEEKDAY($B1419),"الأحد","الاثنين","الثلاثاء","الأربعاء","الخميس","الجمعة","السبت"))</f>
        <v/>
      </c>
      <c r="O1419" s="23">
        <f>IF(OR($K1419="",$L1419=""),"",HYPERLINK("https://maps.google.com/?q="&amp;$K1419&amp;","&amp;$L1419,"عرض الموقع"))</f>
        <v/>
      </c>
      <c r="P1419" s="23">
        <f>IF(OR($B1419="",N($J1419)=0),"",HYPERLINK(PhotoDir&amp;"/"&amp;YEAR($B1419)&amp;"-"&amp;TEXT(MONTH($B1419),"00")&amp;"-"&amp;TEXT(DAY($B1419),"00")&amp;"_"&amp;$D1419,"فتح الصور ("&amp;$J1419&amp;")"))</f>
        <v/>
      </c>
      <c r="Q1419" s="24">
        <f>IF($B1419="","",MONTH($B1419))</f>
        <v/>
      </c>
      <c r="R1419" s="24">
        <f>IF($B1419="","",YEAR($B1419))</f>
        <v/>
      </c>
      <c r="S1419" s="25">
        <f>IF($B1419="","",$B1419-WEEKDAY($B1419,3))</f>
        <v/>
      </c>
      <c r="T1419" s="24">
        <f>IF($B1419="",0,IF(COUNTIFS($B$5:$B1419,$B1419,$D$5:$D1419,$D1419)=1,1,0))</f>
        <v/>
      </c>
      <c r="U1419" s="24">
        <f>IF($B1419="",0,IF(COUNTIFS($B$5:$B1419,$B1419,$C$5:$C1419,$C1419)=1,1,0))</f>
        <v/>
      </c>
      <c r="V1419" s="24">
        <f>IF(OR($B1419="",$G1419="",$G1419="لا توجد مشاهدات"),0,1)</f>
        <v/>
      </c>
      <c r="W1419" s="24">
        <f>IF(AND($B1419&lt;&gt;"",$I1419="تم تحرير مخالفة"),1,0)</f>
        <v/>
      </c>
      <c r="X1419" s="24">
        <f>IF($B1419="","",IF($S1419=WkStart,COUNTIF($S$5:$S1419,WkStart),""))</f>
        <v/>
      </c>
    </row>
    <row r="1420">
      <c r="A1420" s="16">
        <f>IF($B1420="","",ROW()-4)</f>
        <v/>
      </c>
      <c r="B1420" s="17" t="n"/>
      <c r="C1420" s="18" t="n"/>
      <c r="D1420" s="18" t="n"/>
      <c r="E1420" s="19" t="n"/>
      <c r="F1420" s="19" t="n"/>
      <c r="G1420" s="18" t="n"/>
      <c r="H1420" s="18" t="n"/>
      <c r="I1420" s="18" t="n"/>
      <c r="J1420" s="20" t="n"/>
      <c r="K1420" s="21" t="n"/>
      <c r="L1420" s="21" t="n"/>
      <c r="M1420" s="18" t="n"/>
      <c r="N1420" s="22">
        <f>IF($B1420="","",CHOOSE(WEEKDAY($B1420),"الأحد","الاثنين","الثلاثاء","الأربعاء","الخميس","الجمعة","السبت"))</f>
        <v/>
      </c>
      <c r="O1420" s="23">
        <f>IF(OR($K1420="",$L1420=""),"",HYPERLINK("https://maps.google.com/?q="&amp;$K1420&amp;","&amp;$L1420,"عرض الموقع"))</f>
        <v/>
      </c>
      <c r="P1420" s="23">
        <f>IF(OR($B1420="",N($J1420)=0),"",HYPERLINK(PhotoDir&amp;"/"&amp;YEAR($B1420)&amp;"-"&amp;TEXT(MONTH($B1420),"00")&amp;"-"&amp;TEXT(DAY($B1420),"00")&amp;"_"&amp;$D1420,"فتح الصور ("&amp;$J1420&amp;")"))</f>
        <v/>
      </c>
      <c r="Q1420" s="24">
        <f>IF($B1420="","",MONTH($B1420))</f>
        <v/>
      </c>
      <c r="R1420" s="24">
        <f>IF($B1420="","",YEAR($B1420))</f>
        <v/>
      </c>
      <c r="S1420" s="25">
        <f>IF($B1420="","",$B1420-WEEKDAY($B1420,3))</f>
        <v/>
      </c>
      <c r="T1420" s="24">
        <f>IF($B1420="",0,IF(COUNTIFS($B$5:$B1420,$B1420,$D$5:$D1420,$D1420)=1,1,0))</f>
        <v/>
      </c>
      <c r="U1420" s="24">
        <f>IF($B1420="",0,IF(COUNTIFS($B$5:$B1420,$B1420,$C$5:$C1420,$C1420)=1,1,0))</f>
        <v/>
      </c>
      <c r="V1420" s="24">
        <f>IF(OR($B1420="",$G1420="",$G1420="لا توجد مشاهدات"),0,1)</f>
        <v/>
      </c>
      <c r="W1420" s="24">
        <f>IF(AND($B1420&lt;&gt;"",$I1420="تم تحرير مخالفة"),1,0)</f>
        <v/>
      </c>
      <c r="X1420" s="24">
        <f>IF($B1420="","",IF($S1420=WkStart,COUNTIF($S$5:$S1420,WkStart),""))</f>
        <v/>
      </c>
    </row>
    <row r="1421">
      <c r="A1421" s="16">
        <f>IF($B1421="","",ROW()-4)</f>
        <v/>
      </c>
      <c r="B1421" s="17" t="n"/>
      <c r="C1421" s="18" t="n"/>
      <c r="D1421" s="18" t="n"/>
      <c r="E1421" s="19" t="n"/>
      <c r="F1421" s="19" t="n"/>
      <c r="G1421" s="18" t="n"/>
      <c r="H1421" s="18" t="n"/>
      <c r="I1421" s="18" t="n"/>
      <c r="J1421" s="20" t="n"/>
      <c r="K1421" s="21" t="n"/>
      <c r="L1421" s="21" t="n"/>
      <c r="M1421" s="18" t="n"/>
      <c r="N1421" s="22">
        <f>IF($B1421="","",CHOOSE(WEEKDAY($B1421),"الأحد","الاثنين","الثلاثاء","الأربعاء","الخميس","الجمعة","السبت"))</f>
        <v/>
      </c>
      <c r="O1421" s="23">
        <f>IF(OR($K1421="",$L1421=""),"",HYPERLINK("https://maps.google.com/?q="&amp;$K1421&amp;","&amp;$L1421,"عرض الموقع"))</f>
        <v/>
      </c>
      <c r="P1421" s="23">
        <f>IF(OR($B1421="",N($J1421)=0),"",HYPERLINK(PhotoDir&amp;"/"&amp;YEAR($B1421)&amp;"-"&amp;TEXT(MONTH($B1421),"00")&amp;"-"&amp;TEXT(DAY($B1421),"00")&amp;"_"&amp;$D1421,"فتح الصور ("&amp;$J1421&amp;")"))</f>
        <v/>
      </c>
      <c r="Q1421" s="24">
        <f>IF($B1421="","",MONTH($B1421))</f>
        <v/>
      </c>
      <c r="R1421" s="24">
        <f>IF($B1421="","",YEAR($B1421))</f>
        <v/>
      </c>
      <c r="S1421" s="25">
        <f>IF($B1421="","",$B1421-WEEKDAY($B1421,3))</f>
        <v/>
      </c>
      <c r="T1421" s="24">
        <f>IF($B1421="",0,IF(COUNTIFS($B$5:$B1421,$B1421,$D$5:$D1421,$D1421)=1,1,0))</f>
        <v/>
      </c>
      <c r="U1421" s="24">
        <f>IF($B1421="",0,IF(COUNTIFS($B$5:$B1421,$B1421,$C$5:$C1421,$C1421)=1,1,0))</f>
        <v/>
      </c>
      <c r="V1421" s="24">
        <f>IF(OR($B1421="",$G1421="",$G1421="لا توجد مشاهدات"),0,1)</f>
        <v/>
      </c>
      <c r="W1421" s="24">
        <f>IF(AND($B1421&lt;&gt;"",$I1421="تم تحرير مخالفة"),1,0)</f>
        <v/>
      </c>
      <c r="X1421" s="24">
        <f>IF($B1421="","",IF($S1421=WkStart,COUNTIF($S$5:$S1421,WkStart),""))</f>
        <v/>
      </c>
    </row>
    <row r="1422">
      <c r="A1422" s="16">
        <f>IF($B1422="","",ROW()-4)</f>
        <v/>
      </c>
      <c r="B1422" s="17" t="n"/>
      <c r="C1422" s="18" t="n"/>
      <c r="D1422" s="18" t="n"/>
      <c r="E1422" s="19" t="n"/>
      <c r="F1422" s="19" t="n"/>
      <c r="G1422" s="18" t="n"/>
      <c r="H1422" s="18" t="n"/>
      <c r="I1422" s="18" t="n"/>
      <c r="J1422" s="20" t="n"/>
      <c r="K1422" s="21" t="n"/>
      <c r="L1422" s="21" t="n"/>
      <c r="M1422" s="18" t="n"/>
      <c r="N1422" s="22">
        <f>IF($B1422="","",CHOOSE(WEEKDAY($B1422),"الأحد","الاثنين","الثلاثاء","الأربعاء","الخميس","الجمعة","السبت"))</f>
        <v/>
      </c>
      <c r="O1422" s="23">
        <f>IF(OR($K1422="",$L1422=""),"",HYPERLINK("https://maps.google.com/?q="&amp;$K1422&amp;","&amp;$L1422,"عرض الموقع"))</f>
        <v/>
      </c>
      <c r="P1422" s="23">
        <f>IF(OR($B1422="",N($J1422)=0),"",HYPERLINK(PhotoDir&amp;"/"&amp;YEAR($B1422)&amp;"-"&amp;TEXT(MONTH($B1422),"00")&amp;"-"&amp;TEXT(DAY($B1422),"00")&amp;"_"&amp;$D1422,"فتح الصور ("&amp;$J1422&amp;")"))</f>
        <v/>
      </c>
      <c r="Q1422" s="24">
        <f>IF($B1422="","",MONTH($B1422))</f>
        <v/>
      </c>
      <c r="R1422" s="24">
        <f>IF($B1422="","",YEAR($B1422))</f>
        <v/>
      </c>
      <c r="S1422" s="25">
        <f>IF($B1422="","",$B1422-WEEKDAY($B1422,3))</f>
        <v/>
      </c>
      <c r="T1422" s="24">
        <f>IF($B1422="",0,IF(COUNTIFS($B$5:$B1422,$B1422,$D$5:$D1422,$D1422)=1,1,0))</f>
        <v/>
      </c>
      <c r="U1422" s="24">
        <f>IF($B1422="",0,IF(COUNTIFS($B$5:$B1422,$B1422,$C$5:$C1422,$C1422)=1,1,0))</f>
        <v/>
      </c>
      <c r="V1422" s="24">
        <f>IF(OR($B1422="",$G1422="",$G1422="لا توجد مشاهدات"),0,1)</f>
        <v/>
      </c>
      <c r="W1422" s="24">
        <f>IF(AND($B1422&lt;&gt;"",$I1422="تم تحرير مخالفة"),1,0)</f>
        <v/>
      </c>
      <c r="X1422" s="24">
        <f>IF($B1422="","",IF($S1422=WkStart,COUNTIF($S$5:$S1422,WkStart),""))</f>
        <v/>
      </c>
    </row>
    <row r="1423">
      <c r="A1423" s="16">
        <f>IF($B1423="","",ROW()-4)</f>
        <v/>
      </c>
      <c r="B1423" s="17" t="n"/>
      <c r="C1423" s="18" t="n"/>
      <c r="D1423" s="18" t="n"/>
      <c r="E1423" s="19" t="n"/>
      <c r="F1423" s="19" t="n"/>
      <c r="G1423" s="18" t="n"/>
      <c r="H1423" s="18" t="n"/>
      <c r="I1423" s="18" t="n"/>
      <c r="J1423" s="20" t="n"/>
      <c r="K1423" s="21" t="n"/>
      <c r="L1423" s="21" t="n"/>
      <c r="M1423" s="18" t="n"/>
      <c r="N1423" s="22">
        <f>IF($B1423="","",CHOOSE(WEEKDAY($B1423),"الأحد","الاثنين","الثلاثاء","الأربعاء","الخميس","الجمعة","السبت"))</f>
        <v/>
      </c>
      <c r="O1423" s="23">
        <f>IF(OR($K1423="",$L1423=""),"",HYPERLINK("https://maps.google.com/?q="&amp;$K1423&amp;","&amp;$L1423,"عرض الموقع"))</f>
        <v/>
      </c>
      <c r="P1423" s="23">
        <f>IF(OR($B1423="",N($J1423)=0),"",HYPERLINK(PhotoDir&amp;"/"&amp;YEAR($B1423)&amp;"-"&amp;TEXT(MONTH($B1423),"00")&amp;"-"&amp;TEXT(DAY($B1423),"00")&amp;"_"&amp;$D1423,"فتح الصور ("&amp;$J1423&amp;")"))</f>
        <v/>
      </c>
      <c r="Q1423" s="24">
        <f>IF($B1423="","",MONTH($B1423))</f>
        <v/>
      </c>
      <c r="R1423" s="24">
        <f>IF($B1423="","",YEAR($B1423))</f>
        <v/>
      </c>
      <c r="S1423" s="25">
        <f>IF($B1423="","",$B1423-WEEKDAY($B1423,3))</f>
        <v/>
      </c>
      <c r="T1423" s="24">
        <f>IF($B1423="",0,IF(COUNTIFS($B$5:$B1423,$B1423,$D$5:$D1423,$D1423)=1,1,0))</f>
        <v/>
      </c>
      <c r="U1423" s="24">
        <f>IF($B1423="",0,IF(COUNTIFS($B$5:$B1423,$B1423,$C$5:$C1423,$C1423)=1,1,0))</f>
        <v/>
      </c>
      <c r="V1423" s="24">
        <f>IF(OR($B1423="",$G1423="",$G1423="لا توجد مشاهدات"),0,1)</f>
        <v/>
      </c>
      <c r="W1423" s="24">
        <f>IF(AND($B1423&lt;&gt;"",$I1423="تم تحرير مخالفة"),1,0)</f>
        <v/>
      </c>
      <c r="X1423" s="24">
        <f>IF($B1423="","",IF($S1423=WkStart,COUNTIF($S$5:$S1423,WkStart),""))</f>
        <v/>
      </c>
    </row>
    <row r="1424">
      <c r="A1424" s="16">
        <f>IF($B1424="","",ROW()-4)</f>
        <v/>
      </c>
      <c r="B1424" s="17" t="n"/>
      <c r="C1424" s="18" t="n"/>
      <c r="D1424" s="18" t="n"/>
      <c r="E1424" s="19" t="n"/>
      <c r="F1424" s="19" t="n"/>
      <c r="G1424" s="18" t="n"/>
      <c r="H1424" s="18" t="n"/>
      <c r="I1424" s="18" t="n"/>
      <c r="J1424" s="20" t="n"/>
      <c r="K1424" s="21" t="n"/>
      <c r="L1424" s="21" t="n"/>
      <c r="M1424" s="18" t="n"/>
      <c r="N1424" s="22">
        <f>IF($B1424="","",CHOOSE(WEEKDAY($B1424),"الأحد","الاثنين","الثلاثاء","الأربعاء","الخميس","الجمعة","السبت"))</f>
        <v/>
      </c>
      <c r="O1424" s="23">
        <f>IF(OR($K1424="",$L1424=""),"",HYPERLINK("https://maps.google.com/?q="&amp;$K1424&amp;","&amp;$L1424,"عرض الموقع"))</f>
        <v/>
      </c>
      <c r="P1424" s="23">
        <f>IF(OR($B1424="",N($J1424)=0),"",HYPERLINK(PhotoDir&amp;"/"&amp;YEAR($B1424)&amp;"-"&amp;TEXT(MONTH($B1424),"00")&amp;"-"&amp;TEXT(DAY($B1424),"00")&amp;"_"&amp;$D1424,"فتح الصور ("&amp;$J1424&amp;")"))</f>
        <v/>
      </c>
      <c r="Q1424" s="24">
        <f>IF($B1424="","",MONTH($B1424))</f>
        <v/>
      </c>
      <c r="R1424" s="24">
        <f>IF($B1424="","",YEAR($B1424))</f>
        <v/>
      </c>
      <c r="S1424" s="25">
        <f>IF($B1424="","",$B1424-WEEKDAY($B1424,3))</f>
        <v/>
      </c>
      <c r="T1424" s="24">
        <f>IF($B1424="",0,IF(COUNTIFS($B$5:$B1424,$B1424,$D$5:$D1424,$D1424)=1,1,0))</f>
        <v/>
      </c>
      <c r="U1424" s="24">
        <f>IF($B1424="",0,IF(COUNTIFS($B$5:$B1424,$B1424,$C$5:$C1424,$C1424)=1,1,0))</f>
        <v/>
      </c>
      <c r="V1424" s="24">
        <f>IF(OR($B1424="",$G1424="",$G1424="لا توجد مشاهدات"),0,1)</f>
        <v/>
      </c>
      <c r="W1424" s="24">
        <f>IF(AND($B1424&lt;&gt;"",$I1424="تم تحرير مخالفة"),1,0)</f>
        <v/>
      </c>
      <c r="X1424" s="24">
        <f>IF($B1424="","",IF($S1424=WkStart,COUNTIF($S$5:$S1424,WkStart),""))</f>
        <v/>
      </c>
    </row>
    <row r="1425">
      <c r="A1425" s="16">
        <f>IF($B1425="","",ROW()-4)</f>
        <v/>
      </c>
      <c r="B1425" s="17" t="n"/>
      <c r="C1425" s="18" t="n"/>
      <c r="D1425" s="18" t="n"/>
      <c r="E1425" s="19" t="n"/>
      <c r="F1425" s="19" t="n"/>
      <c r="G1425" s="18" t="n"/>
      <c r="H1425" s="18" t="n"/>
      <c r="I1425" s="18" t="n"/>
      <c r="J1425" s="20" t="n"/>
      <c r="K1425" s="21" t="n"/>
      <c r="L1425" s="21" t="n"/>
      <c r="M1425" s="18" t="n"/>
      <c r="N1425" s="22">
        <f>IF($B1425="","",CHOOSE(WEEKDAY($B1425),"الأحد","الاثنين","الثلاثاء","الأربعاء","الخميس","الجمعة","السبت"))</f>
        <v/>
      </c>
      <c r="O1425" s="23">
        <f>IF(OR($K1425="",$L1425=""),"",HYPERLINK("https://maps.google.com/?q="&amp;$K1425&amp;","&amp;$L1425,"عرض الموقع"))</f>
        <v/>
      </c>
      <c r="P1425" s="23">
        <f>IF(OR($B1425="",N($J1425)=0),"",HYPERLINK(PhotoDir&amp;"/"&amp;YEAR($B1425)&amp;"-"&amp;TEXT(MONTH($B1425),"00")&amp;"-"&amp;TEXT(DAY($B1425),"00")&amp;"_"&amp;$D1425,"فتح الصور ("&amp;$J1425&amp;")"))</f>
        <v/>
      </c>
      <c r="Q1425" s="24">
        <f>IF($B1425="","",MONTH($B1425))</f>
        <v/>
      </c>
      <c r="R1425" s="24">
        <f>IF($B1425="","",YEAR($B1425))</f>
        <v/>
      </c>
      <c r="S1425" s="25">
        <f>IF($B1425="","",$B1425-WEEKDAY($B1425,3))</f>
        <v/>
      </c>
      <c r="T1425" s="24">
        <f>IF($B1425="",0,IF(COUNTIFS($B$5:$B1425,$B1425,$D$5:$D1425,$D1425)=1,1,0))</f>
        <v/>
      </c>
      <c r="U1425" s="24">
        <f>IF($B1425="",0,IF(COUNTIFS($B$5:$B1425,$B1425,$C$5:$C1425,$C1425)=1,1,0))</f>
        <v/>
      </c>
      <c r="V1425" s="24">
        <f>IF(OR($B1425="",$G1425="",$G1425="لا توجد مشاهدات"),0,1)</f>
        <v/>
      </c>
      <c r="W1425" s="24">
        <f>IF(AND($B1425&lt;&gt;"",$I1425="تم تحرير مخالفة"),1,0)</f>
        <v/>
      </c>
      <c r="X1425" s="24">
        <f>IF($B1425="","",IF($S1425=WkStart,COUNTIF($S$5:$S1425,WkStart),""))</f>
        <v/>
      </c>
    </row>
    <row r="1426">
      <c r="A1426" s="16">
        <f>IF($B1426="","",ROW()-4)</f>
        <v/>
      </c>
      <c r="B1426" s="17" t="n"/>
      <c r="C1426" s="18" t="n"/>
      <c r="D1426" s="18" t="n"/>
      <c r="E1426" s="19" t="n"/>
      <c r="F1426" s="19" t="n"/>
      <c r="G1426" s="18" t="n"/>
      <c r="H1426" s="18" t="n"/>
      <c r="I1426" s="18" t="n"/>
      <c r="J1426" s="20" t="n"/>
      <c r="K1426" s="21" t="n"/>
      <c r="L1426" s="21" t="n"/>
      <c r="M1426" s="18" t="n"/>
      <c r="N1426" s="22">
        <f>IF($B1426="","",CHOOSE(WEEKDAY($B1426),"الأحد","الاثنين","الثلاثاء","الأربعاء","الخميس","الجمعة","السبت"))</f>
        <v/>
      </c>
      <c r="O1426" s="23">
        <f>IF(OR($K1426="",$L1426=""),"",HYPERLINK("https://maps.google.com/?q="&amp;$K1426&amp;","&amp;$L1426,"عرض الموقع"))</f>
        <v/>
      </c>
      <c r="P1426" s="23">
        <f>IF(OR($B1426="",N($J1426)=0),"",HYPERLINK(PhotoDir&amp;"/"&amp;YEAR($B1426)&amp;"-"&amp;TEXT(MONTH($B1426),"00")&amp;"-"&amp;TEXT(DAY($B1426),"00")&amp;"_"&amp;$D1426,"فتح الصور ("&amp;$J1426&amp;")"))</f>
        <v/>
      </c>
      <c r="Q1426" s="24">
        <f>IF($B1426="","",MONTH($B1426))</f>
        <v/>
      </c>
      <c r="R1426" s="24">
        <f>IF($B1426="","",YEAR($B1426))</f>
        <v/>
      </c>
      <c r="S1426" s="25">
        <f>IF($B1426="","",$B1426-WEEKDAY($B1426,3))</f>
        <v/>
      </c>
      <c r="T1426" s="24">
        <f>IF($B1426="",0,IF(COUNTIFS($B$5:$B1426,$B1426,$D$5:$D1426,$D1426)=1,1,0))</f>
        <v/>
      </c>
      <c r="U1426" s="24">
        <f>IF($B1426="",0,IF(COUNTIFS($B$5:$B1426,$B1426,$C$5:$C1426,$C1426)=1,1,0))</f>
        <v/>
      </c>
      <c r="V1426" s="24">
        <f>IF(OR($B1426="",$G1426="",$G1426="لا توجد مشاهدات"),0,1)</f>
        <v/>
      </c>
      <c r="W1426" s="24">
        <f>IF(AND($B1426&lt;&gt;"",$I1426="تم تحرير مخالفة"),1,0)</f>
        <v/>
      </c>
      <c r="X1426" s="24">
        <f>IF($B1426="","",IF($S1426=WkStart,COUNTIF($S$5:$S1426,WkStart),""))</f>
        <v/>
      </c>
    </row>
    <row r="1427">
      <c r="A1427" s="16">
        <f>IF($B1427="","",ROW()-4)</f>
        <v/>
      </c>
      <c r="B1427" s="17" t="n"/>
      <c r="C1427" s="18" t="n"/>
      <c r="D1427" s="18" t="n"/>
      <c r="E1427" s="19" t="n"/>
      <c r="F1427" s="19" t="n"/>
      <c r="G1427" s="18" t="n"/>
      <c r="H1427" s="18" t="n"/>
      <c r="I1427" s="18" t="n"/>
      <c r="J1427" s="20" t="n"/>
      <c r="K1427" s="21" t="n"/>
      <c r="L1427" s="21" t="n"/>
      <c r="M1427" s="18" t="n"/>
      <c r="N1427" s="22">
        <f>IF($B1427="","",CHOOSE(WEEKDAY($B1427),"الأحد","الاثنين","الثلاثاء","الأربعاء","الخميس","الجمعة","السبت"))</f>
        <v/>
      </c>
      <c r="O1427" s="23">
        <f>IF(OR($K1427="",$L1427=""),"",HYPERLINK("https://maps.google.com/?q="&amp;$K1427&amp;","&amp;$L1427,"عرض الموقع"))</f>
        <v/>
      </c>
      <c r="P1427" s="23">
        <f>IF(OR($B1427="",N($J1427)=0),"",HYPERLINK(PhotoDir&amp;"/"&amp;YEAR($B1427)&amp;"-"&amp;TEXT(MONTH($B1427),"00")&amp;"-"&amp;TEXT(DAY($B1427),"00")&amp;"_"&amp;$D1427,"فتح الصور ("&amp;$J1427&amp;")"))</f>
        <v/>
      </c>
      <c r="Q1427" s="24">
        <f>IF($B1427="","",MONTH($B1427))</f>
        <v/>
      </c>
      <c r="R1427" s="24">
        <f>IF($B1427="","",YEAR($B1427))</f>
        <v/>
      </c>
      <c r="S1427" s="25">
        <f>IF($B1427="","",$B1427-WEEKDAY($B1427,3))</f>
        <v/>
      </c>
      <c r="T1427" s="24">
        <f>IF($B1427="",0,IF(COUNTIFS($B$5:$B1427,$B1427,$D$5:$D1427,$D1427)=1,1,0))</f>
        <v/>
      </c>
      <c r="U1427" s="24">
        <f>IF($B1427="",0,IF(COUNTIFS($B$5:$B1427,$B1427,$C$5:$C1427,$C1427)=1,1,0))</f>
        <v/>
      </c>
      <c r="V1427" s="24">
        <f>IF(OR($B1427="",$G1427="",$G1427="لا توجد مشاهدات"),0,1)</f>
        <v/>
      </c>
      <c r="W1427" s="24">
        <f>IF(AND($B1427&lt;&gt;"",$I1427="تم تحرير مخالفة"),1,0)</f>
        <v/>
      </c>
      <c r="X1427" s="24">
        <f>IF($B1427="","",IF($S1427=WkStart,COUNTIF($S$5:$S1427,WkStart),""))</f>
        <v/>
      </c>
    </row>
    <row r="1428">
      <c r="A1428" s="16">
        <f>IF($B1428="","",ROW()-4)</f>
        <v/>
      </c>
      <c r="B1428" s="17" t="n"/>
      <c r="C1428" s="18" t="n"/>
      <c r="D1428" s="18" t="n"/>
      <c r="E1428" s="19" t="n"/>
      <c r="F1428" s="19" t="n"/>
      <c r="G1428" s="18" t="n"/>
      <c r="H1428" s="18" t="n"/>
      <c r="I1428" s="18" t="n"/>
      <c r="J1428" s="20" t="n"/>
      <c r="K1428" s="21" t="n"/>
      <c r="L1428" s="21" t="n"/>
      <c r="M1428" s="18" t="n"/>
      <c r="N1428" s="22">
        <f>IF($B1428="","",CHOOSE(WEEKDAY($B1428),"الأحد","الاثنين","الثلاثاء","الأربعاء","الخميس","الجمعة","السبت"))</f>
        <v/>
      </c>
      <c r="O1428" s="23">
        <f>IF(OR($K1428="",$L1428=""),"",HYPERLINK("https://maps.google.com/?q="&amp;$K1428&amp;","&amp;$L1428,"عرض الموقع"))</f>
        <v/>
      </c>
      <c r="P1428" s="23">
        <f>IF(OR($B1428="",N($J1428)=0),"",HYPERLINK(PhotoDir&amp;"/"&amp;YEAR($B1428)&amp;"-"&amp;TEXT(MONTH($B1428),"00")&amp;"-"&amp;TEXT(DAY($B1428),"00")&amp;"_"&amp;$D1428,"فتح الصور ("&amp;$J1428&amp;")"))</f>
        <v/>
      </c>
      <c r="Q1428" s="24">
        <f>IF($B1428="","",MONTH($B1428))</f>
        <v/>
      </c>
      <c r="R1428" s="24">
        <f>IF($B1428="","",YEAR($B1428))</f>
        <v/>
      </c>
      <c r="S1428" s="25">
        <f>IF($B1428="","",$B1428-WEEKDAY($B1428,3))</f>
        <v/>
      </c>
      <c r="T1428" s="24">
        <f>IF($B1428="",0,IF(COUNTIFS($B$5:$B1428,$B1428,$D$5:$D1428,$D1428)=1,1,0))</f>
        <v/>
      </c>
      <c r="U1428" s="24">
        <f>IF($B1428="",0,IF(COUNTIFS($B$5:$B1428,$B1428,$C$5:$C1428,$C1428)=1,1,0))</f>
        <v/>
      </c>
      <c r="V1428" s="24">
        <f>IF(OR($B1428="",$G1428="",$G1428="لا توجد مشاهدات"),0,1)</f>
        <v/>
      </c>
      <c r="W1428" s="24">
        <f>IF(AND($B1428&lt;&gt;"",$I1428="تم تحرير مخالفة"),1,0)</f>
        <v/>
      </c>
      <c r="X1428" s="24">
        <f>IF($B1428="","",IF($S1428=WkStart,COUNTIF($S$5:$S1428,WkStart),""))</f>
        <v/>
      </c>
    </row>
    <row r="1429">
      <c r="A1429" s="16">
        <f>IF($B1429="","",ROW()-4)</f>
        <v/>
      </c>
      <c r="B1429" s="17" t="n"/>
      <c r="C1429" s="18" t="n"/>
      <c r="D1429" s="18" t="n"/>
      <c r="E1429" s="19" t="n"/>
      <c r="F1429" s="19" t="n"/>
      <c r="G1429" s="18" t="n"/>
      <c r="H1429" s="18" t="n"/>
      <c r="I1429" s="18" t="n"/>
      <c r="J1429" s="20" t="n"/>
      <c r="K1429" s="21" t="n"/>
      <c r="L1429" s="21" t="n"/>
      <c r="M1429" s="18" t="n"/>
      <c r="N1429" s="22">
        <f>IF($B1429="","",CHOOSE(WEEKDAY($B1429),"الأحد","الاثنين","الثلاثاء","الأربعاء","الخميس","الجمعة","السبت"))</f>
        <v/>
      </c>
      <c r="O1429" s="23">
        <f>IF(OR($K1429="",$L1429=""),"",HYPERLINK("https://maps.google.com/?q="&amp;$K1429&amp;","&amp;$L1429,"عرض الموقع"))</f>
        <v/>
      </c>
      <c r="P1429" s="23">
        <f>IF(OR($B1429="",N($J1429)=0),"",HYPERLINK(PhotoDir&amp;"/"&amp;YEAR($B1429)&amp;"-"&amp;TEXT(MONTH($B1429),"00")&amp;"-"&amp;TEXT(DAY($B1429),"00")&amp;"_"&amp;$D1429,"فتح الصور ("&amp;$J1429&amp;")"))</f>
        <v/>
      </c>
      <c r="Q1429" s="24">
        <f>IF($B1429="","",MONTH($B1429))</f>
        <v/>
      </c>
      <c r="R1429" s="24">
        <f>IF($B1429="","",YEAR($B1429))</f>
        <v/>
      </c>
      <c r="S1429" s="25">
        <f>IF($B1429="","",$B1429-WEEKDAY($B1429,3))</f>
        <v/>
      </c>
      <c r="T1429" s="24">
        <f>IF($B1429="",0,IF(COUNTIFS($B$5:$B1429,$B1429,$D$5:$D1429,$D1429)=1,1,0))</f>
        <v/>
      </c>
      <c r="U1429" s="24">
        <f>IF($B1429="",0,IF(COUNTIFS($B$5:$B1429,$B1429,$C$5:$C1429,$C1429)=1,1,0))</f>
        <v/>
      </c>
      <c r="V1429" s="24">
        <f>IF(OR($B1429="",$G1429="",$G1429="لا توجد مشاهدات"),0,1)</f>
        <v/>
      </c>
      <c r="W1429" s="24">
        <f>IF(AND($B1429&lt;&gt;"",$I1429="تم تحرير مخالفة"),1,0)</f>
        <v/>
      </c>
      <c r="X1429" s="24">
        <f>IF($B1429="","",IF($S1429=WkStart,COUNTIF($S$5:$S1429,WkStart),""))</f>
        <v/>
      </c>
    </row>
    <row r="1430">
      <c r="A1430" s="16">
        <f>IF($B1430="","",ROW()-4)</f>
        <v/>
      </c>
      <c r="B1430" s="17" t="n"/>
      <c r="C1430" s="18" t="n"/>
      <c r="D1430" s="18" t="n"/>
      <c r="E1430" s="19" t="n"/>
      <c r="F1430" s="19" t="n"/>
      <c r="G1430" s="18" t="n"/>
      <c r="H1430" s="18" t="n"/>
      <c r="I1430" s="18" t="n"/>
      <c r="J1430" s="20" t="n"/>
      <c r="K1430" s="21" t="n"/>
      <c r="L1430" s="21" t="n"/>
      <c r="M1430" s="18" t="n"/>
      <c r="N1430" s="22">
        <f>IF($B1430="","",CHOOSE(WEEKDAY($B1430),"الأحد","الاثنين","الثلاثاء","الأربعاء","الخميس","الجمعة","السبت"))</f>
        <v/>
      </c>
      <c r="O1430" s="23">
        <f>IF(OR($K1430="",$L1430=""),"",HYPERLINK("https://maps.google.com/?q="&amp;$K1430&amp;","&amp;$L1430,"عرض الموقع"))</f>
        <v/>
      </c>
      <c r="P1430" s="23">
        <f>IF(OR($B1430="",N($J1430)=0),"",HYPERLINK(PhotoDir&amp;"/"&amp;YEAR($B1430)&amp;"-"&amp;TEXT(MONTH($B1430),"00")&amp;"-"&amp;TEXT(DAY($B1430),"00")&amp;"_"&amp;$D1430,"فتح الصور ("&amp;$J1430&amp;")"))</f>
        <v/>
      </c>
      <c r="Q1430" s="24">
        <f>IF($B1430="","",MONTH($B1430))</f>
        <v/>
      </c>
      <c r="R1430" s="24">
        <f>IF($B1430="","",YEAR($B1430))</f>
        <v/>
      </c>
      <c r="S1430" s="25">
        <f>IF($B1430="","",$B1430-WEEKDAY($B1430,3))</f>
        <v/>
      </c>
      <c r="T1430" s="24">
        <f>IF($B1430="",0,IF(COUNTIFS($B$5:$B1430,$B1430,$D$5:$D1430,$D1430)=1,1,0))</f>
        <v/>
      </c>
      <c r="U1430" s="24">
        <f>IF($B1430="",0,IF(COUNTIFS($B$5:$B1430,$B1430,$C$5:$C1430,$C1430)=1,1,0))</f>
        <v/>
      </c>
      <c r="V1430" s="24">
        <f>IF(OR($B1430="",$G1430="",$G1430="لا توجد مشاهدات"),0,1)</f>
        <v/>
      </c>
      <c r="W1430" s="24">
        <f>IF(AND($B1430&lt;&gt;"",$I1430="تم تحرير مخالفة"),1,0)</f>
        <v/>
      </c>
      <c r="X1430" s="24">
        <f>IF($B1430="","",IF($S1430=WkStart,COUNTIF($S$5:$S1430,WkStart),""))</f>
        <v/>
      </c>
    </row>
    <row r="1431">
      <c r="A1431" s="16">
        <f>IF($B1431="","",ROW()-4)</f>
        <v/>
      </c>
      <c r="B1431" s="17" t="n"/>
      <c r="C1431" s="18" t="n"/>
      <c r="D1431" s="18" t="n"/>
      <c r="E1431" s="19" t="n"/>
      <c r="F1431" s="19" t="n"/>
      <c r="G1431" s="18" t="n"/>
      <c r="H1431" s="18" t="n"/>
      <c r="I1431" s="18" t="n"/>
      <c r="J1431" s="20" t="n"/>
      <c r="K1431" s="21" t="n"/>
      <c r="L1431" s="21" t="n"/>
      <c r="M1431" s="18" t="n"/>
      <c r="N1431" s="22">
        <f>IF($B1431="","",CHOOSE(WEEKDAY($B1431),"الأحد","الاثنين","الثلاثاء","الأربعاء","الخميس","الجمعة","السبت"))</f>
        <v/>
      </c>
      <c r="O1431" s="23">
        <f>IF(OR($K1431="",$L1431=""),"",HYPERLINK("https://maps.google.com/?q="&amp;$K1431&amp;","&amp;$L1431,"عرض الموقع"))</f>
        <v/>
      </c>
      <c r="P1431" s="23">
        <f>IF(OR($B1431="",N($J1431)=0),"",HYPERLINK(PhotoDir&amp;"/"&amp;YEAR($B1431)&amp;"-"&amp;TEXT(MONTH($B1431),"00")&amp;"-"&amp;TEXT(DAY($B1431),"00")&amp;"_"&amp;$D1431,"فتح الصور ("&amp;$J1431&amp;")"))</f>
        <v/>
      </c>
      <c r="Q1431" s="24">
        <f>IF($B1431="","",MONTH($B1431))</f>
        <v/>
      </c>
      <c r="R1431" s="24">
        <f>IF($B1431="","",YEAR($B1431))</f>
        <v/>
      </c>
      <c r="S1431" s="25">
        <f>IF($B1431="","",$B1431-WEEKDAY($B1431,3))</f>
        <v/>
      </c>
      <c r="T1431" s="24">
        <f>IF($B1431="",0,IF(COUNTIFS($B$5:$B1431,$B1431,$D$5:$D1431,$D1431)=1,1,0))</f>
        <v/>
      </c>
      <c r="U1431" s="24">
        <f>IF($B1431="",0,IF(COUNTIFS($B$5:$B1431,$B1431,$C$5:$C1431,$C1431)=1,1,0))</f>
        <v/>
      </c>
      <c r="V1431" s="24">
        <f>IF(OR($B1431="",$G1431="",$G1431="لا توجد مشاهدات"),0,1)</f>
        <v/>
      </c>
      <c r="W1431" s="24">
        <f>IF(AND($B1431&lt;&gt;"",$I1431="تم تحرير مخالفة"),1,0)</f>
        <v/>
      </c>
      <c r="X1431" s="24">
        <f>IF($B1431="","",IF($S1431=WkStart,COUNTIF($S$5:$S1431,WkStart),""))</f>
        <v/>
      </c>
    </row>
    <row r="1432">
      <c r="A1432" s="16">
        <f>IF($B1432="","",ROW()-4)</f>
        <v/>
      </c>
      <c r="B1432" s="17" t="n"/>
      <c r="C1432" s="18" t="n"/>
      <c r="D1432" s="18" t="n"/>
      <c r="E1432" s="19" t="n"/>
      <c r="F1432" s="19" t="n"/>
      <c r="G1432" s="18" t="n"/>
      <c r="H1432" s="18" t="n"/>
      <c r="I1432" s="18" t="n"/>
      <c r="J1432" s="20" t="n"/>
      <c r="K1432" s="21" t="n"/>
      <c r="L1432" s="21" t="n"/>
      <c r="M1432" s="18" t="n"/>
      <c r="N1432" s="22">
        <f>IF($B1432="","",CHOOSE(WEEKDAY($B1432),"الأحد","الاثنين","الثلاثاء","الأربعاء","الخميس","الجمعة","السبت"))</f>
        <v/>
      </c>
      <c r="O1432" s="23">
        <f>IF(OR($K1432="",$L1432=""),"",HYPERLINK("https://maps.google.com/?q="&amp;$K1432&amp;","&amp;$L1432,"عرض الموقع"))</f>
        <v/>
      </c>
      <c r="P1432" s="23">
        <f>IF(OR($B1432="",N($J1432)=0),"",HYPERLINK(PhotoDir&amp;"/"&amp;YEAR($B1432)&amp;"-"&amp;TEXT(MONTH($B1432),"00")&amp;"-"&amp;TEXT(DAY($B1432),"00")&amp;"_"&amp;$D1432,"فتح الصور ("&amp;$J1432&amp;")"))</f>
        <v/>
      </c>
      <c r="Q1432" s="24">
        <f>IF($B1432="","",MONTH($B1432))</f>
        <v/>
      </c>
      <c r="R1432" s="24">
        <f>IF($B1432="","",YEAR($B1432))</f>
        <v/>
      </c>
      <c r="S1432" s="25">
        <f>IF($B1432="","",$B1432-WEEKDAY($B1432,3))</f>
        <v/>
      </c>
      <c r="T1432" s="24">
        <f>IF($B1432="",0,IF(COUNTIFS($B$5:$B1432,$B1432,$D$5:$D1432,$D1432)=1,1,0))</f>
        <v/>
      </c>
      <c r="U1432" s="24">
        <f>IF($B1432="",0,IF(COUNTIFS($B$5:$B1432,$B1432,$C$5:$C1432,$C1432)=1,1,0))</f>
        <v/>
      </c>
      <c r="V1432" s="24">
        <f>IF(OR($B1432="",$G1432="",$G1432="لا توجد مشاهدات"),0,1)</f>
        <v/>
      </c>
      <c r="W1432" s="24">
        <f>IF(AND($B1432&lt;&gt;"",$I1432="تم تحرير مخالفة"),1,0)</f>
        <v/>
      </c>
      <c r="X1432" s="24">
        <f>IF($B1432="","",IF($S1432=WkStart,COUNTIF($S$5:$S1432,WkStart),""))</f>
        <v/>
      </c>
    </row>
    <row r="1433">
      <c r="A1433" s="16">
        <f>IF($B1433="","",ROW()-4)</f>
        <v/>
      </c>
      <c r="B1433" s="17" t="n"/>
      <c r="C1433" s="18" t="n"/>
      <c r="D1433" s="18" t="n"/>
      <c r="E1433" s="19" t="n"/>
      <c r="F1433" s="19" t="n"/>
      <c r="G1433" s="18" t="n"/>
      <c r="H1433" s="18" t="n"/>
      <c r="I1433" s="18" t="n"/>
      <c r="J1433" s="20" t="n"/>
      <c r="K1433" s="21" t="n"/>
      <c r="L1433" s="21" t="n"/>
      <c r="M1433" s="18" t="n"/>
      <c r="N1433" s="22">
        <f>IF($B1433="","",CHOOSE(WEEKDAY($B1433),"الأحد","الاثنين","الثلاثاء","الأربعاء","الخميس","الجمعة","السبت"))</f>
        <v/>
      </c>
      <c r="O1433" s="23">
        <f>IF(OR($K1433="",$L1433=""),"",HYPERLINK("https://maps.google.com/?q="&amp;$K1433&amp;","&amp;$L1433,"عرض الموقع"))</f>
        <v/>
      </c>
      <c r="P1433" s="23">
        <f>IF(OR($B1433="",N($J1433)=0),"",HYPERLINK(PhotoDir&amp;"/"&amp;YEAR($B1433)&amp;"-"&amp;TEXT(MONTH($B1433),"00")&amp;"-"&amp;TEXT(DAY($B1433),"00")&amp;"_"&amp;$D1433,"فتح الصور ("&amp;$J1433&amp;")"))</f>
        <v/>
      </c>
      <c r="Q1433" s="24">
        <f>IF($B1433="","",MONTH($B1433))</f>
        <v/>
      </c>
      <c r="R1433" s="24">
        <f>IF($B1433="","",YEAR($B1433))</f>
        <v/>
      </c>
      <c r="S1433" s="25">
        <f>IF($B1433="","",$B1433-WEEKDAY($B1433,3))</f>
        <v/>
      </c>
      <c r="T1433" s="24">
        <f>IF($B1433="",0,IF(COUNTIFS($B$5:$B1433,$B1433,$D$5:$D1433,$D1433)=1,1,0))</f>
        <v/>
      </c>
      <c r="U1433" s="24">
        <f>IF($B1433="",0,IF(COUNTIFS($B$5:$B1433,$B1433,$C$5:$C1433,$C1433)=1,1,0))</f>
        <v/>
      </c>
      <c r="V1433" s="24">
        <f>IF(OR($B1433="",$G1433="",$G1433="لا توجد مشاهدات"),0,1)</f>
        <v/>
      </c>
      <c r="W1433" s="24">
        <f>IF(AND($B1433&lt;&gt;"",$I1433="تم تحرير مخالفة"),1,0)</f>
        <v/>
      </c>
      <c r="X1433" s="24">
        <f>IF($B1433="","",IF($S1433=WkStart,COUNTIF($S$5:$S1433,WkStart),""))</f>
        <v/>
      </c>
    </row>
    <row r="1434">
      <c r="A1434" s="16">
        <f>IF($B1434="","",ROW()-4)</f>
        <v/>
      </c>
      <c r="B1434" s="17" t="n"/>
      <c r="C1434" s="18" t="n"/>
      <c r="D1434" s="18" t="n"/>
      <c r="E1434" s="19" t="n"/>
      <c r="F1434" s="19" t="n"/>
      <c r="G1434" s="18" t="n"/>
      <c r="H1434" s="18" t="n"/>
      <c r="I1434" s="18" t="n"/>
      <c r="J1434" s="20" t="n"/>
      <c r="K1434" s="21" t="n"/>
      <c r="L1434" s="21" t="n"/>
      <c r="M1434" s="18" t="n"/>
      <c r="N1434" s="22">
        <f>IF($B1434="","",CHOOSE(WEEKDAY($B1434),"الأحد","الاثنين","الثلاثاء","الأربعاء","الخميس","الجمعة","السبت"))</f>
        <v/>
      </c>
      <c r="O1434" s="23">
        <f>IF(OR($K1434="",$L1434=""),"",HYPERLINK("https://maps.google.com/?q="&amp;$K1434&amp;","&amp;$L1434,"عرض الموقع"))</f>
        <v/>
      </c>
      <c r="P1434" s="23">
        <f>IF(OR($B1434="",N($J1434)=0),"",HYPERLINK(PhotoDir&amp;"/"&amp;YEAR($B1434)&amp;"-"&amp;TEXT(MONTH($B1434),"00")&amp;"-"&amp;TEXT(DAY($B1434),"00")&amp;"_"&amp;$D1434,"فتح الصور ("&amp;$J1434&amp;")"))</f>
        <v/>
      </c>
      <c r="Q1434" s="24">
        <f>IF($B1434="","",MONTH($B1434))</f>
        <v/>
      </c>
      <c r="R1434" s="24">
        <f>IF($B1434="","",YEAR($B1434))</f>
        <v/>
      </c>
      <c r="S1434" s="25">
        <f>IF($B1434="","",$B1434-WEEKDAY($B1434,3))</f>
        <v/>
      </c>
      <c r="T1434" s="24">
        <f>IF($B1434="",0,IF(COUNTIFS($B$5:$B1434,$B1434,$D$5:$D1434,$D1434)=1,1,0))</f>
        <v/>
      </c>
      <c r="U1434" s="24">
        <f>IF($B1434="",0,IF(COUNTIFS($B$5:$B1434,$B1434,$C$5:$C1434,$C1434)=1,1,0))</f>
        <v/>
      </c>
      <c r="V1434" s="24">
        <f>IF(OR($B1434="",$G1434="",$G1434="لا توجد مشاهدات"),0,1)</f>
        <v/>
      </c>
      <c r="W1434" s="24">
        <f>IF(AND($B1434&lt;&gt;"",$I1434="تم تحرير مخالفة"),1,0)</f>
        <v/>
      </c>
      <c r="X1434" s="24">
        <f>IF($B1434="","",IF($S1434=WkStart,COUNTIF($S$5:$S1434,WkStart),""))</f>
        <v/>
      </c>
    </row>
    <row r="1435">
      <c r="A1435" s="16">
        <f>IF($B1435="","",ROW()-4)</f>
        <v/>
      </c>
      <c r="B1435" s="17" t="n"/>
      <c r="C1435" s="18" t="n"/>
      <c r="D1435" s="18" t="n"/>
      <c r="E1435" s="19" t="n"/>
      <c r="F1435" s="19" t="n"/>
      <c r="G1435" s="18" t="n"/>
      <c r="H1435" s="18" t="n"/>
      <c r="I1435" s="18" t="n"/>
      <c r="J1435" s="20" t="n"/>
      <c r="K1435" s="21" t="n"/>
      <c r="L1435" s="21" t="n"/>
      <c r="M1435" s="18" t="n"/>
      <c r="N1435" s="22">
        <f>IF($B1435="","",CHOOSE(WEEKDAY($B1435),"الأحد","الاثنين","الثلاثاء","الأربعاء","الخميس","الجمعة","السبت"))</f>
        <v/>
      </c>
      <c r="O1435" s="23">
        <f>IF(OR($K1435="",$L1435=""),"",HYPERLINK("https://maps.google.com/?q="&amp;$K1435&amp;","&amp;$L1435,"عرض الموقع"))</f>
        <v/>
      </c>
      <c r="P1435" s="23">
        <f>IF(OR($B1435="",N($J1435)=0),"",HYPERLINK(PhotoDir&amp;"/"&amp;YEAR($B1435)&amp;"-"&amp;TEXT(MONTH($B1435),"00")&amp;"-"&amp;TEXT(DAY($B1435),"00")&amp;"_"&amp;$D1435,"فتح الصور ("&amp;$J1435&amp;")"))</f>
        <v/>
      </c>
      <c r="Q1435" s="24">
        <f>IF($B1435="","",MONTH($B1435))</f>
        <v/>
      </c>
      <c r="R1435" s="24">
        <f>IF($B1435="","",YEAR($B1435))</f>
        <v/>
      </c>
      <c r="S1435" s="25">
        <f>IF($B1435="","",$B1435-WEEKDAY($B1435,3))</f>
        <v/>
      </c>
      <c r="T1435" s="24">
        <f>IF($B1435="",0,IF(COUNTIFS($B$5:$B1435,$B1435,$D$5:$D1435,$D1435)=1,1,0))</f>
        <v/>
      </c>
      <c r="U1435" s="24">
        <f>IF($B1435="",0,IF(COUNTIFS($B$5:$B1435,$B1435,$C$5:$C1435,$C1435)=1,1,0))</f>
        <v/>
      </c>
      <c r="V1435" s="24">
        <f>IF(OR($B1435="",$G1435="",$G1435="لا توجد مشاهدات"),0,1)</f>
        <v/>
      </c>
      <c r="W1435" s="24">
        <f>IF(AND($B1435&lt;&gt;"",$I1435="تم تحرير مخالفة"),1,0)</f>
        <v/>
      </c>
      <c r="X1435" s="24">
        <f>IF($B1435="","",IF($S1435=WkStart,COUNTIF($S$5:$S1435,WkStart),""))</f>
        <v/>
      </c>
    </row>
    <row r="1436">
      <c r="A1436" s="16">
        <f>IF($B1436="","",ROW()-4)</f>
        <v/>
      </c>
      <c r="B1436" s="17" t="n"/>
      <c r="C1436" s="18" t="n"/>
      <c r="D1436" s="18" t="n"/>
      <c r="E1436" s="19" t="n"/>
      <c r="F1436" s="19" t="n"/>
      <c r="G1436" s="18" t="n"/>
      <c r="H1436" s="18" t="n"/>
      <c r="I1436" s="18" t="n"/>
      <c r="J1436" s="20" t="n"/>
      <c r="K1436" s="21" t="n"/>
      <c r="L1436" s="21" t="n"/>
      <c r="M1436" s="18" t="n"/>
      <c r="N1436" s="22">
        <f>IF($B1436="","",CHOOSE(WEEKDAY($B1436),"الأحد","الاثنين","الثلاثاء","الأربعاء","الخميس","الجمعة","السبت"))</f>
        <v/>
      </c>
      <c r="O1436" s="23">
        <f>IF(OR($K1436="",$L1436=""),"",HYPERLINK("https://maps.google.com/?q="&amp;$K1436&amp;","&amp;$L1436,"عرض الموقع"))</f>
        <v/>
      </c>
      <c r="P1436" s="23">
        <f>IF(OR($B1436="",N($J1436)=0),"",HYPERLINK(PhotoDir&amp;"/"&amp;YEAR($B1436)&amp;"-"&amp;TEXT(MONTH($B1436),"00")&amp;"-"&amp;TEXT(DAY($B1436),"00")&amp;"_"&amp;$D1436,"فتح الصور ("&amp;$J1436&amp;")"))</f>
        <v/>
      </c>
      <c r="Q1436" s="24">
        <f>IF($B1436="","",MONTH($B1436))</f>
        <v/>
      </c>
      <c r="R1436" s="24">
        <f>IF($B1436="","",YEAR($B1436))</f>
        <v/>
      </c>
      <c r="S1436" s="25">
        <f>IF($B1436="","",$B1436-WEEKDAY($B1436,3))</f>
        <v/>
      </c>
      <c r="T1436" s="24">
        <f>IF($B1436="",0,IF(COUNTIFS($B$5:$B1436,$B1436,$D$5:$D1436,$D1436)=1,1,0))</f>
        <v/>
      </c>
      <c r="U1436" s="24">
        <f>IF($B1436="",0,IF(COUNTIFS($B$5:$B1436,$B1436,$C$5:$C1436,$C1436)=1,1,0))</f>
        <v/>
      </c>
      <c r="V1436" s="24">
        <f>IF(OR($B1436="",$G1436="",$G1436="لا توجد مشاهدات"),0,1)</f>
        <v/>
      </c>
      <c r="W1436" s="24">
        <f>IF(AND($B1436&lt;&gt;"",$I1436="تم تحرير مخالفة"),1,0)</f>
        <v/>
      </c>
      <c r="X1436" s="24">
        <f>IF($B1436="","",IF($S1436=WkStart,COUNTIF($S$5:$S1436,WkStart),""))</f>
        <v/>
      </c>
    </row>
    <row r="1437">
      <c r="A1437" s="16">
        <f>IF($B1437="","",ROW()-4)</f>
        <v/>
      </c>
      <c r="B1437" s="17" t="n"/>
      <c r="C1437" s="18" t="n"/>
      <c r="D1437" s="18" t="n"/>
      <c r="E1437" s="19" t="n"/>
      <c r="F1437" s="19" t="n"/>
      <c r="G1437" s="18" t="n"/>
      <c r="H1437" s="18" t="n"/>
      <c r="I1437" s="18" t="n"/>
      <c r="J1437" s="20" t="n"/>
      <c r="K1437" s="21" t="n"/>
      <c r="L1437" s="21" t="n"/>
      <c r="M1437" s="18" t="n"/>
      <c r="N1437" s="22">
        <f>IF($B1437="","",CHOOSE(WEEKDAY($B1437),"الأحد","الاثنين","الثلاثاء","الأربعاء","الخميس","الجمعة","السبت"))</f>
        <v/>
      </c>
      <c r="O1437" s="23">
        <f>IF(OR($K1437="",$L1437=""),"",HYPERLINK("https://maps.google.com/?q="&amp;$K1437&amp;","&amp;$L1437,"عرض الموقع"))</f>
        <v/>
      </c>
      <c r="P1437" s="23">
        <f>IF(OR($B1437="",N($J1437)=0),"",HYPERLINK(PhotoDir&amp;"/"&amp;YEAR($B1437)&amp;"-"&amp;TEXT(MONTH($B1437),"00")&amp;"-"&amp;TEXT(DAY($B1437),"00")&amp;"_"&amp;$D1437,"فتح الصور ("&amp;$J1437&amp;")"))</f>
        <v/>
      </c>
      <c r="Q1437" s="24">
        <f>IF($B1437="","",MONTH($B1437))</f>
        <v/>
      </c>
      <c r="R1437" s="24">
        <f>IF($B1437="","",YEAR($B1437))</f>
        <v/>
      </c>
      <c r="S1437" s="25">
        <f>IF($B1437="","",$B1437-WEEKDAY($B1437,3))</f>
        <v/>
      </c>
      <c r="T1437" s="24">
        <f>IF($B1437="",0,IF(COUNTIFS($B$5:$B1437,$B1437,$D$5:$D1437,$D1437)=1,1,0))</f>
        <v/>
      </c>
      <c r="U1437" s="24">
        <f>IF($B1437="",0,IF(COUNTIFS($B$5:$B1437,$B1437,$C$5:$C1437,$C1437)=1,1,0))</f>
        <v/>
      </c>
      <c r="V1437" s="24">
        <f>IF(OR($B1437="",$G1437="",$G1437="لا توجد مشاهدات"),0,1)</f>
        <v/>
      </c>
      <c r="W1437" s="24">
        <f>IF(AND($B1437&lt;&gt;"",$I1437="تم تحرير مخالفة"),1,0)</f>
        <v/>
      </c>
      <c r="X1437" s="24">
        <f>IF($B1437="","",IF($S1437=WkStart,COUNTIF($S$5:$S1437,WkStart),""))</f>
        <v/>
      </c>
    </row>
    <row r="1438">
      <c r="A1438" s="16">
        <f>IF($B1438="","",ROW()-4)</f>
        <v/>
      </c>
      <c r="B1438" s="17" t="n"/>
      <c r="C1438" s="18" t="n"/>
      <c r="D1438" s="18" t="n"/>
      <c r="E1438" s="19" t="n"/>
      <c r="F1438" s="19" t="n"/>
      <c r="G1438" s="18" t="n"/>
      <c r="H1438" s="18" t="n"/>
      <c r="I1438" s="18" t="n"/>
      <c r="J1438" s="20" t="n"/>
      <c r="K1438" s="21" t="n"/>
      <c r="L1438" s="21" t="n"/>
      <c r="M1438" s="18" t="n"/>
      <c r="N1438" s="22">
        <f>IF($B1438="","",CHOOSE(WEEKDAY($B1438),"الأحد","الاثنين","الثلاثاء","الأربعاء","الخميس","الجمعة","السبت"))</f>
        <v/>
      </c>
      <c r="O1438" s="23">
        <f>IF(OR($K1438="",$L1438=""),"",HYPERLINK("https://maps.google.com/?q="&amp;$K1438&amp;","&amp;$L1438,"عرض الموقع"))</f>
        <v/>
      </c>
      <c r="P1438" s="23">
        <f>IF(OR($B1438="",N($J1438)=0),"",HYPERLINK(PhotoDir&amp;"/"&amp;YEAR($B1438)&amp;"-"&amp;TEXT(MONTH($B1438),"00")&amp;"-"&amp;TEXT(DAY($B1438),"00")&amp;"_"&amp;$D1438,"فتح الصور ("&amp;$J1438&amp;")"))</f>
        <v/>
      </c>
      <c r="Q1438" s="24">
        <f>IF($B1438="","",MONTH($B1438))</f>
        <v/>
      </c>
      <c r="R1438" s="24">
        <f>IF($B1438="","",YEAR($B1438))</f>
        <v/>
      </c>
      <c r="S1438" s="25">
        <f>IF($B1438="","",$B1438-WEEKDAY($B1438,3))</f>
        <v/>
      </c>
      <c r="T1438" s="24">
        <f>IF($B1438="",0,IF(COUNTIFS($B$5:$B1438,$B1438,$D$5:$D1438,$D1438)=1,1,0))</f>
        <v/>
      </c>
      <c r="U1438" s="24">
        <f>IF($B1438="",0,IF(COUNTIFS($B$5:$B1438,$B1438,$C$5:$C1438,$C1438)=1,1,0))</f>
        <v/>
      </c>
      <c r="V1438" s="24">
        <f>IF(OR($B1438="",$G1438="",$G1438="لا توجد مشاهدات"),0,1)</f>
        <v/>
      </c>
      <c r="W1438" s="24">
        <f>IF(AND($B1438&lt;&gt;"",$I1438="تم تحرير مخالفة"),1,0)</f>
        <v/>
      </c>
      <c r="X1438" s="24">
        <f>IF($B1438="","",IF($S1438=WkStart,COUNTIF($S$5:$S1438,WkStart),""))</f>
        <v/>
      </c>
    </row>
    <row r="1439">
      <c r="A1439" s="16">
        <f>IF($B1439="","",ROW()-4)</f>
        <v/>
      </c>
      <c r="B1439" s="17" t="n"/>
      <c r="C1439" s="18" t="n"/>
      <c r="D1439" s="18" t="n"/>
      <c r="E1439" s="19" t="n"/>
      <c r="F1439" s="19" t="n"/>
      <c r="G1439" s="18" t="n"/>
      <c r="H1439" s="18" t="n"/>
      <c r="I1439" s="18" t="n"/>
      <c r="J1439" s="20" t="n"/>
      <c r="K1439" s="21" t="n"/>
      <c r="L1439" s="21" t="n"/>
      <c r="M1439" s="18" t="n"/>
      <c r="N1439" s="22">
        <f>IF($B1439="","",CHOOSE(WEEKDAY($B1439),"الأحد","الاثنين","الثلاثاء","الأربعاء","الخميس","الجمعة","السبت"))</f>
        <v/>
      </c>
      <c r="O1439" s="23">
        <f>IF(OR($K1439="",$L1439=""),"",HYPERLINK("https://maps.google.com/?q="&amp;$K1439&amp;","&amp;$L1439,"عرض الموقع"))</f>
        <v/>
      </c>
      <c r="P1439" s="23">
        <f>IF(OR($B1439="",N($J1439)=0),"",HYPERLINK(PhotoDir&amp;"/"&amp;YEAR($B1439)&amp;"-"&amp;TEXT(MONTH($B1439),"00")&amp;"-"&amp;TEXT(DAY($B1439),"00")&amp;"_"&amp;$D1439,"فتح الصور ("&amp;$J1439&amp;")"))</f>
        <v/>
      </c>
      <c r="Q1439" s="24">
        <f>IF($B1439="","",MONTH($B1439))</f>
        <v/>
      </c>
      <c r="R1439" s="24">
        <f>IF($B1439="","",YEAR($B1439))</f>
        <v/>
      </c>
      <c r="S1439" s="25">
        <f>IF($B1439="","",$B1439-WEEKDAY($B1439,3))</f>
        <v/>
      </c>
      <c r="T1439" s="24">
        <f>IF($B1439="",0,IF(COUNTIFS($B$5:$B1439,$B1439,$D$5:$D1439,$D1439)=1,1,0))</f>
        <v/>
      </c>
      <c r="U1439" s="24">
        <f>IF($B1439="",0,IF(COUNTIFS($B$5:$B1439,$B1439,$C$5:$C1439,$C1439)=1,1,0))</f>
        <v/>
      </c>
      <c r="V1439" s="24">
        <f>IF(OR($B1439="",$G1439="",$G1439="لا توجد مشاهدات"),0,1)</f>
        <v/>
      </c>
      <c r="W1439" s="24">
        <f>IF(AND($B1439&lt;&gt;"",$I1439="تم تحرير مخالفة"),1,0)</f>
        <v/>
      </c>
      <c r="X1439" s="24">
        <f>IF($B1439="","",IF($S1439=WkStart,COUNTIF($S$5:$S1439,WkStart),""))</f>
        <v/>
      </c>
    </row>
    <row r="1440">
      <c r="A1440" s="16">
        <f>IF($B1440="","",ROW()-4)</f>
        <v/>
      </c>
      <c r="B1440" s="17" t="n"/>
      <c r="C1440" s="18" t="n"/>
      <c r="D1440" s="18" t="n"/>
      <c r="E1440" s="19" t="n"/>
      <c r="F1440" s="19" t="n"/>
      <c r="G1440" s="18" t="n"/>
      <c r="H1440" s="18" t="n"/>
      <c r="I1440" s="18" t="n"/>
      <c r="J1440" s="20" t="n"/>
      <c r="K1440" s="21" t="n"/>
      <c r="L1440" s="21" t="n"/>
      <c r="M1440" s="18" t="n"/>
      <c r="N1440" s="22">
        <f>IF($B1440="","",CHOOSE(WEEKDAY($B1440),"الأحد","الاثنين","الثلاثاء","الأربعاء","الخميس","الجمعة","السبت"))</f>
        <v/>
      </c>
      <c r="O1440" s="23">
        <f>IF(OR($K1440="",$L1440=""),"",HYPERLINK("https://maps.google.com/?q="&amp;$K1440&amp;","&amp;$L1440,"عرض الموقع"))</f>
        <v/>
      </c>
      <c r="P1440" s="23">
        <f>IF(OR($B1440="",N($J1440)=0),"",HYPERLINK(PhotoDir&amp;"/"&amp;YEAR($B1440)&amp;"-"&amp;TEXT(MONTH($B1440),"00")&amp;"-"&amp;TEXT(DAY($B1440),"00")&amp;"_"&amp;$D1440,"فتح الصور ("&amp;$J1440&amp;")"))</f>
        <v/>
      </c>
      <c r="Q1440" s="24">
        <f>IF($B1440="","",MONTH($B1440))</f>
        <v/>
      </c>
      <c r="R1440" s="24">
        <f>IF($B1440="","",YEAR($B1440))</f>
        <v/>
      </c>
      <c r="S1440" s="25">
        <f>IF($B1440="","",$B1440-WEEKDAY($B1440,3))</f>
        <v/>
      </c>
      <c r="T1440" s="24">
        <f>IF($B1440="",0,IF(COUNTIFS($B$5:$B1440,$B1440,$D$5:$D1440,$D1440)=1,1,0))</f>
        <v/>
      </c>
      <c r="U1440" s="24">
        <f>IF($B1440="",0,IF(COUNTIFS($B$5:$B1440,$B1440,$C$5:$C1440,$C1440)=1,1,0))</f>
        <v/>
      </c>
      <c r="V1440" s="24">
        <f>IF(OR($B1440="",$G1440="",$G1440="لا توجد مشاهدات"),0,1)</f>
        <v/>
      </c>
      <c r="W1440" s="24">
        <f>IF(AND($B1440&lt;&gt;"",$I1440="تم تحرير مخالفة"),1,0)</f>
        <v/>
      </c>
      <c r="X1440" s="24">
        <f>IF($B1440="","",IF($S1440=WkStart,COUNTIF($S$5:$S1440,WkStart),""))</f>
        <v/>
      </c>
    </row>
    <row r="1441">
      <c r="A1441" s="16">
        <f>IF($B1441="","",ROW()-4)</f>
        <v/>
      </c>
      <c r="B1441" s="17" t="n"/>
      <c r="C1441" s="18" t="n"/>
      <c r="D1441" s="18" t="n"/>
      <c r="E1441" s="19" t="n"/>
      <c r="F1441" s="19" t="n"/>
      <c r="G1441" s="18" t="n"/>
      <c r="H1441" s="18" t="n"/>
      <c r="I1441" s="18" t="n"/>
      <c r="J1441" s="20" t="n"/>
      <c r="K1441" s="21" t="n"/>
      <c r="L1441" s="21" t="n"/>
      <c r="M1441" s="18" t="n"/>
      <c r="N1441" s="22">
        <f>IF($B1441="","",CHOOSE(WEEKDAY($B1441),"الأحد","الاثنين","الثلاثاء","الأربعاء","الخميس","الجمعة","السبت"))</f>
        <v/>
      </c>
      <c r="O1441" s="23">
        <f>IF(OR($K1441="",$L1441=""),"",HYPERLINK("https://maps.google.com/?q="&amp;$K1441&amp;","&amp;$L1441,"عرض الموقع"))</f>
        <v/>
      </c>
      <c r="P1441" s="23">
        <f>IF(OR($B1441="",N($J1441)=0),"",HYPERLINK(PhotoDir&amp;"/"&amp;YEAR($B1441)&amp;"-"&amp;TEXT(MONTH($B1441),"00")&amp;"-"&amp;TEXT(DAY($B1441),"00")&amp;"_"&amp;$D1441,"فتح الصور ("&amp;$J1441&amp;")"))</f>
        <v/>
      </c>
      <c r="Q1441" s="24">
        <f>IF($B1441="","",MONTH($B1441))</f>
        <v/>
      </c>
      <c r="R1441" s="24">
        <f>IF($B1441="","",YEAR($B1441))</f>
        <v/>
      </c>
      <c r="S1441" s="25">
        <f>IF($B1441="","",$B1441-WEEKDAY($B1441,3))</f>
        <v/>
      </c>
      <c r="T1441" s="24">
        <f>IF($B1441="",0,IF(COUNTIFS($B$5:$B1441,$B1441,$D$5:$D1441,$D1441)=1,1,0))</f>
        <v/>
      </c>
      <c r="U1441" s="24">
        <f>IF($B1441="",0,IF(COUNTIFS($B$5:$B1441,$B1441,$C$5:$C1441,$C1441)=1,1,0))</f>
        <v/>
      </c>
      <c r="V1441" s="24">
        <f>IF(OR($B1441="",$G1441="",$G1441="لا توجد مشاهدات"),0,1)</f>
        <v/>
      </c>
      <c r="W1441" s="24">
        <f>IF(AND($B1441&lt;&gt;"",$I1441="تم تحرير مخالفة"),1,0)</f>
        <v/>
      </c>
      <c r="X1441" s="24">
        <f>IF($B1441="","",IF($S1441=WkStart,COUNTIF($S$5:$S1441,WkStart),""))</f>
        <v/>
      </c>
    </row>
    <row r="1442">
      <c r="A1442" s="16">
        <f>IF($B1442="","",ROW()-4)</f>
        <v/>
      </c>
      <c r="B1442" s="17" t="n"/>
      <c r="C1442" s="18" t="n"/>
      <c r="D1442" s="18" t="n"/>
      <c r="E1442" s="19" t="n"/>
      <c r="F1442" s="19" t="n"/>
      <c r="G1442" s="18" t="n"/>
      <c r="H1442" s="18" t="n"/>
      <c r="I1442" s="18" t="n"/>
      <c r="J1442" s="20" t="n"/>
      <c r="K1442" s="21" t="n"/>
      <c r="L1442" s="21" t="n"/>
      <c r="M1442" s="18" t="n"/>
      <c r="N1442" s="22">
        <f>IF($B1442="","",CHOOSE(WEEKDAY($B1442),"الأحد","الاثنين","الثلاثاء","الأربعاء","الخميس","الجمعة","السبت"))</f>
        <v/>
      </c>
      <c r="O1442" s="23">
        <f>IF(OR($K1442="",$L1442=""),"",HYPERLINK("https://maps.google.com/?q="&amp;$K1442&amp;","&amp;$L1442,"عرض الموقع"))</f>
        <v/>
      </c>
      <c r="P1442" s="23">
        <f>IF(OR($B1442="",N($J1442)=0),"",HYPERLINK(PhotoDir&amp;"/"&amp;YEAR($B1442)&amp;"-"&amp;TEXT(MONTH($B1442),"00")&amp;"-"&amp;TEXT(DAY($B1442),"00")&amp;"_"&amp;$D1442,"فتح الصور ("&amp;$J1442&amp;")"))</f>
        <v/>
      </c>
      <c r="Q1442" s="24">
        <f>IF($B1442="","",MONTH($B1442))</f>
        <v/>
      </c>
      <c r="R1442" s="24">
        <f>IF($B1442="","",YEAR($B1442))</f>
        <v/>
      </c>
      <c r="S1442" s="25">
        <f>IF($B1442="","",$B1442-WEEKDAY($B1442,3))</f>
        <v/>
      </c>
      <c r="T1442" s="24">
        <f>IF($B1442="",0,IF(COUNTIFS($B$5:$B1442,$B1442,$D$5:$D1442,$D1442)=1,1,0))</f>
        <v/>
      </c>
      <c r="U1442" s="24">
        <f>IF($B1442="",0,IF(COUNTIFS($B$5:$B1442,$B1442,$C$5:$C1442,$C1442)=1,1,0))</f>
        <v/>
      </c>
      <c r="V1442" s="24">
        <f>IF(OR($B1442="",$G1442="",$G1442="لا توجد مشاهدات"),0,1)</f>
        <v/>
      </c>
      <c r="W1442" s="24">
        <f>IF(AND($B1442&lt;&gt;"",$I1442="تم تحرير مخالفة"),1,0)</f>
        <v/>
      </c>
      <c r="X1442" s="24">
        <f>IF($B1442="","",IF($S1442=WkStart,COUNTIF($S$5:$S1442,WkStart),""))</f>
        <v/>
      </c>
    </row>
    <row r="1443">
      <c r="A1443" s="16">
        <f>IF($B1443="","",ROW()-4)</f>
        <v/>
      </c>
      <c r="B1443" s="17" t="n"/>
      <c r="C1443" s="18" t="n"/>
      <c r="D1443" s="18" t="n"/>
      <c r="E1443" s="19" t="n"/>
      <c r="F1443" s="19" t="n"/>
      <c r="G1443" s="18" t="n"/>
      <c r="H1443" s="18" t="n"/>
      <c r="I1443" s="18" t="n"/>
      <c r="J1443" s="20" t="n"/>
      <c r="K1443" s="21" t="n"/>
      <c r="L1443" s="21" t="n"/>
      <c r="M1443" s="18" t="n"/>
      <c r="N1443" s="22">
        <f>IF($B1443="","",CHOOSE(WEEKDAY($B1443),"الأحد","الاثنين","الثلاثاء","الأربعاء","الخميس","الجمعة","السبت"))</f>
        <v/>
      </c>
      <c r="O1443" s="23">
        <f>IF(OR($K1443="",$L1443=""),"",HYPERLINK("https://maps.google.com/?q="&amp;$K1443&amp;","&amp;$L1443,"عرض الموقع"))</f>
        <v/>
      </c>
      <c r="P1443" s="23">
        <f>IF(OR($B1443="",N($J1443)=0),"",HYPERLINK(PhotoDir&amp;"/"&amp;YEAR($B1443)&amp;"-"&amp;TEXT(MONTH($B1443),"00")&amp;"-"&amp;TEXT(DAY($B1443),"00")&amp;"_"&amp;$D1443,"فتح الصور ("&amp;$J1443&amp;")"))</f>
        <v/>
      </c>
      <c r="Q1443" s="24">
        <f>IF($B1443="","",MONTH($B1443))</f>
        <v/>
      </c>
      <c r="R1443" s="24">
        <f>IF($B1443="","",YEAR($B1443))</f>
        <v/>
      </c>
      <c r="S1443" s="25">
        <f>IF($B1443="","",$B1443-WEEKDAY($B1443,3))</f>
        <v/>
      </c>
      <c r="T1443" s="24">
        <f>IF($B1443="",0,IF(COUNTIFS($B$5:$B1443,$B1443,$D$5:$D1443,$D1443)=1,1,0))</f>
        <v/>
      </c>
      <c r="U1443" s="24">
        <f>IF($B1443="",0,IF(COUNTIFS($B$5:$B1443,$B1443,$C$5:$C1443,$C1443)=1,1,0))</f>
        <v/>
      </c>
      <c r="V1443" s="24">
        <f>IF(OR($B1443="",$G1443="",$G1443="لا توجد مشاهدات"),0,1)</f>
        <v/>
      </c>
      <c r="W1443" s="24">
        <f>IF(AND($B1443&lt;&gt;"",$I1443="تم تحرير مخالفة"),1,0)</f>
        <v/>
      </c>
      <c r="X1443" s="24">
        <f>IF($B1443="","",IF($S1443=WkStart,COUNTIF($S$5:$S1443,WkStart),""))</f>
        <v/>
      </c>
    </row>
    <row r="1444">
      <c r="A1444" s="16">
        <f>IF($B1444="","",ROW()-4)</f>
        <v/>
      </c>
      <c r="B1444" s="17" t="n"/>
      <c r="C1444" s="18" t="n"/>
      <c r="D1444" s="18" t="n"/>
      <c r="E1444" s="19" t="n"/>
      <c r="F1444" s="19" t="n"/>
      <c r="G1444" s="18" t="n"/>
      <c r="H1444" s="18" t="n"/>
      <c r="I1444" s="18" t="n"/>
      <c r="J1444" s="20" t="n"/>
      <c r="K1444" s="21" t="n"/>
      <c r="L1444" s="21" t="n"/>
      <c r="M1444" s="18" t="n"/>
      <c r="N1444" s="22">
        <f>IF($B1444="","",CHOOSE(WEEKDAY($B1444),"الأحد","الاثنين","الثلاثاء","الأربعاء","الخميس","الجمعة","السبت"))</f>
        <v/>
      </c>
      <c r="O1444" s="23">
        <f>IF(OR($K1444="",$L1444=""),"",HYPERLINK("https://maps.google.com/?q="&amp;$K1444&amp;","&amp;$L1444,"عرض الموقع"))</f>
        <v/>
      </c>
      <c r="P1444" s="23">
        <f>IF(OR($B1444="",N($J1444)=0),"",HYPERLINK(PhotoDir&amp;"/"&amp;YEAR($B1444)&amp;"-"&amp;TEXT(MONTH($B1444),"00")&amp;"-"&amp;TEXT(DAY($B1444),"00")&amp;"_"&amp;$D1444,"فتح الصور ("&amp;$J1444&amp;")"))</f>
        <v/>
      </c>
      <c r="Q1444" s="24">
        <f>IF($B1444="","",MONTH($B1444))</f>
        <v/>
      </c>
      <c r="R1444" s="24">
        <f>IF($B1444="","",YEAR($B1444))</f>
        <v/>
      </c>
      <c r="S1444" s="25">
        <f>IF($B1444="","",$B1444-WEEKDAY($B1444,3))</f>
        <v/>
      </c>
      <c r="T1444" s="24">
        <f>IF($B1444="",0,IF(COUNTIFS($B$5:$B1444,$B1444,$D$5:$D1444,$D1444)=1,1,0))</f>
        <v/>
      </c>
      <c r="U1444" s="24">
        <f>IF($B1444="",0,IF(COUNTIFS($B$5:$B1444,$B1444,$C$5:$C1444,$C1444)=1,1,0))</f>
        <v/>
      </c>
      <c r="V1444" s="24">
        <f>IF(OR($B1444="",$G1444="",$G1444="لا توجد مشاهدات"),0,1)</f>
        <v/>
      </c>
      <c r="W1444" s="24">
        <f>IF(AND($B1444&lt;&gt;"",$I1444="تم تحرير مخالفة"),1,0)</f>
        <v/>
      </c>
      <c r="X1444" s="24">
        <f>IF($B1444="","",IF($S1444=WkStart,COUNTIF($S$5:$S1444,WkStart),""))</f>
        <v/>
      </c>
    </row>
    <row r="1445">
      <c r="A1445" s="16">
        <f>IF($B1445="","",ROW()-4)</f>
        <v/>
      </c>
      <c r="B1445" s="17" t="n"/>
      <c r="C1445" s="18" t="n"/>
      <c r="D1445" s="18" t="n"/>
      <c r="E1445" s="19" t="n"/>
      <c r="F1445" s="19" t="n"/>
      <c r="G1445" s="18" t="n"/>
      <c r="H1445" s="18" t="n"/>
      <c r="I1445" s="18" t="n"/>
      <c r="J1445" s="20" t="n"/>
      <c r="K1445" s="21" t="n"/>
      <c r="L1445" s="21" t="n"/>
      <c r="M1445" s="18" t="n"/>
      <c r="N1445" s="22">
        <f>IF($B1445="","",CHOOSE(WEEKDAY($B1445),"الأحد","الاثنين","الثلاثاء","الأربعاء","الخميس","الجمعة","السبت"))</f>
        <v/>
      </c>
      <c r="O1445" s="23">
        <f>IF(OR($K1445="",$L1445=""),"",HYPERLINK("https://maps.google.com/?q="&amp;$K1445&amp;","&amp;$L1445,"عرض الموقع"))</f>
        <v/>
      </c>
      <c r="P1445" s="23">
        <f>IF(OR($B1445="",N($J1445)=0),"",HYPERLINK(PhotoDir&amp;"/"&amp;YEAR($B1445)&amp;"-"&amp;TEXT(MONTH($B1445),"00")&amp;"-"&amp;TEXT(DAY($B1445),"00")&amp;"_"&amp;$D1445,"فتح الصور ("&amp;$J1445&amp;")"))</f>
        <v/>
      </c>
      <c r="Q1445" s="24">
        <f>IF($B1445="","",MONTH($B1445))</f>
        <v/>
      </c>
      <c r="R1445" s="24">
        <f>IF($B1445="","",YEAR($B1445))</f>
        <v/>
      </c>
      <c r="S1445" s="25">
        <f>IF($B1445="","",$B1445-WEEKDAY($B1445,3))</f>
        <v/>
      </c>
      <c r="T1445" s="24">
        <f>IF($B1445="",0,IF(COUNTIFS($B$5:$B1445,$B1445,$D$5:$D1445,$D1445)=1,1,0))</f>
        <v/>
      </c>
      <c r="U1445" s="24">
        <f>IF($B1445="",0,IF(COUNTIFS($B$5:$B1445,$B1445,$C$5:$C1445,$C1445)=1,1,0))</f>
        <v/>
      </c>
      <c r="V1445" s="24">
        <f>IF(OR($B1445="",$G1445="",$G1445="لا توجد مشاهدات"),0,1)</f>
        <v/>
      </c>
      <c r="W1445" s="24">
        <f>IF(AND($B1445&lt;&gt;"",$I1445="تم تحرير مخالفة"),1,0)</f>
        <v/>
      </c>
      <c r="X1445" s="24">
        <f>IF($B1445="","",IF($S1445=WkStart,COUNTIF($S$5:$S1445,WkStart),""))</f>
        <v/>
      </c>
    </row>
    <row r="1446">
      <c r="A1446" s="16">
        <f>IF($B1446="","",ROW()-4)</f>
        <v/>
      </c>
      <c r="B1446" s="17" t="n"/>
      <c r="C1446" s="18" t="n"/>
      <c r="D1446" s="18" t="n"/>
      <c r="E1446" s="19" t="n"/>
      <c r="F1446" s="19" t="n"/>
      <c r="G1446" s="18" t="n"/>
      <c r="H1446" s="18" t="n"/>
      <c r="I1446" s="18" t="n"/>
      <c r="J1446" s="20" t="n"/>
      <c r="K1446" s="21" t="n"/>
      <c r="L1446" s="21" t="n"/>
      <c r="M1446" s="18" t="n"/>
      <c r="N1446" s="22">
        <f>IF($B1446="","",CHOOSE(WEEKDAY($B1446),"الأحد","الاثنين","الثلاثاء","الأربعاء","الخميس","الجمعة","السبت"))</f>
        <v/>
      </c>
      <c r="O1446" s="23">
        <f>IF(OR($K1446="",$L1446=""),"",HYPERLINK("https://maps.google.com/?q="&amp;$K1446&amp;","&amp;$L1446,"عرض الموقع"))</f>
        <v/>
      </c>
      <c r="P1446" s="23">
        <f>IF(OR($B1446="",N($J1446)=0),"",HYPERLINK(PhotoDir&amp;"/"&amp;YEAR($B1446)&amp;"-"&amp;TEXT(MONTH($B1446),"00")&amp;"-"&amp;TEXT(DAY($B1446),"00")&amp;"_"&amp;$D1446,"فتح الصور ("&amp;$J1446&amp;")"))</f>
        <v/>
      </c>
      <c r="Q1446" s="24">
        <f>IF($B1446="","",MONTH($B1446))</f>
        <v/>
      </c>
      <c r="R1446" s="24">
        <f>IF($B1446="","",YEAR($B1446))</f>
        <v/>
      </c>
      <c r="S1446" s="25">
        <f>IF($B1446="","",$B1446-WEEKDAY($B1446,3))</f>
        <v/>
      </c>
      <c r="T1446" s="24">
        <f>IF($B1446="",0,IF(COUNTIFS($B$5:$B1446,$B1446,$D$5:$D1446,$D1446)=1,1,0))</f>
        <v/>
      </c>
      <c r="U1446" s="24">
        <f>IF($B1446="",0,IF(COUNTIFS($B$5:$B1446,$B1446,$C$5:$C1446,$C1446)=1,1,0))</f>
        <v/>
      </c>
      <c r="V1446" s="24">
        <f>IF(OR($B1446="",$G1446="",$G1446="لا توجد مشاهدات"),0,1)</f>
        <v/>
      </c>
      <c r="W1446" s="24">
        <f>IF(AND($B1446&lt;&gt;"",$I1446="تم تحرير مخالفة"),1,0)</f>
        <v/>
      </c>
      <c r="X1446" s="24">
        <f>IF($B1446="","",IF($S1446=WkStart,COUNTIF($S$5:$S1446,WkStart),""))</f>
        <v/>
      </c>
    </row>
    <row r="1447">
      <c r="A1447" s="16">
        <f>IF($B1447="","",ROW()-4)</f>
        <v/>
      </c>
      <c r="B1447" s="17" t="n"/>
      <c r="C1447" s="18" t="n"/>
      <c r="D1447" s="18" t="n"/>
      <c r="E1447" s="19" t="n"/>
      <c r="F1447" s="19" t="n"/>
      <c r="G1447" s="18" t="n"/>
      <c r="H1447" s="18" t="n"/>
      <c r="I1447" s="18" t="n"/>
      <c r="J1447" s="20" t="n"/>
      <c r="K1447" s="21" t="n"/>
      <c r="L1447" s="21" t="n"/>
      <c r="M1447" s="18" t="n"/>
      <c r="N1447" s="22">
        <f>IF($B1447="","",CHOOSE(WEEKDAY($B1447),"الأحد","الاثنين","الثلاثاء","الأربعاء","الخميس","الجمعة","السبت"))</f>
        <v/>
      </c>
      <c r="O1447" s="23">
        <f>IF(OR($K1447="",$L1447=""),"",HYPERLINK("https://maps.google.com/?q="&amp;$K1447&amp;","&amp;$L1447,"عرض الموقع"))</f>
        <v/>
      </c>
      <c r="P1447" s="23">
        <f>IF(OR($B1447="",N($J1447)=0),"",HYPERLINK(PhotoDir&amp;"/"&amp;YEAR($B1447)&amp;"-"&amp;TEXT(MONTH($B1447),"00")&amp;"-"&amp;TEXT(DAY($B1447),"00")&amp;"_"&amp;$D1447,"فتح الصور ("&amp;$J1447&amp;")"))</f>
        <v/>
      </c>
      <c r="Q1447" s="24">
        <f>IF($B1447="","",MONTH($B1447))</f>
        <v/>
      </c>
      <c r="R1447" s="24">
        <f>IF($B1447="","",YEAR($B1447))</f>
        <v/>
      </c>
      <c r="S1447" s="25">
        <f>IF($B1447="","",$B1447-WEEKDAY($B1447,3))</f>
        <v/>
      </c>
      <c r="T1447" s="24">
        <f>IF($B1447="",0,IF(COUNTIFS($B$5:$B1447,$B1447,$D$5:$D1447,$D1447)=1,1,0))</f>
        <v/>
      </c>
      <c r="U1447" s="24">
        <f>IF($B1447="",0,IF(COUNTIFS($B$5:$B1447,$B1447,$C$5:$C1447,$C1447)=1,1,0))</f>
        <v/>
      </c>
      <c r="V1447" s="24">
        <f>IF(OR($B1447="",$G1447="",$G1447="لا توجد مشاهدات"),0,1)</f>
        <v/>
      </c>
      <c r="W1447" s="24">
        <f>IF(AND($B1447&lt;&gt;"",$I1447="تم تحرير مخالفة"),1,0)</f>
        <v/>
      </c>
      <c r="X1447" s="24">
        <f>IF($B1447="","",IF($S1447=WkStart,COUNTIF($S$5:$S1447,WkStart),""))</f>
        <v/>
      </c>
    </row>
    <row r="1448">
      <c r="A1448" s="16">
        <f>IF($B1448="","",ROW()-4)</f>
        <v/>
      </c>
      <c r="B1448" s="17" t="n"/>
      <c r="C1448" s="18" t="n"/>
      <c r="D1448" s="18" t="n"/>
      <c r="E1448" s="19" t="n"/>
      <c r="F1448" s="19" t="n"/>
      <c r="G1448" s="18" t="n"/>
      <c r="H1448" s="18" t="n"/>
      <c r="I1448" s="18" t="n"/>
      <c r="J1448" s="20" t="n"/>
      <c r="K1448" s="21" t="n"/>
      <c r="L1448" s="21" t="n"/>
      <c r="M1448" s="18" t="n"/>
      <c r="N1448" s="22">
        <f>IF($B1448="","",CHOOSE(WEEKDAY($B1448),"الأحد","الاثنين","الثلاثاء","الأربعاء","الخميس","الجمعة","السبت"))</f>
        <v/>
      </c>
      <c r="O1448" s="23">
        <f>IF(OR($K1448="",$L1448=""),"",HYPERLINK("https://maps.google.com/?q="&amp;$K1448&amp;","&amp;$L1448,"عرض الموقع"))</f>
        <v/>
      </c>
      <c r="P1448" s="23">
        <f>IF(OR($B1448="",N($J1448)=0),"",HYPERLINK(PhotoDir&amp;"/"&amp;YEAR($B1448)&amp;"-"&amp;TEXT(MONTH($B1448),"00")&amp;"-"&amp;TEXT(DAY($B1448),"00")&amp;"_"&amp;$D1448,"فتح الصور ("&amp;$J1448&amp;")"))</f>
        <v/>
      </c>
      <c r="Q1448" s="24">
        <f>IF($B1448="","",MONTH($B1448))</f>
        <v/>
      </c>
      <c r="R1448" s="24">
        <f>IF($B1448="","",YEAR($B1448))</f>
        <v/>
      </c>
      <c r="S1448" s="25">
        <f>IF($B1448="","",$B1448-WEEKDAY($B1448,3))</f>
        <v/>
      </c>
      <c r="T1448" s="24">
        <f>IF($B1448="",0,IF(COUNTIFS($B$5:$B1448,$B1448,$D$5:$D1448,$D1448)=1,1,0))</f>
        <v/>
      </c>
      <c r="U1448" s="24">
        <f>IF($B1448="",0,IF(COUNTIFS($B$5:$B1448,$B1448,$C$5:$C1448,$C1448)=1,1,0))</f>
        <v/>
      </c>
      <c r="V1448" s="24">
        <f>IF(OR($B1448="",$G1448="",$G1448="لا توجد مشاهدات"),0,1)</f>
        <v/>
      </c>
      <c r="W1448" s="24">
        <f>IF(AND($B1448&lt;&gt;"",$I1448="تم تحرير مخالفة"),1,0)</f>
        <v/>
      </c>
      <c r="X1448" s="24">
        <f>IF($B1448="","",IF($S1448=WkStart,COUNTIF($S$5:$S1448,WkStart),""))</f>
        <v/>
      </c>
    </row>
    <row r="1449">
      <c r="A1449" s="16">
        <f>IF($B1449="","",ROW()-4)</f>
        <v/>
      </c>
      <c r="B1449" s="17" t="n"/>
      <c r="C1449" s="18" t="n"/>
      <c r="D1449" s="18" t="n"/>
      <c r="E1449" s="19" t="n"/>
      <c r="F1449" s="19" t="n"/>
      <c r="G1449" s="18" t="n"/>
      <c r="H1449" s="18" t="n"/>
      <c r="I1449" s="18" t="n"/>
      <c r="J1449" s="20" t="n"/>
      <c r="K1449" s="21" t="n"/>
      <c r="L1449" s="21" t="n"/>
      <c r="M1449" s="18" t="n"/>
      <c r="N1449" s="22">
        <f>IF($B1449="","",CHOOSE(WEEKDAY($B1449),"الأحد","الاثنين","الثلاثاء","الأربعاء","الخميس","الجمعة","السبت"))</f>
        <v/>
      </c>
      <c r="O1449" s="23">
        <f>IF(OR($K1449="",$L1449=""),"",HYPERLINK("https://maps.google.com/?q="&amp;$K1449&amp;","&amp;$L1449,"عرض الموقع"))</f>
        <v/>
      </c>
      <c r="P1449" s="23">
        <f>IF(OR($B1449="",N($J1449)=0),"",HYPERLINK(PhotoDir&amp;"/"&amp;YEAR($B1449)&amp;"-"&amp;TEXT(MONTH($B1449),"00")&amp;"-"&amp;TEXT(DAY($B1449),"00")&amp;"_"&amp;$D1449,"فتح الصور ("&amp;$J1449&amp;")"))</f>
        <v/>
      </c>
      <c r="Q1449" s="24">
        <f>IF($B1449="","",MONTH($B1449))</f>
        <v/>
      </c>
      <c r="R1449" s="24">
        <f>IF($B1449="","",YEAR($B1449))</f>
        <v/>
      </c>
      <c r="S1449" s="25">
        <f>IF($B1449="","",$B1449-WEEKDAY($B1449,3))</f>
        <v/>
      </c>
      <c r="T1449" s="24">
        <f>IF($B1449="",0,IF(COUNTIFS($B$5:$B1449,$B1449,$D$5:$D1449,$D1449)=1,1,0))</f>
        <v/>
      </c>
      <c r="U1449" s="24">
        <f>IF($B1449="",0,IF(COUNTIFS($B$5:$B1449,$B1449,$C$5:$C1449,$C1449)=1,1,0))</f>
        <v/>
      </c>
      <c r="V1449" s="24">
        <f>IF(OR($B1449="",$G1449="",$G1449="لا توجد مشاهدات"),0,1)</f>
        <v/>
      </c>
      <c r="W1449" s="24">
        <f>IF(AND($B1449&lt;&gt;"",$I1449="تم تحرير مخالفة"),1,0)</f>
        <v/>
      </c>
      <c r="X1449" s="24">
        <f>IF($B1449="","",IF($S1449=WkStart,COUNTIF($S$5:$S1449,WkStart),""))</f>
        <v/>
      </c>
    </row>
    <row r="1450">
      <c r="A1450" s="16">
        <f>IF($B1450="","",ROW()-4)</f>
        <v/>
      </c>
      <c r="B1450" s="17" t="n"/>
      <c r="C1450" s="18" t="n"/>
      <c r="D1450" s="18" t="n"/>
      <c r="E1450" s="19" t="n"/>
      <c r="F1450" s="19" t="n"/>
      <c r="G1450" s="18" t="n"/>
      <c r="H1450" s="18" t="n"/>
      <c r="I1450" s="18" t="n"/>
      <c r="J1450" s="20" t="n"/>
      <c r="K1450" s="21" t="n"/>
      <c r="L1450" s="21" t="n"/>
      <c r="M1450" s="18" t="n"/>
      <c r="N1450" s="22">
        <f>IF($B1450="","",CHOOSE(WEEKDAY($B1450),"الأحد","الاثنين","الثلاثاء","الأربعاء","الخميس","الجمعة","السبت"))</f>
        <v/>
      </c>
      <c r="O1450" s="23">
        <f>IF(OR($K1450="",$L1450=""),"",HYPERLINK("https://maps.google.com/?q="&amp;$K1450&amp;","&amp;$L1450,"عرض الموقع"))</f>
        <v/>
      </c>
      <c r="P1450" s="23">
        <f>IF(OR($B1450="",N($J1450)=0),"",HYPERLINK(PhotoDir&amp;"/"&amp;YEAR($B1450)&amp;"-"&amp;TEXT(MONTH($B1450),"00")&amp;"-"&amp;TEXT(DAY($B1450),"00")&amp;"_"&amp;$D1450,"فتح الصور ("&amp;$J1450&amp;")"))</f>
        <v/>
      </c>
      <c r="Q1450" s="24">
        <f>IF($B1450="","",MONTH($B1450))</f>
        <v/>
      </c>
      <c r="R1450" s="24">
        <f>IF($B1450="","",YEAR($B1450))</f>
        <v/>
      </c>
      <c r="S1450" s="25">
        <f>IF($B1450="","",$B1450-WEEKDAY($B1450,3))</f>
        <v/>
      </c>
      <c r="T1450" s="24">
        <f>IF($B1450="",0,IF(COUNTIFS($B$5:$B1450,$B1450,$D$5:$D1450,$D1450)=1,1,0))</f>
        <v/>
      </c>
      <c r="U1450" s="24">
        <f>IF($B1450="",0,IF(COUNTIFS($B$5:$B1450,$B1450,$C$5:$C1450,$C1450)=1,1,0))</f>
        <v/>
      </c>
      <c r="V1450" s="24">
        <f>IF(OR($B1450="",$G1450="",$G1450="لا توجد مشاهدات"),0,1)</f>
        <v/>
      </c>
      <c r="W1450" s="24">
        <f>IF(AND($B1450&lt;&gt;"",$I1450="تم تحرير مخالفة"),1,0)</f>
        <v/>
      </c>
      <c r="X1450" s="24">
        <f>IF($B1450="","",IF($S1450=WkStart,COUNTIF($S$5:$S1450,WkStart),""))</f>
        <v/>
      </c>
    </row>
    <row r="1451">
      <c r="A1451" s="16">
        <f>IF($B1451="","",ROW()-4)</f>
        <v/>
      </c>
      <c r="B1451" s="17" t="n"/>
      <c r="C1451" s="18" t="n"/>
      <c r="D1451" s="18" t="n"/>
      <c r="E1451" s="19" t="n"/>
      <c r="F1451" s="19" t="n"/>
      <c r="G1451" s="18" t="n"/>
      <c r="H1451" s="18" t="n"/>
      <c r="I1451" s="18" t="n"/>
      <c r="J1451" s="20" t="n"/>
      <c r="K1451" s="21" t="n"/>
      <c r="L1451" s="21" t="n"/>
      <c r="M1451" s="18" t="n"/>
      <c r="N1451" s="22">
        <f>IF($B1451="","",CHOOSE(WEEKDAY($B1451),"الأحد","الاثنين","الثلاثاء","الأربعاء","الخميس","الجمعة","السبت"))</f>
        <v/>
      </c>
      <c r="O1451" s="23">
        <f>IF(OR($K1451="",$L1451=""),"",HYPERLINK("https://maps.google.com/?q="&amp;$K1451&amp;","&amp;$L1451,"عرض الموقع"))</f>
        <v/>
      </c>
      <c r="P1451" s="23">
        <f>IF(OR($B1451="",N($J1451)=0),"",HYPERLINK(PhotoDir&amp;"/"&amp;YEAR($B1451)&amp;"-"&amp;TEXT(MONTH($B1451),"00")&amp;"-"&amp;TEXT(DAY($B1451),"00")&amp;"_"&amp;$D1451,"فتح الصور ("&amp;$J1451&amp;")"))</f>
        <v/>
      </c>
      <c r="Q1451" s="24">
        <f>IF($B1451="","",MONTH($B1451))</f>
        <v/>
      </c>
      <c r="R1451" s="24">
        <f>IF($B1451="","",YEAR($B1451))</f>
        <v/>
      </c>
      <c r="S1451" s="25">
        <f>IF($B1451="","",$B1451-WEEKDAY($B1451,3))</f>
        <v/>
      </c>
      <c r="T1451" s="24">
        <f>IF($B1451="",0,IF(COUNTIFS($B$5:$B1451,$B1451,$D$5:$D1451,$D1451)=1,1,0))</f>
        <v/>
      </c>
      <c r="U1451" s="24">
        <f>IF($B1451="",0,IF(COUNTIFS($B$5:$B1451,$B1451,$C$5:$C1451,$C1451)=1,1,0))</f>
        <v/>
      </c>
      <c r="V1451" s="24">
        <f>IF(OR($B1451="",$G1451="",$G1451="لا توجد مشاهدات"),0,1)</f>
        <v/>
      </c>
      <c r="W1451" s="24">
        <f>IF(AND($B1451&lt;&gt;"",$I1451="تم تحرير مخالفة"),1,0)</f>
        <v/>
      </c>
      <c r="X1451" s="24">
        <f>IF($B1451="","",IF($S1451=WkStart,COUNTIF($S$5:$S1451,WkStart),""))</f>
        <v/>
      </c>
    </row>
    <row r="1452">
      <c r="A1452" s="16">
        <f>IF($B1452="","",ROW()-4)</f>
        <v/>
      </c>
      <c r="B1452" s="17" t="n"/>
      <c r="C1452" s="18" t="n"/>
      <c r="D1452" s="18" t="n"/>
      <c r="E1452" s="19" t="n"/>
      <c r="F1452" s="19" t="n"/>
      <c r="G1452" s="18" t="n"/>
      <c r="H1452" s="18" t="n"/>
      <c r="I1452" s="18" t="n"/>
      <c r="J1452" s="20" t="n"/>
      <c r="K1452" s="21" t="n"/>
      <c r="L1452" s="21" t="n"/>
      <c r="M1452" s="18" t="n"/>
      <c r="N1452" s="22">
        <f>IF($B1452="","",CHOOSE(WEEKDAY($B1452),"الأحد","الاثنين","الثلاثاء","الأربعاء","الخميس","الجمعة","السبت"))</f>
        <v/>
      </c>
      <c r="O1452" s="23">
        <f>IF(OR($K1452="",$L1452=""),"",HYPERLINK("https://maps.google.com/?q="&amp;$K1452&amp;","&amp;$L1452,"عرض الموقع"))</f>
        <v/>
      </c>
      <c r="P1452" s="23">
        <f>IF(OR($B1452="",N($J1452)=0),"",HYPERLINK(PhotoDir&amp;"/"&amp;YEAR($B1452)&amp;"-"&amp;TEXT(MONTH($B1452),"00")&amp;"-"&amp;TEXT(DAY($B1452),"00")&amp;"_"&amp;$D1452,"فتح الصور ("&amp;$J1452&amp;")"))</f>
        <v/>
      </c>
      <c r="Q1452" s="24">
        <f>IF($B1452="","",MONTH($B1452))</f>
        <v/>
      </c>
      <c r="R1452" s="24">
        <f>IF($B1452="","",YEAR($B1452))</f>
        <v/>
      </c>
      <c r="S1452" s="25">
        <f>IF($B1452="","",$B1452-WEEKDAY($B1452,3))</f>
        <v/>
      </c>
      <c r="T1452" s="24">
        <f>IF($B1452="",0,IF(COUNTIFS($B$5:$B1452,$B1452,$D$5:$D1452,$D1452)=1,1,0))</f>
        <v/>
      </c>
      <c r="U1452" s="24">
        <f>IF($B1452="",0,IF(COUNTIFS($B$5:$B1452,$B1452,$C$5:$C1452,$C1452)=1,1,0))</f>
        <v/>
      </c>
      <c r="V1452" s="24">
        <f>IF(OR($B1452="",$G1452="",$G1452="لا توجد مشاهدات"),0,1)</f>
        <v/>
      </c>
      <c r="W1452" s="24">
        <f>IF(AND($B1452&lt;&gt;"",$I1452="تم تحرير مخالفة"),1,0)</f>
        <v/>
      </c>
      <c r="X1452" s="24">
        <f>IF($B1452="","",IF($S1452=WkStart,COUNTIF($S$5:$S1452,WkStart),""))</f>
        <v/>
      </c>
    </row>
    <row r="1453">
      <c r="A1453" s="16">
        <f>IF($B1453="","",ROW()-4)</f>
        <v/>
      </c>
      <c r="B1453" s="17" t="n"/>
      <c r="C1453" s="18" t="n"/>
      <c r="D1453" s="18" t="n"/>
      <c r="E1453" s="19" t="n"/>
      <c r="F1453" s="19" t="n"/>
      <c r="G1453" s="18" t="n"/>
      <c r="H1453" s="18" t="n"/>
      <c r="I1453" s="18" t="n"/>
      <c r="J1453" s="20" t="n"/>
      <c r="K1453" s="21" t="n"/>
      <c r="L1453" s="21" t="n"/>
      <c r="M1453" s="18" t="n"/>
      <c r="N1453" s="22">
        <f>IF($B1453="","",CHOOSE(WEEKDAY($B1453),"الأحد","الاثنين","الثلاثاء","الأربعاء","الخميس","الجمعة","السبت"))</f>
        <v/>
      </c>
      <c r="O1453" s="23">
        <f>IF(OR($K1453="",$L1453=""),"",HYPERLINK("https://maps.google.com/?q="&amp;$K1453&amp;","&amp;$L1453,"عرض الموقع"))</f>
        <v/>
      </c>
      <c r="P1453" s="23">
        <f>IF(OR($B1453="",N($J1453)=0),"",HYPERLINK(PhotoDir&amp;"/"&amp;YEAR($B1453)&amp;"-"&amp;TEXT(MONTH($B1453),"00")&amp;"-"&amp;TEXT(DAY($B1453),"00")&amp;"_"&amp;$D1453,"فتح الصور ("&amp;$J1453&amp;")"))</f>
        <v/>
      </c>
      <c r="Q1453" s="24">
        <f>IF($B1453="","",MONTH($B1453))</f>
        <v/>
      </c>
      <c r="R1453" s="24">
        <f>IF($B1453="","",YEAR($B1453))</f>
        <v/>
      </c>
      <c r="S1453" s="25">
        <f>IF($B1453="","",$B1453-WEEKDAY($B1453,3))</f>
        <v/>
      </c>
      <c r="T1453" s="24">
        <f>IF($B1453="",0,IF(COUNTIFS($B$5:$B1453,$B1453,$D$5:$D1453,$D1453)=1,1,0))</f>
        <v/>
      </c>
      <c r="U1453" s="24">
        <f>IF($B1453="",0,IF(COUNTIFS($B$5:$B1453,$B1453,$C$5:$C1453,$C1453)=1,1,0))</f>
        <v/>
      </c>
      <c r="V1453" s="24">
        <f>IF(OR($B1453="",$G1453="",$G1453="لا توجد مشاهدات"),0,1)</f>
        <v/>
      </c>
      <c r="W1453" s="24">
        <f>IF(AND($B1453&lt;&gt;"",$I1453="تم تحرير مخالفة"),1,0)</f>
        <v/>
      </c>
      <c r="X1453" s="24">
        <f>IF($B1453="","",IF($S1453=WkStart,COUNTIF($S$5:$S1453,WkStart),""))</f>
        <v/>
      </c>
    </row>
    <row r="1454">
      <c r="A1454" s="16">
        <f>IF($B1454="","",ROW()-4)</f>
        <v/>
      </c>
      <c r="B1454" s="17" t="n"/>
      <c r="C1454" s="18" t="n"/>
      <c r="D1454" s="18" t="n"/>
      <c r="E1454" s="19" t="n"/>
      <c r="F1454" s="19" t="n"/>
      <c r="G1454" s="18" t="n"/>
      <c r="H1454" s="18" t="n"/>
      <c r="I1454" s="18" t="n"/>
      <c r="J1454" s="20" t="n"/>
      <c r="K1454" s="21" t="n"/>
      <c r="L1454" s="21" t="n"/>
      <c r="M1454" s="18" t="n"/>
      <c r="N1454" s="22">
        <f>IF($B1454="","",CHOOSE(WEEKDAY($B1454),"الأحد","الاثنين","الثلاثاء","الأربعاء","الخميس","الجمعة","السبت"))</f>
        <v/>
      </c>
      <c r="O1454" s="23">
        <f>IF(OR($K1454="",$L1454=""),"",HYPERLINK("https://maps.google.com/?q="&amp;$K1454&amp;","&amp;$L1454,"عرض الموقع"))</f>
        <v/>
      </c>
      <c r="P1454" s="23">
        <f>IF(OR($B1454="",N($J1454)=0),"",HYPERLINK(PhotoDir&amp;"/"&amp;YEAR($B1454)&amp;"-"&amp;TEXT(MONTH($B1454),"00")&amp;"-"&amp;TEXT(DAY($B1454),"00")&amp;"_"&amp;$D1454,"فتح الصور ("&amp;$J1454&amp;")"))</f>
        <v/>
      </c>
      <c r="Q1454" s="24">
        <f>IF($B1454="","",MONTH($B1454))</f>
        <v/>
      </c>
      <c r="R1454" s="24">
        <f>IF($B1454="","",YEAR($B1454))</f>
        <v/>
      </c>
      <c r="S1454" s="25">
        <f>IF($B1454="","",$B1454-WEEKDAY($B1454,3))</f>
        <v/>
      </c>
      <c r="T1454" s="24">
        <f>IF($B1454="",0,IF(COUNTIFS($B$5:$B1454,$B1454,$D$5:$D1454,$D1454)=1,1,0))</f>
        <v/>
      </c>
      <c r="U1454" s="24">
        <f>IF($B1454="",0,IF(COUNTIFS($B$5:$B1454,$B1454,$C$5:$C1454,$C1454)=1,1,0))</f>
        <v/>
      </c>
      <c r="V1454" s="24">
        <f>IF(OR($B1454="",$G1454="",$G1454="لا توجد مشاهدات"),0,1)</f>
        <v/>
      </c>
      <c r="W1454" s="24">
        <f>IF(AND($B1454&lt;&gt;"",$I1454="تم تحرير مخالفة"),1,0)</f>
        <v/>
      </c>
      <c r="X1454" s="24">
        <f>IF($B1454="","",IF($S1454=WkStart,COUNTIF($S$5:$S1454,WkStart),""))</f>
        <v/>
      </c>
    </row>
    <row r="1455">
      <c r="A1455" s="16">
        <f>IF($B1455="","",ROW()-4)</f>
        <v/>
      </c>
      <c r="B1455" s="17" t="n"/>
      <c r="C1455" s="18" t="n"/>
      <c r="D1455" s="18" t="n"/>
      <c r="E1455" s="19" t="n"/>
      <c r="F1455" s="19" t="n"/>
      <c r="G1455" s="18" t="n"/>
      <c r="H1455" s="18" t="n"/>
      <c r="I1455" s="18" t="n"/>
      <c r="J1455" s="20" t="n"/>
      <c r="K1455" s="21" t="n"/>
      <c r="L1455" s="21" t="n"/>
      <c r="M1455" s="18" t="n"/>
      <c r="N1455" s="22">
        <f>IF($B1455="","",CHOOSE(WEEKDAY($B1455),"الأحد","الاثنين","الثلاثاء","الأربعاء","الخميس","الجمعة","السبت"))</f>
        <v/>
      </c>
      <c r="O1455" s="23">
        <f>IF(OR($K1455="",$L1455=""),"",HYPERLINK("https://maps.google.com/?q="&amp;$K1455&amp;","&amp;$L1455,"عرض الموقع"))</f>
        <v/>
      </c>
      <c r="P1455" s="23">
        <f>IF(OR($B1455="",N($J1455)=0),"",HYPERLINK(PhotoDir&amp;"/"&amp;YEAR($B1455)&amp;"-"&amp;TEXT(MONTH($B1455),"00")&amp;"-"&amp;TEXT(DAY($B1455),"00")&amp;"_"&amp;$D1455,"فتح الصور ("&amp;$J1455&amp;")"))</f>
        <v/>
      </c>
      <c r="Q1455" s="24">
        <f>IF($B1455="","",MONTH($B1455))</f>
        <v/>
      </c>
      <c r="R1455" s="24">
        <f>IF($B1455="","",YEAR($B1455))</f>
        <v/>
      </c>
      <c r="S1455" s="25">
        <f>IF($B1455="","",$B1455-WEEKDAY($B1455,3))</f>
        <v/>
      </c>
      <c r="T1455" s="24">
        <f>IF($B1455="",0,IF(COUNTIFS($B$5:$B1455,$B1455,$D$5:$D1455,$D1455)=1,1,0))</f>
        <v/>
      </c>
      <c r="U1455" s="24">
        <f>IF($B1455="",0,IF(COUNTIFS($B$5:$B1455,$B1455,$C$5:$C1455,$C1455)=1,1,0))</f>
        <v/>
      </c>
      <c r="V1455" s="24">
        <f>IF(OR($B1455="",$G1455="",$G1455="لا توجد مشاهدات"),0,1)</f>
        <v/>
      </c>
      <c r="W1455" s="24">
        <f>IF(AND($B1455&lt;&gt;"",$I1455="تم تحرير مخالفة"),1,0)</f>
        <v/>
      </c>
      <c r="X1455" s="24">
        <f>IF($B1455="","",IF($S1455=WkStart,COUNTIF($S$5:$S1455,WkStart),""))</f>
        <v/>
      </c>
    </row>
    <row r="1456">
      <c r="A1456" s="16">
        <f>IF($B1456="","",ROW()-4)</f>
        <v/>
      </c>
      <c r="B1456" s="17" t="n"/>
      <c r="C1456" s="18" t="n"/>
      <c r="D1456" s="18" t="n"/>
      <c r="E1456" s="19" t="n"/>
      <c r="F1456" s="19" t="n"/>
      <c r="G1456" s="18" t="n"/>
      <c r="H1456" s="18" t="n"/>
      <c r="I1456" s="18" t="n"/>
      <c r="J1456" s="20" t="n"/>
      <c r="K1456" s="21" t="n"/>
      <c r="L1456" s="21" t="n"/>
      <c r="M1456" s="18" t="n"/>
      <c r="N1456" s="22">
        <f>IF($B1456="","",CHOOSE(WEEKDAY($B1456),"الأحد","الاثنين","الثلاثاء","الأربعاء","الخميس","الجمعة","السبت"))</f>
        <v/>
      </c>
      <c r="O1456" s="23">
        <f>IF(OR($K1456="",$L1456=""),"",HYPERLINK("https://maps.google.com/?q="&amp;$K1456&amp;","&amp;$L1456,"عرض الموقع"))</f>
        <v/>
      </c>
      <c r="P1456" s="23">
        <f>IF(OR($B1456="",N($J1456)=0),"",HYPERLINK(PhotoDir&amp;"/"&amp;YEAR($B1456)&amp;"-"&amp;TEXT(MONTH($B1456),"00")&amp;"-"&amp;TEXT(DAY($B1456),"00")&amp;"_"&amp;$D1456,"فتح الصور ("&amp;$J1456&amp;")"))</f>
        <v/>
      </c>
      <c r="Q1456" s="24">
        <f>IF($B1456="","",MONTH($B1456))</f>
        <v/>
      </c>
      <c r="R1456" s="24">
        <f>IF($B1456="","",YEAR($B1456))</f>
        <v/>
      </c>
      <c r="S1456" s="25">
        <f>IF($B1456="","",$B1456-WEEKDAY($B1456,3))</f>
        <v/>
      </c>
      <c r="T1456" s="24">
        <f>IF($B1456="",0,IF(COUNTIFS($B$5:$B1456,$B1456,$D$5:$D1456,$D1456)=1,1,0))</f>
        <v/>
      </c>
      <c r="U1456" s="24">
        <f>IF($B1456="",0,IF(COUNTIFS($B$5:$B1456,$B1456,$C$5:$C1456,$C1456)=1,1,0))</f>
        <v/>
      </c>
      <c r="V1456" s="24">
        <f>IF(OR($B1456="",$G1456="",$G1456="لا توجد مشاهدات"),0,1)</f>
        <v/>
      </c>
      <c r="W1456" s="24">
        <f>IF(AND($B1456&lt;&gt;"",$I1456="تم تحرير مخالفة"),1,0)</f>
        <v/>
      </c>
      <c r="X1456" s="24">
        <f>IF($B1456="","",IF($S1456=WkStart,COUNTIF($S$5:$S1456,WkStart),""))</f>
        <v/>
      </c>
    </row>
    <row r="1457">
      <c r="A1457" s="16">
        <f>IF($B1457="","",ROW()-4)</f>
        <v/>
      </c>
      <c r="B1457" s="17" t="n"/>
      <c r="C1457" s="18" t="n"/>
      <c r="D1457" s="18" t="n"/>
      <c r="E1457" s="19" t="n"/>
      <c r="F1457" s="19" t="n"/>
      <c r="G1457" s="18" t="n"/>
      <c r="H1457" s="18" t="n"/>
      <c r="I1457" s="18" t="n"/>
      <c r="J1457" s="20" t="n"/>
      <c r="K1457" s="21" t="n"/>
      <c r="L1457" s="21" t="n"/>
      <c r="M1457" s="18" t="n"/>
      <c r="N1457" s="22">
        <f>IF($B1457="","",CHOOSE(WEEKDAY($B1457),"الأحد","الاثنين","الثلاثاء","الأربعاء","الخميس","الجمعة","السبت"))</f>
        <v/>
      </c>
      <c r="O1457" s="23">
        <f>IF(OR($K1457="",$L1457=""),"",HYPERLINK("https://maps.google.com/?q="&amp;$K1457&amp;","&amp;$L1457,"عرض الموقع"))</f>
        <v/>
      </c>
      <c r="P1457" s="23">
        <f>IF(OR($B1457="",N($J1457)=0),"",HYPERLINK(PhotoDir&amp;"/"&amp;YEAR($B1457)&amp;"-"&amp;TEXT(MONTH($B1457),"00")&amp;"-"&amp;TEXT(DAY($B1457),"00")&amp;"_"&amp;$D1457,"فتح الصور ("&amp;$J1457&amp;")"))</f>
        <v/>
      </c>
      <c r="Q1457" s="24">
        <f>IF($B1457="","",MONTH($B1457))</f>
        <v/>
      </c>
      <c r="R1457" s="24">
        <f>IF($B1457="","",YEAR($B1457))</f>
        <v/>
      </c>
      <c r="S1457" s="25">
        <f>IF($B1457="","",$B1457-WEEKDAY($B1457,3))</f>
        <v/>
      </c>
      <c r="T1457" s="24">
        <f>IF($B1457="",0,IF(COUNTIFS($B$5:$B1457,$B1457,$D$5:$D1457,$D1457)=1,1,0))</f>
        <v/>
      </c>
      <c r="U1457" s="24">
        <f>IF($B1457="",0,IF(COUNTIFS($B$5:$B1457,$B1457,$C$5:$C1457,$C1457)=1,1,0))</f>
        <v/>
      </c>
      <c r="V1457" s="24">
        <f>IF(OR($B1457="",$G1457="",$G1457="لا توجد مشاهدات"),0,1)</f>
        <v/>
      </c>
      <c r="W1457" s="24">
        <f>IF(AND($B1457&lt;&gt;"",$I1457="تم تحرير مخالفة"),1,0)</f>
        <v/>
      </c>
      <c r="X1457" s="24">
        <f>IF($B1457="","",IF($S1457=WkStart,COUNTIF($S$5:$S1457,WkStart),""))</f>
        <v/>
      </c>
    </row>
    <row r="1458">
      <c r="A1458" s="16">
        <f>IF($B1458="","",ROW()-4)</f>
        <v/>
      </c>
      <c r="B1458" s="17" t="n"/>
      <c r="C1458" s="18" t="n"/>
      <c r="D1458" s="18" t="n"/>
      <c r="E1458" s="19" t="n"/>
      <c r="F1458" s="19" t="n"/>
      <c r="G1458" s="18" t="n"/>
      <c r="H1458" s="18" t="n"/>
      <c r="I1458" s="18" t="n"/>
      <c r="J1458" s="20" t="n"/>
      <c r="K1458" s="21" t="n"/>
      <c r="L1458" s="21" t="n"/>
      <c r="M1458" s="18" t="n"/>
      <c r="N1458" s="22">
        <f>IF($B1458="","",CHOOSE(WEEKDAY($B1458),"الأحد","الاثنين","الثلاثاء","الأربعاء","الخميس","الجمعة","السبت"))</f>
        <v/>
      </c>
      <c r="O1458" s="23">
        <f>IF(OR($K1458="",$L1458=""),"",HYPERLINK("https://maps.google.com/?q="&amp;$K1458&amp;","&amp;$L1458,"عرض الموقع"))</f>
        <v/>
      </c>
      <c r="P1458" s="23">
        <f>IF(OR($B1458="",N($J1458)=0),"",HYPERLINK(PhotoDir&amp;"/"&amp;YEAR($B1458)&amp;"-"&amp;TEXT(MONTH($B1458),"00")&amp;"-"&amp;TEXT(DAY($B1458),"00")&amp;"_"&amp;$D1458,"فتح الصور ("&amp;$J1458&amp;")"))</f>
        <v/>
      </c>
      <c r="Q1458" s="24">
        <f>IF($B1458="","",MONTH($B1458))</f>
        <v/>
      </c>
      <c r="R1458" s="24">
        <f>IF($B1458="","",YEAR($B1458))</f>
        <v/>
      </c>
      <c r="S1458" s="25">
        <f>IF($B1458="","",$B1458-WEEKDAY($B1458,3))</f>
        <v/>
      </c>
      <c r="T1458" s="24">
        <f>IF($B1458="",0,IF(COUNTIFS($B$5:$B1458,$B1458,$D$5:$D1458,$D1458)=1,1,0))</f>
        <v/>
      </c>
      <c r="U1458" s="24">
        <f>IF($B1458="",0,IF(COUNTIFS($B$5:$B1458,$B1458,$C$5:$C1458,$C1458)=1,1,0))</f>
        <v/>
      </c>
      <c r="V1458" s="24">
        <f>IF(OR($B1458="",$G1458="",$G1458="لا توجد مشاهدات"),0,1)</f>
        <v/>
      </c>
      <c r="W1458" s="24">
        <f>IF(AND($B1458&lt;&gt;"",$I1458="تم تحرير مخالفة"),1,0)</f>
        <v/>
      </c>
      <c r="X1458" s="24">
        <f>IF($B1458="","",IF($S1458=WkStart,COUNTIF($S$5:$S1458,WkStart),""))</f>
        <v/>
      </c>
    </row>
    <row r="1459">
      <c r="A1459" s="16">
        <f>IF($B1459="","",ROW()-4)</f>
        <v/>
      </c>
      <c r="B1459" s="17" t="n"/>
      <c r="C1459" s="18" t="n"/>
      <c r="D1459" s="18" t="n"/>
      <c r="E1459" s="19" t="n"/>
      <c r="F1459" s="19" t="n"/>
      <c r="G1459" s="18" t="n"/>
      <c r="H1459" s="18" t="n"/>
      <c r="I1459" s="18" t="n"/>
      <c r="J1459" s="20" t="n"/>
      <c r="K1459" s="21" t="n"/>
      <c r="L1459" s="21" t="n"/>
      <c r="M1459" s="18" t="n"/>
      <c r="N1459" s="22">
        <f>IF($B1459="","",CHOOSE(WEEKDAY($B1459),"الأحد","الاثنين","الثلاثاء","الأربعاء","الخميس","الجمعة","السبت"))</f>
        <v/>
      </c>
      <c r="O1459" s="23">
        <f>IF(OR($K1459="",$L1459=""),"",HYPERLINK("https://maps.google.com/?q="&amp;$K1459&amp;","&amp;$L1459,"عرض الموقع"))</f>
        <v/>
      </c>
      <c r="P1459" s="23">
        <f>IF(OR($B1459="",N($J1459)=0),"",HYPERLINK(PhotoDir&amp;"/"&amp;YEAR($B1459)&amp;"-"&amp;TEXT(MONTH($B1459),"00")&amp;"-"&amp;TEXT(DAY($B1459),"00")&amp;"_"&amp;$D1459,"فتح الصور ("&amp;$J1459&amp;")"))</f>
        <v/>
      </c>
      <c r="Q1459" s="24">
        <f>IF($B1459="","",MONTH($B1459))</f>
        <v/>
      </c>
      <c r="R1459" s="24">
        <f>IF($B1459="","",YEAR($B1459))</f>
        <v/>
      </c>
      <c r="S1459" s="25">
        <f>IF($B1459="","",$B1459-WEEKDAY($B1459,3))</f>
        <v/>
      </c>
      <c r="T1459" s="24">
        <f>IF($B1459="",0,IF(COUNTIFS($B$5:$B1459,$B1459,$D$5:$D1459,$D1459)=1,1,0))</f>
        <v/>
      </c>
      <c r="U1459" s="24">
        <f>IF($B1459="",0,IF(COUNTIFS($B$5:$B1459,$B1459,$C$5:$C1459,$C1459)=1,1,0))</f>
        <v/>
      </c>
      <c r="V1459" s="24">
        <f>IF(OR($B1459="",$G1459="",$G1459="لا توجد مشاهدات"),0,1)</f>
        <v/>
      </c>
      <c r="W1459" s="24">
        <f>IF(AND($B1459&lt;&gt;"",$I1459="تم تحرير مخالفة"),1,0)</f>
        <v/>
      </c>
      <c r="X1459" s="24">
        <f>IF($B1459="","",IF($S1459=WkStart,COUNTIF($S$5:$S1459,WkStart),""))</f>
        <v/>
      </c>
    </row>
    <row r="1460">
      <c r="A1460" s="16">
        <f>IF($B1460="","",ROW()-4)</f>
        <v/>
      </c>
      <c r="B1460" s="17" t="n"/>
      <c r="C1460" s="18" t="n"/>
      <c r="D1460" s="18" t="n"/>
      <c r="E1460" s="19" t="n"/>
      <c r="F1460" s="19" t="n"/>
      <c r="G1460" s="18" t="n"/>
      <c r="H1460" s="18" t="n"/>
      <c r="I1460" s="18" t="n"/>
      <c r="J1460" s="20" t="n"/>
      <c r="K1460" s="21" t="n"/>
      <c r="L1460" s="21" t="n"/>
      <c r="M1460" s="18" t="n"/>
      <c r="N1460" s="22">
        <f>IF($B1460="","",CHOOSE(WEEKDAY($B1460),"الأحد","الاثنين","الثلاثاء","الأربعاء","الخميس","الجمعة","السبت"))</f>
        <v/>
      </c>
      <c r="O1460" s="23">
        <f>IF(OR($K1460="",$L1460=""),"",HYPERLINK("https://maps.google.com/?q="&amp;$K1460&amp;","&amp;$L1460,"عرض الموقع"))</f>
        <v/>
      </c>
      <c r="P1460" s="23">
        <f>IF(OR($B1460="",N($J1460)=0),"",HYPERLINK(PhotoDir&amp;"/"&amp;YEAR($B1460)&amp;"-"&amp;TEXT(MONTH($B1460),"00")&amp;"-"&amp;TEXT(DAY($B1460),"00")&amp;"_"&amp;$D1460,"فتح الصور ("&amp;$J1460&amp;")"))</f>
        <v/>
      </c>
      <c r="Q1460" s="24">
        <f>IF($B1460="","",MONTH($B1460))</f>
        <v/>
      </c>
      <c r="R1460" s="24">
        <f>IF($B1460="","",YEAR($B1460))</f>
        <v/>
      </c>
      <c r="S1460" s="25">
        <f>IF($B1460="","",$B1460-WEEKDAY($B1460,3))</f>
        <v/>
      </c>
      <c r="T1460" s="24">
        <f>IF($B1460="",0,IF(COUNTIFS($B$5:$B1460,$B1460,$D$5:$D1460,$D1460)=1,1,0))</f>
        <v/>
      </c>
      <c r="U1460" s="24">
        <f>IF($B1460="",0,IF(COUNTIFS($B$5:$B1460,$B1460,$C$5:$C1460,$C1460)=1,1,0))</f>
        <v/>
      </c>
      <c r="V1460" s="24">
        <f>IF(OR($B1460="",$G1460="",$G1460="لا توجد مشاهدات"),0,1)</f>
        <v/>
      </c>
      <c r="W1460" s="24">
        <f>IF(AND($B1460&lt;&gt;"",$I1460="تم تحرير مخالفة"),1,0)</f>
        <v/>
      </c>
      <c r="X1460" s="24">
        <f>IF($B1460="","",IF($S1460=WkStart,COUNTIF($S$5:$S1460,WkStart),""))</f>
        <v/>
      </c>
    </row>
    <row r="1461">
      <c r="A1461" s="16">
        <f>IF($B1461="","",ROW()-4)</f>
        <v/>
      </c>
      <c r="B1461" s="17" t="n"/>
      <c r="C1461" s="18" t="n"/>
      <c r="D1461" s="18" t="n"/>
      <c r="E1461" s="19" t="n"/>
      <c r="F1461" s="19" t="n"/>
      <c r="G1461" s="18" t="n"/>
      <c r="H1461" s="18" t="n"/>
      <c r="I1461" s="18" t="n"/>
      <c r="J1461" s="20" t="n"/>
      <c r="K1461" s="21" t="n"/>
      <c r="L1461" s="21" t="n"/>
      <c r="M1461" s="18" t="n"/>
      <c r="N1461" s="22">
        <f>IF($B1461="","",CHOOSE(WEEKDAY($B1461),"الأحد","الاثنين","الثلاثاء","الأربعاء","الخميس","الجمعة","السبت"))</f>
        <v/>
      </c>
      <c r="O1461" s="23">
        <f>IF(OR($K1461="",$L1461=""),"",HYPERLINK("https://maps.google.com/?q="&amp;$K1461&amp;","&amp;$L1461,"عرض الموقع"))</f>
        <v/>
      </c>
      <c r="P1461" s="23">
        <f>IF(OR($B1461="",N($J1461)=0),"",HYPERLINK(PhotoDir&amp;"/"&amp;YEAR($B1461)&amp;"-"&amp;TEXT(MONTH($B1461),"00")&amp;"-"&amp;TEXT(DAY($B1461),"00")&amp;"_"&amp;$D1461,"فتح الصور ("&amp;$J1461&amp;")"))</f>
        <v/>
      </c>
      <c r="Q1461" s="24">
        <f>IF($B1461="","",MONTH($B1461))</f>
        <v/>
      </c>
      <c r="R1461" s="24">
        <f>IF($B1461="","",YEAR($B1461))</f>
        <v/>
      </c>
      <c r="S1461" s="25">
        <f>IF($B1461="","",$B1461-WEEKDAY($B1461,3))</f>
        <v/>
      </c>
      <c r="T1461" s="24">
        <f>IF($B1461="",0,IF(COUNTIFS($B$5:$B1461,$B1461,$D$5:$D1461,$D1461)=1,1,0))</f>
        <v/>
      </c>
      <c r="U1461" s="24">
        <f>IF($B1461="",0,IF(COUNTIFS($B$5:$B1461,$B1461,$C$5:$C1461,$C1461)=1,1,0))</f>
        <v/>
      </c>
      <c r="V1461" s="24">
        <f>IF(OR($B1461="",$G1461="",$G1461="لا توجد مشاهدات"),0,1)</f>
        <v/>
      </c>
      <c r="W1461" s="24">
        <f>IF(AND($B1461&lt;&gt;"",$I1461="تم تحرير مخالفة"),1,0)</f>
        <v/>
      </c>
      <c r="X1461" s="24">
        <f>IF($B1461="","",IF($S1461=WkStart,COUNTIF($S$5:$S1461,WkStart),""))</f>
        <v/>
      </c>
    </row>
    <row r="1462">
      <c r="A1462" s="16">
        <f>IF($B1462="","",ROW()-4)</f>
        <v/>
      </c>
      <c r="B1462" s="17" t="n"/>
      <c r="C1462" s="18" t="n"/>
      <c r="D1462" s="18" t="n"/>
      <c r="E1462" s="19" t="n"/>
      <c r="F1462" s="19" t="n"/>
      <c r="G1462" s="18" t="n"/>
      <c r="H1462" s="18" t="n"/>
      <c r="I1462" s="18" t="n"/>
      <c r="J1462" s="20" t="n"/>
      <c r="K1462" s="21" t="n"/>
      <c r="L1462" s="21" t="n"/>
      <c r="M1462" s="18" t="n"/>
      <c r="N1462" s="22">
        <f>IF($B1462="","",CHOOSE(WEEKDAY($B1462),"الأحد","الاثنين","الثلاثاء","الأربعاء","الخميس","الجمعة","السبت"))</f>
        <v/>
      </c>
      <c r="O1462" s="23">
        <f>IF(OR($K1462="",$L1462=""),"",HYPERLINK("https://maps.google.com/?q="&amp;$K1462&amp;","&amp;$L1462,"عرض الموقع"))</f>
        <v/>
      </c>
      <c r="P1462" s="23">
        <f>IF(OR($B1462="",N($J1462)=0),"",HYPERLINK(PhotoDir&amp;"/"&amp;YEAR($B1462)&amp;"-"&amp;TEXT(MONTH($B1462),"00")&amp;"-"&amp;TEXT(DAY($B1462),"00")&amp;"_"&amp;$D1462,"فتح الصور ("&amp;$J1462&amp;")"))</f>
        <v/>
      </c>
      <c r="Q1462" s="24">
        <f>IF($B1462="","",MONTH($B1462))</f>
        <v/>
      </c>
      <c r="R1462" s="24">
        <f>IF($B1462="","",YEAR($B1462))</f>
        <v/>
      </c>
      <c r="S1462" s="25">
        <f>IF($B1462="","",$B1462-WEEKDAY($B1462,3))</f>
        <v/>
      </c>
      <c r="T1462" s="24">
        <f>IF($B1462="",0,IF(COUNTIFS($B$5:$B1462,$B1462,$D$5:$D1462,$D1462)=1,1,0))</f>
        <v/>
      </c>
      <c r="U1462" s="24">
        <f>IF($B1462="",0,IF(COUNTIFS($B$5:$B1462,$B1462,$C$5:$C1462,$C1462)=1,1,0))</f>
        <v/>
      </c>
      <c r="V1462" s="24">
        <f>IF(OR($B1462="",$G1462="",$G1462="لا توجد مشاهدات"),0,1)</f>
        <v/>
      </c>
      <c r="W1462" s="24">
        <f>IF(AND($B1462&lt;&gt;"",$I1462="تم تحرير مخالفة"),1,0)</f>
        <v/>
      </c>
      <c r="X1462" s="24">
        <f>IF($B1462="","",IF($S1462=WkStart,COUNTIF($S$5:$S1462,WkStart),""))</f>
        <v/>
      </c>
    </row>
    <row r="1463">
      <c r="A1463" s="16">
        <f>IF($B1463="","",ROW()-4)</f>
        <v/>
      </c>
      <c r="B1463" s="17" t="n"/>
      <c r="C1463" s="18" t="n"/>
      <c r="D1463" s="18" t="n"/>
      <c r="E1463" s="19" t="n"/>
      <c r="F1463" s="19" t="n"/>
      <c r="G1463" s="18" t="n"/>
      <c r="H1463" s="18" t="n"/>
      <c r="I1463" s="18" t="n"/>
      <c r="J1463" s="20" t="n"/>
      <c r="K1463" s="21" t="n"/>
      <c r="L1463" s="21" t="n"/>
      <c r="M1463" s="18" t="n"/>
      <c r="N1463" s="22">
        <f>IF($B1463="","",CHOOSE(WEEKDAY($B1463),"الأحد","الاثنين","الثلاثاء","الأربعاء","الخميس","الجمعة","السبت"))</f>
        <v/>
      </c>
      <c r="O1463" s="23">
        <f>IF(OR($K1463="",$L1463=""),"",HYPERLINK("https://maps.google.com/?q="&amp;$K1463&amp;","&amp;$L1463,"عرض الموقع"))</f>
        <v/>
      </c>
      <c r="P1463" s="23">
        <f>IF(OR($B1463="",N($J1463)=0),"",HYPERLINK(PhotoDir&amp;"/"&amp;YEAR($B1463)&amp;"-"&amp;TEXT(MONTH($B1463),"00")&amp;"-"&amp;TEXT(DAY($B1463),"00")&amp;"_"&amp;$D1463,"فتح الصور ("&amp;$J1463&amp;")"))</f>
        <v/>
      </c>
      <c r="Q1463" s="24">
        <f>IF($B1463="","",MONTH($B1463))</f>
        <v/>
      </c>
      <c r="R1463" s="24">
        <f>IF($B1463="","",YEAR($B1463))</f>
        <v/>
      </c>
      <c r="S1463" s="25">
        <f>IF($B1463="","",$B1463-WEEKDAY($B1463,3))</f>
        <v/>
      </c>
      <c r="T1463" s="24">
        <f>IF($B1463="",0,IF(COUNTIFS($B$5:$B1463,$B1463,$D$5:$D1463,$D1463)=1,1,0))</f>
        <v/>
      </c>
      <c r="U1463" s="24">
        <f>IF($B1463="",0,IF(COUNTIFS($B$5:$B1463,$B1463,$C$5:$C1463,$C1463)=1,1,0))</f>
        <v/>
      </c>
      <c r="V1463" s="24">
        <f>IF(OR($B1463="",$G1463="",$G1463="لا توجد مشاهدات"),0,1)</f>
        <v/>
      </c>
      <c r="W1463" s="24">
        <f>IF(AND($B1463&lt;&gt;"",$I1463="تم تحرير مخالفة"),1,0)</f>
        <v/>
      </c>
      <c r="X1463" s="24">
        <f>IF($B1463="","",IF($S1463=WkStart,COUNTIF($S$5:$S1463,WkStart),""))</f>
        <v/>
      </c>
    </row>
    <row r="1464">
      <c r="A1464" s="16">
        <f>IF($B1464="","",ROW()-4)</f>
        <v/>
      </c>
      <c r="B1464" s="17" t="n"/>
      <c r="C1464" s="18" t="n"/>
      <c r="D1464" s="18" t="n"/>
      <c r="E1464" s="19" t="n"/>
      <c r="F1464" s="19" t="n"/>
      <c r="G1464" s="18" t="n"/>
      <c r="H1464" s="18" t="n"/>
      <c r="I1464" s="18" t="n"/>
      <c r="J1464" s="20" t="n"/>
      <c r="K1464" s="21" t="n"/>
      <c r="L1464" s="21" t="n"/>
      <c r="M1464" s="18" t="n"/>
      <c r="N1464" s="22">
        <f>IF($B1464="","",CHOOSE(WEEKDAY($B1464),"الأحد","الاثنين","الثلاثاء","الأربعاء","الخميس","الجمعة","السبت"))</f>
        <v/>
      </c>
      <c r="O1464" s="23">
        <f>IF(OR($K1464="",$L1464=""),"",HYPERLINK("https://maps.google.com/?q="&amp;$K1464&amp;","&amp;$L1464,"عرض الموقع"))</f>
        <v/>
      </c>
      <c r="P1464" s="23">
        <f>IF(OR($B1464="",N($J1464)=0),"",HYPERLINK(PhotoDir&amp;"/"&amp;YEAR($B1464)&amp;"-"&amp;TEXT(MONTH($B1464),"00")&amp;"-"&amp;TEXT(DAY($B1464),"00")&amp;"_"&amp;$D1464,"فتح الصور ("&amp;$J1464&amp;")"))</f>
        <v/>
      </c>
      <c r="Q1464" s="24">
        <f>IF($B1464="","",MONTH($B1464))</f>
        <v/>
      </c>
      <c r="R1464" s="24">
        <f>IF($B1464="","",YEAR($B1464))</f>
        <v/>
      </c>
      <c r="S1464" s="25">
        <f>IF($B1464="","",$B1464-WEEKDAY($B1464,3))</f>
        <v/>
      </c>
      <c r="T1464" s="24">
        <f>IF($B1464="",0,IF(COUNTIFS($B$5:$B1464,$B1464,$D$5:$D1464,$D1464)=1,1,0))</f>
        <v/>
      </c>
      <c r="U1464" s="24">
        <f>IF($B1464="",0,IF(COUNTIFS($B$5:$B1464,$B1464,$C$5:$C1464,$C1464)=1,1,0))</f>
        <v/>
      </c>
      <c r="V1464" s="24">
        <f>IF(OR($B1464="",$G1464="",$G1464="لا توجد مشاهدات"),0,1)</f>
        <v/>
      </c>
      <c r="W1464" s="24">
        <f>IF(AND($B1464&lt;&gt;"",$I1464="تم تحرير مخالفة"),1,0)</f>
        <v/>
      </c>
      <c r="X1464" s="24">
        <f>IF($B1464="","",IF($S1464=WkStart,COUNTIF($S$5:$S1464,WkStart),""))</f>
        <v/>
      </c>
    </row>
    <row r="1465">
      <c r="A1465" s="16">
        <f>IF($B1465="","",ROW()-4)</f>
        <v/>
      </c>
      <c r="B1465" s="17" t="n"/>
      <c r="C1465" s="18" t="n"/>
      <c r="D1465" s="18" t="n"/>
      <c r="E1465" s="19" t="n"/>
      <c r="F1465" s="19" t="n"/>
      <c r="G1465" s="18" t="n"/>
      <c r="H1465" s="18" t="n"/>
      <c r="I1465" s="18" t="n"/>
      <c r="J1465" s="20" t="n"/>
      <c r="K1465" s="21" t="n"/>
      <c r="L1465" s="21" t="n"/>
      <c r="M1465" s="18" t="n"/>
      <c r="N1465" s="22">
        <f>IF($B1465="","",CHOOSE(WEEKDAY($B1465),"الأحد","الاثنين","الثلاثاء","الأربعاء","الخميس","الجمعة","السبت"))</f>
        <v/>
      </c>
      <c r="O1465" s="23">
        <f>IF(OR($K1465="",$L1465=""),"",HYPERLINK("https://maps.google.com/?q="&amp;$K1465&amp;","&amp;$L1465,"عرض الموقع"))</f>
        <v/>
      </c>
      <c r="P1465" s="23">
        <f>IF(OR($B1465="",N($J1465)=0),"",HYPERLINK(PhotoDir&amp;"/"&amp;YEAR($B1465)&amp;"-"&amp;TEXT(MONTH($B1465),"00")&amp;"-"&amp;TEXT(DAY($B1465),"00")&amp;"_"&amp;$D1465,"فتح الصور ("&amp;$J1465&amp;")"))</f>
        <v/>
      </c>
      <c r="Q1465" s="24">
        <f>IF($B1465="","",MONTH($B1465))</f>
        <v/>
      </c>
      <c r="R1465" s="24">
        <f>IF($B1465="","",YEAR($B1465))</f>
        <v/>
      </c>
      <c r="S1465" s="25">
        <f>IF($B1465="","",$B1465-WEEKDAY($B1465,3))</f>
        <v/>
      </c>
      <c r="T1465" s="24">
        <f>IF($B1465="",0,IF(COUNTIFS($B$5:$B1465,$B1465,$D$5:$D1465,$D1465)=1,1,0))</f>
        <v/>
      </c>
      <c r="U1465" s="24">
        <f>IF($B1465="",0,IF(COUNTIFS($B$5:$B1465,$B1465,$C$5:$C1465,$C1465)=1,1,0))</f>
        <v/>
      </c>
      <c r="V1465" s="24">
        <f>IF(OR($B1465="",$G1465="",$G1465="لا توجد مشاهدات"),0,1)</f>
        <v/>
      </c>
      <c r="W1465" s="24">
        <f>IF(AND($B1465&lt;&gt;"",$I1465="تم تحرير مخالفة"),1,0)</f>
        <v/>
      </c>
      <c r="X1465" s="24">
        <f>IF($B1465="","",IF($S1465=WkStart,COUNTIF($S$5:$S1465,WkStart),""))</f>
        <v/>
      </c>
    </row>
    <row r="1466">
      <c r="A1466" s="16">
        <f>IF($B1466="","",ROW()-4)</f>
        <v/>
      </c>
      <c r="B1466" s="17" t="n"/>
      <c r="C1466" s="18" t="n"/>
      <c r="D1466" s="18" t="n"/>
      <c r="E1466" s="19" t="n"/>
      <c r="F1466" s="19" t="n"/>
      <c r="G1466" s="18" t="n"/>
      <c r="H1466" s="18" t="n"/>
      <c r="I1466" s="18" t="n"/>
      <c r="J1466" s="20" t="n"/>
      <c r="K1466" s="21" t="n"/>
      <c r="L1466" s="21" t="n"/>
      <c r="M1466" s="18" t="n"/>
      <c r="N1466" s="22">
        <f>IF($B1466="","",CHOOSE(WEEKDAY($B1466),"الأحد","الاثنين","الثلاثاء","الأربعاء","الخميس","الجمعة","السبت"))</f>
        <v/>
      </c>
      <c r="O1466" s="23">
        <f>IF(OR($K1466="",$L1466=""),"",HYPERLINK("https://maps.google.com/?q="&amp;$K1466&amp;","&amp;$L1466,"عرض الموقع"))</f>
        <v/>
      </c>
      <c r="P1466" s="23">
        <f>IF(OR($B1466="",N($J1466)=0),"",HYPERLINK(PhotoDir&amp;"/"&amp;YEAR($B1466)&amp;"-"&amp;TEXT(MONTH($B1466),"00")&amp;"-"&amp;TEXT(DAY($B1466),"00")&amp;"_"&amp;$D1466,"فتح الصور ("&amp;$J1466&amp;")"))</f>
        <v/>
      </c>
      <c r="Q1466" s="24">
        <f>IF($B1466="","",MONTH($B1466))</f>
        <v/>
      </c>
      <c r="R1466" s="24">
        <f>IF($B1466="","",YEAR($B1466))</f>
        <v/>
      </c>
      <c r="S1466" s="25">
        <f>IF($B1466="","",$B1466-WEEKDAY($B1466,3))</f>
        <v/>
      </c>
      <c r="T1466" s="24">
        <f>IF($B1466="",0,IF(COUNTIFS($B$5:$B1466,$B1466,$D$5:$D1466,$D1466)=1,1,0))</f>
        <v/>
      </c>
      <c r="U1466" s="24">
        <f>IF($B1466="",0,IF(COUNTIFS($B$5:$B1466,$B1466,$C$5:$C1466,$C1466)=1,1,0))</f>
        <v/>
      </c>
      <c r="V1466" s="24">
        <f>IF(OR($B1466="",$G1466="",$G1466="لا توجد مشاهدات"),0,1)</f>
        <v/>
      </c>
      <c r="W1466" s="24">
        <f>IF(AND($B1466&lt;&gt;"",$I1466="تم تحرير مخالفة"),1,0)</f>
        <v/>
      </c>
      <c r="X1466" s="24">
        <f>IF($B1466="","",IF($S1466=WkStart,COUNTIF($S$5:$S1466,WkStart),""))</f>
        <v/>
      </c>
    </row>
    <row r="1467">
      <c r="A1467" s="16">
        <f>IF($B1467="","",ROW()-4)</f>
        <v/>
      </c>
      <c r="B1467" s="17" t="n"/>
      <c r="C1467" s="18" t="n"/>
      <c r="D1467" s="18" t="n"/>
      <c r="E1467" s="19" t="n"/>
      <c r="F1467" s="19" t="n"/>
      <c r="G1467" s="18" t="n"/>
      <c r="H1467" s="18" t="n"/>
      <c r="I1467" s="18" t="n"/>
      <c r="J1467" s="20" t="n"/>
      <c r="K1467" s="21" t="n"/>
      <c r="L1467" s="21" t="n"/>
      <c r="M1467" s="18" t="n"/>
      <c r="N1467" s="22">
        <f>IF($B1467="","",CHOOSE(WEEKDAY($B1467),"الأحد","الاثنين","الثلاثاء","الأربعاء","الخميس","الجمعة","السبت"))</f>
        <v/>
      </c>
      <c r="O1467" s="23">
        <f>IF(OR($K1467="",$L1467=""),"",HYPERLINK("https://maps.google.com/?q="&amp;$K1467&amp;","&amp;$L1467,"عرض الموقع"))</f>
        <v/>
      </c>
      <c r="P1467" s="23">
        <f>IF(OR($B1467="",N($J1467)=0),"",HYPERLINK(PhotoDir&amp;"/"&amp;YEAR($B1467)&amp;"-"&amp;TEXT(MONTH($B1467),"00")&amp;"-"&amp;TEXT(DAY($B1467),"00")&amp;"_"&amp;$D1467,"فتح الصور ("&amp;$J1467&amp;")"))</f>
        <v/>
      </c>
      <c r="Q1467" s="24">
        <f>IF($B1467="","",MONTH($B1467))</f>
        <v/>
      </c>
      <c r="R1467" s="24">
        <f>IF($B1467="","",YEAR($B1467))</f>
        <v/>
      </c>
      <c r="S1467" s="25">
        <f>IF($B1467="","",$B1467-WEEKDAY($B1467,3))</f>
        <v/>
      </c>
      <c r="T1467" s="24">
        <f>IF($B1467="",0,IF(COUNTIFS($B$5:$B1467,$B1467,$D$5:$D1467,$D1467)=1,1,0))</f>
        <v/>
      </c>
      <c r="U1467" s="24">
        <f>IF($B1467="",0,IF(COUNTIFS($B$5:$B1467,$B1467,$C$5:$C1467,$C1467)=1,1,0))</f>
        <v/>
      </c>
      <c r="V1467" s="24">
        <f>IF(OR($B1467="",$G1467="",$G1467="لا توجد مشاهدات"),0,1)</f>
        <v/>
      </c>
      <c r="W1467" s="24">
        <f>IF(AND($B1467&lt;&gt;"",$I1467="تم تحرير مخالفة"),1,0)</f>
        <v/>
      </c>
      <c r="X1467" s="24">
        <f>IF($B1467="","",IF($S1467=WkStart,COUNTIF($S$5:$S1467,WkStart),""))</f>
        <v/>
      </c>
    </row>
    <row r="1468">
      <c r="A1468" s="16">
        <f>IF($B1468="","",ROW()-4)</f>
        <v/>
      </c>
      <c r="B1468" s="17" t="n"/>
      <c r="C1468" s="18" t="n"/>
      <c r="D1468" s="18" t="n"/>
      <c r="E1468" s="19" t="n"/>
      <c r="F1468" s="19" t="n"/>
      <c r="G1468" s="18" t="n"/>
      <c r="H1468" s="18" t="n"/>
      <c r="I1468" s="18" t="n"/>
      <c r="J1468" s="20" t="n"/>
      <c r="K1468" s="21" t="n"/>
      <c r="L1468" s="21" t="n"/>
      <c r="M1468" s="18" t="n"/>
      <c r="N1468" s="22">
        <f>IF($B1468="","",CHOOSE(WEEKDAY($B1468),"الأحد","الاثنين","الثلاثاء","الأربعاء","الخميس","الجمعة","السبت"))</f>
        <v/>
      </c>
      <c r="O1468" s="23">
        <f>IF(OR($K1468="",$L1468=""),"",HYPERLINK("https://maps.google.com/?q="&amp;$K1468&amp;","&amp;$L1468,"عرض الموقع"))</f>
        <v/>
      </c>
      <c r="P1468" s="23">
        <f>IF(OR($B1468="",N($J1468)=0),"",HYPERLINK(PhotoDir&amp;"/"&amp;YEAR($B1468)&amp;"-"&amp;TEXT(MONTH($B1468),"00")&amp;"-"&amp;TEXT(DAY($B1468),"00")&amp;"_"&amp;$D1468,"فتح الصور ("&amp;$J1468&amp;")"))</f>
        <v/>
      </c>
      <c r="Q1468" s="24">
        <f>IF($B1468="","",MONTH($B1468))</f>
        <v/>
      </c>
      <c r="R1468" s="24">
        <f>IF($B1468="","",YEAR($B1468))</f>
        <v/>
      </c>
      <c r="S1468" s="25">
        <f>IF($B1468="","",$B1468-WEEKDAY($B1468,3))</f>
        <v/>
      </c>
      <c r="T1468" s="24">
        <f>IF($B1468="",0,IF(COUNTIFS($B$5:$B1468,$B1468,$D$5:$D1468,$D1468)=1,1,0))</f>
        <v/>
      </c>
      <c r="U1468" s="24">
        <f>IF($B1468="",0,IF(COUNTIFS($B$5:$B1468,$B1468,$C$5:$C1468,$C1468)=1,1,0))</f>
        <v/>
      </c>
      <c r="V1468" s="24">
        <f>IF(OR($B1468="",$G1468="",$G1468="لا توجد مشاهدات"),0,1)</f>
        <v/>
      </c>
      <c r="W1468" s="24">
        <f>IF(AND($B1468&lt;&gt;"",$I1468="تم تحرير مخالفة"),1,0)</f>
        <v/>
      </c>
      <c r="X1468" s="24">
        <f>IF($B1468="","",IF($S1468=WkStart,COUNTIF($S$5:$S1468,WkStart),""))</f>
        <v/>
      </c>
    </row>
    <row r="1469">
      <c r="A1469" s="16">
        <f>IF($B1469="","",ROW()-4)</f>
        <v/>
      </c>
      <c r="B1469" s="17" t="n"/>
      <c r="C1469" s="18" t="n"/>
      <c r="D1469" s="18" t="n"/>
      <c r="E1469" s="19" t="n"/>
      <c r="F1469" s="19" t="n"/>
      <c r="G1469" s="18" t="n"/>
      <c r="H1469" s="18" t="n"/>
      <c r="I1469" s="18" t="n"/>
      <c r="J1469" s="20" t="n"/>
      <c r="K1469" s="21" t="n"/>
      <c r="L1469" s="21" t="n"/>
      <c r="M1469" s="18" t="n"/>
      <c r="N1469" s="22">
        <f>IF($B1469="","",CHOOSE(WEEKDAY($B1469),"الأحد","الاثنين","الثلاثاء","الأربعاء","الخميس","الجمعة","السبت"))</f>
        <v/>
      </c>
      <c r="O1469" s="23">
        <f>IF(OR($K1469="",$L1469=""),"",HYPERLINK("https://maps.google.com/?q="&amp;$K1469&amp;","&amp;$L1469,"عرض الموقع"))</f>
        <v/>
      </c>
      <c r="P1469" s="23">
        <f>IF(OR($B1469="",N($J1469)=0),"",HYPERLINK(PhotoDir&amp;"/"&amp;YEAR($B1469)&amp;"-"&amp;TEXT(MONTH($B1469),"00")&amp;"-"&amp;TEXT(DAY($B1469),"00")&amp;"_"&amp;$D1469,"فتح الصور ("&amp;$J1469&amp;")"))</f>
        <v/>
      </c>
      <c r="Q1469" s="24">
        <f>IF($B1469="","",MONTH($B1469))</f>
        <v/>
      </c>
      <c r="R1469" s="24">
        <f>IF($B1469="","",YEAR($B1469))</f>
        <v/>
      </c>
      <c r="S1469" s="25">
        <f>IF($B1469="","",$B1469-WEEKDAY($B1469,3))</f>
        <v/>
      </c>
      <c r="T1469" s="24">
        <f>IF($B1469="",0,IF(COUNTIFS($B$5:$B1469,$B1469,$D$5:$D1469,$D1469)=1,1,0))</f>
        <v/>
      </c>
      <c r="U1469" s="24">
        <f>IF($B1469="",0,IF(COUNTIFS($B$5:$B1469,$B1469,$C$5:$C1469,$C1469)=1,1,0))</f>
        <v/>
      </c>
      <c r="V1469" s="24">
        <f>IF(OR($B1469="",$G1469="",$G1469="لا توجد مشاهدات"),0,1)</f>
        <v/>
      </c>
      <c r="W1469" s="24">
        <f>IF(AND($B1469&lt;&gt;"",$I1469="تم تحرير مخالفة"),1,0)</f>
        <v/>
      </c>
      <c r="X1469" s="24">
        <f>IF($B1469="","",IF($S1469=WkStart,COUNTIF($S$5:$S1469,WkStart),""))</f>
        <v/>
      </c>
    </row>
    <row r="1470">
      <c r="A1470" s="16">
        <f>IF($B1470="","",ROW()-4)</f>
        <v/>
      </c>
      <c r="B1470" s="17" t="n"/>
      <c r="C1470" s="18" t="n"/>
      <c r="D1470" s="18" t="n"/>
      <c r="E1470" s="19" t="n"/>
      <c r="F1470" s="19" t="n"/>
      <c r="G1470" s="18" t="n"/>
      <c r="H1470" s="18" t="n"/>
      <c r="I1470" s="18" t="n"/>
      <c r="J1470" s="20" t="n"/>
      <c r="K1470" s="21" t="n"/>
      <c r="L1470" s="21" t="n"/>
      <c r="M1470" s="18" t="n"/>
      <c r="N1470" s="22">
        <f>IF($B1470="","",CHOOSE(WEEKDAY($B1470),"الأحد","الاثنين","الثلاثاء","الأربعاء","الخميس","الجمعة","السبت"))</f>
        <v/>
      </c>
      <c r="O1470" s="23">
        <f>IF(OR($K1470="",$L1470=""),"",HYPERLINK("https://maps.google.com/?q="&amp;$K1470&amp;","&amp;$L1470,"عرض الموقع"))</f>
        <v/>
      </c>
      <c r="P1470" s="23">
        <f>IF(OR($B1470="",N($J1470)=0),"",HYPERLINK(PhotoDir&amp;"/"&amp;YEAR($B1470)&amp;"-"&amp;TEXT(MONTH($B1470),"00")&amp;"-"&amp;TEXT(DAY($B1470),"00")&amp;"_"&amp;$D1470,"فتح الصور ("&amp;$J1470&amp;")"))</f>
        <v/>
      </c>
      <c r="Q1470" s="24">
        <f>IF($B1470="","",MONTH($B1470))</f>
        <v/>
      </c>
      <c r="R1470" s="24">
        <f>IF($B1470="","",YEAR($B1470))</f>
        <v/>
      </c>
      <c r="S1470" s="25">
        <f>IF($B1470="","",$B1470-WEEKDAY($B1470,3))</f>
        <v/>
      </c>
      <c r="T1470" s="24">
        <f>IF($B1470="",0,IF(COUNTIFS($B$5:$B1470,$B1470,$D$5:$D1470,$D1470)=1,1,0))</f>
        <v/>
      </c>
      <c r="U1470" s="24">
        <f>IF($B1470="",0,IF(COUNTIFS($B$5:$B1470,$B1470,$C$5:$C1470,$C1470)=1,1,0))</f>
        <v/>
      </c>
      <c r="V1470" s="24">
        <f>IF(OR($B1470="",$G1470="",$G1470="لا توجد مشاهدات"),0,1)</f>
        <v/>
      </c>
      <c r="W1470" s="24">
        <f>IF(AND($B1470&lt;&gt;"",$I1470="تم تحرير مخالفة"),1,0)</f>
        <v/>
      </c>
      <c r="X1470" s="24">
        <f>IF($B1470="","",IF($S1470=WkStart,COUNTIF($S$5:$S1470,WkStart),""))</f>
        <v/>
      </c>
    </row>
    <row r="1471">
      <c r="A1471" s="16">
        <f>IF($B1471="","",ROW()-4)</f>
        <v/>
      </c>
      <c r="B1471" s="17" t="n"/>
      <c r="C1471" s="18" t="n"/>
      <c r="D1471" s="18" t="n"/>
      <c r="E1471" s="19" t="n"/>
      <c r="F1471" s="19" t="n"/>
      <c r="G1471" s="18" t="n"/>
      <c r="H1471" s="18" t="n"/>
      <c r="I1471" s="18" t="n"/>
      <c r="J1471" s="20" t="n"/>
      <c r="K1471" s="21" t="n"/>
      <c r="L1471" s="21" t="n"/>
      <c r="M1471" s="18" t="n"/>
      <c r="N1471" s="22">
        <f>IF($B1471="","",CHOOSE(WEEKDAY($B1471),"الأحد","الاثنين","الثلاثاء","الأربعاء","الخميس","الجمعة","السبت"))</f>
        <v/>
      </c>
      <c r="O1471" s="23">
        <f>IF(OR($K1471="",$L1471=""),"",HYPERLINK("https://maps.google.com/?q="&amp;$K1471&amp;","&amp;$L1471,"عرض الموقع"))</f>
        <v/>
      </c>
      <c r="P1471" s="23">
        <f>IF(OR($B1471="",N($J1471)=0),"",HYPERLINK(PhotoDir&amp;"/"&amp;YEAR($B1471)&amp;"-"&amp;TEXT(MONTH($B1471),"00")&amp;"-"&amp;TEXT(DAY($B1471),"00")&amp;"_"&amp;$D1471,"فتح الصور ("&amp;$J1471&amp;")"))</f>
        <v/>
      </c>
      <c r="Q1471" s="24">
        <f>IF($B1471="","",MONTH($B1471))</f>
        <v/>
      </c>
      <c r="R1471" s="24">
        <f>IF($B1471="","",YEAR($B1471))</f>
        <v/>
      </c>
      <c r="S1471" s="25">
        <f>IF($B1471="","",$B1471-WEEKDAY($B1471,3))</f>
        <v/>
      </c>
      <c r="T1471" s="24">
        <f>IF($B1471="",0,IF(COUNTIFS($B$5:$B1471,$B1471,$D$5:$D1471,$D1471)=1,1,0))</f>
        <v/>
      </c>
      <c r="U1471" s="24">
        <f>IF($B1471="",0,IF(COUNTIFS($B$5:$B1471,$B1471,$C$5:$C1471,$C1471)=1,1,0))</f>
        <v/>
      </c>
      <c r="V1471" s="24">
        <f>IF(OR($B1471="",$G1471="",$G1471="لا توجد مشاهدات"),0,1)</f>
        <v/>
      </c>
      <c r="W1471" s="24">
        <f>IF(AND($B1471&lt;&gt;"",$I1471="تم تحرير مخالفة"),1,0)</f>
        <v/>
      </c>
      <c r="X1471" s="24">
        <f>IF($B1471="","",IF($S1471=WkStart,COUNTIF($S$5:$S1471,WkStart),""))</f>
        <v/>
      </c>
    </row>
    <row r="1472">
      <c r="A1472" s="16">
        <f>IF($B1472="","",ROW()-4)</f>
        <v/>
      </c>
      <c r="B1472" s="17" t="n"/>
      <c r="C1472" s="18" t="n"/>
      <c r="D1472" s="18" t="n"/>
      <c r="E1472" s="19" t="n"/>
      <c r="F1472" s="19" t="n"/>
      <c r="G1472" s="18" t="n"/>
      <c r="H1472" s="18" t="n"/>
      <c r="I1472" s="18" t="n"/>
      <c r="J1472" s="20" t="n"/>
      <c r="K1472" s="21" t="n"/>
      <c r="L1472" s="21" t="n"/>
      <c r="M1472" s="18" t="n"/>
      <c r="N1472" s="22">
        <f>IF($B1472="","",CHOOSE(WEEKDAY($B1472),"الأحد","الاثنين","الثلاثاء","الأربعاء","الخميس","الجمعة","السبت"))</f>
        <v/>
      </c>
      <c r="O1472" s="23">
        <f>IF(OR($K1472="",$L1472=""),"",HYPERLINK("https://maps.google.com/?q="&amp;$K1472&amp;","&amp;$L1472,"عرض الموقع"))</f>
        <v/>
      </c>
      <c r="P1472" s="23">
        <f>IF(OR($B1472="",N($J1472)=0),"",HYPERLINK(PhotoDir&amp;"/"&amp;YEAR($B1472)&amp;"-"&amp;TEXT(MONTH($B1472),"00")&amp;"-"&amp;TEXT(DAY($B1472),"00")&amp;"_"&amp;$D1472,"فتح الصور ("&amp;$J1472&amp;")"))</f>
        <v/>
      </c>
      <c r="Q1472" s="24">
        <f>IF($B1472="","",MONTH($B1472))</f>
        <v/>
      </c>
      <c r="R1472" s="24">
        <f>IF($B1472="","",YEAR($B1472))</f>
        <v/>
      </c>
      <c r="S1472" s="25">
        <f>IF($B1472="","",$B1472-WEEKDAY($B1472,3))</f>
        <v/>
      </c>
      <c r="T1472" s="24">
        <f>IF($B1472="",0,IF(COUNTIFS($B$5:$B1472,$B1472,$D$5:$D1472,$D1472)=1,1,0))</f>
        <v/>
      </c>
      <c r="U1472" s="24">
        <f>IF($B1472="",0,IF(COUNTIFS($B$5:$B1472,$B1472,$C$5:$C1472,$C1472)=1,1,0))</f>
        <v/>
      </c>
      <c r="V1472" s="24">
        <f>IF(OR($B1472="",$G1472="",$G1472="لا توجد مشاهدات"),0,1)</f>
        <v/>
      </c>
      <c r="W1472" s="24">
        <f>IF(AND($B1472&lt;&gt;"",$I1472="تم تحرير مخالفة"),1,0)</f>
        <v/>
      </c>
      <c r="X1472" s="24">
        <f>IF($B1472="","",IF($S1472=WkStart,COUNTIF($S$5:$S1472,WkStart),""))</f>
        <v/>
      </c>
    </row>
    <row r="1473">
      <c r="A1473" s="16">
        <f>IF($B1473="","",ROW()-4)</f>
        <v/>
      </c>
      <c r="B1473" s="17" t="n"/>
      <c r="C1473" s="18" t="n"/>
      <c r="D1473" s="18" t="n"/>
      <c r="E1473" s="19" t="n"/>
      <c r="F1473" s="19" t="n"/>
      <c r="G1473" s="18" t="n"/>
      <c r="H1473" s="18" t="n"/>
      <c r="I1473" s="18" t="n"/>
      <c r="J1473" s="20" t="n"/>
      <c r="K1473" s="21" t="n"/>
      <c r="L1473" s="21" t="n"/>
      <c r="M1473" s="18" t="n"/>
      <c r="N1473" s="22">
        <f>IF($B1473="","",CHOOSE(WEEKDAY($B1473),"الأحد","الاثنين","الثلاثاء","الأربعاء","الخميس","الجمعة","السبت"))</f>
        <v/>
      </c>
      <c r="O1473" s="23">
        <f>IF(OR($K1473="",$L1473=""),"",HYPERLINK("https://maps.google.com/?q="&amp;$K1473&amp;","&amp;$L1473,"عرض الموقع"))</f>
        <v/>
      </c>
      <c r="P1473" s="23">
        <f>IF(OR($B1473="",N($J1473)=0),"",HYPERLINK(PhotoDir&amp;"/"&amp;YEAR($B1473)&amp;"-"&amp;TEXT(MONTH($B1473),"00")&amp;"-"&amp;TEXT(DAY($B1473),"00")&amp;"_"&amp;$D1473,"فتح الصور ("&amp;$J1473&amp;")"))</f>
        <v/>
      </c>
      <c r="Q1473" s="24">
        <f>IF($B1473="","",MONTH($B1473))</f>
        <v/>
      </c>
      <c r="R1473" s="24">
        <f>IF($B1473="","",YEAR($B1473))</f>
        <v/>
      </c>
      <c r="S1473" s="25">
        <f>IF($B1473="","",$B1473-WEEKDAY($B1473,3))</f>
        <v/>
      </c>
      <c r="T1473" s="24">
        <f>IF($B1473="",0,IF(COUNTIFS($B$5:$B1473,$B1473,$D$5:$D1473,$D1473)=1,1,0))</f>
        <v/>
      </c>
      <c r="U1473" s="24">
        <f>IF($B1473="",0,IF(COUNTIFS($B$5:$B1473,$B1473,$C$5:$C1473,$C1473)=1,1,0))</f>
        <v/>
      </c>
      <c r="V1473" s="24">
        <f>IF(OR($B1473="",$G1473="",$G1473="لا توجد مشاهدات"),0,1)</f>
        <v/>
      </c>
      <c r="W1473" s="24">
        <f>IF(AND($B1473&lt;&gt;"",$I1473="تم تحرير مخالفة"),1,0)</f>
        <v/>
      </c>
      <c r="X1473" s="24">
        <f>IF($B1473="","",IF($S1473=WkStart,COUNTIF($S$5:$S1473,WkStart),""))</f>
        <v/>
      </c>
    </row>
    <row r="1474">
      <c r="A1474" s="16">
        <f>IF($B1474="","",ROW()-4)</f>
        <v/>
      </c>
      <c r="B1474" s="17" t="n"/>
      <c r="C1474" s="18" t="n"/>
      <c r="D1474" s="18" t="n"/>
      <c r="E1474" s="19" t="n"/>
      <c r="F1474" s="19" t="n"/>
      <c r="G1474" s="18" t="n"/>
      <c r="H1474" s="18" t="n"/>
      <c r="I1474" s="18" t="n"/>
      <c r="J1474" s="20" t="n"/>
      <c r="K1474" s="21" t="n"/>
      <c r="L1474" s="21" t="n"/>
      <c r="M1474" s="18" t="n"/>
      <c r="N1474" s="22">
        <f>IF($B1474="","",CHOOSE(WEEKDAY($B1474),"الأحد","الاثنين","الثلاثاء","الأربعاء","الخميس","الجمعة","السبت"))</f>
        <v/>
      </c>
      <c r="O1474" s="23">
        <f>IF(OR($K1474="",$L1474=""),"",HYPERLINK("https://maps.google.com/?q="&amp;$K1474&amp;","&amp;$L1474,"عرض الموقع"))</f>
        <v/>
      </c>
      <c r="P1474" s="23">
        <f>IF(OR($B1474="",N($J1474)=0),"",HYPERLINK(PhotoDir&amp;"/"&amp;YEAR($B1474)&amp;"-"&amp;TEXT(MONTH($B1474),"00")&amp;"-"&amp;TEXT(DAY($B1474),"00")&amp;"_"&amp;$D1474,"فتح الصور ("&amp;$J1474&amp;")"))</f>
        <v/>
      </c>
      <c r="Q1474" s="24">
        <f>IF($B1474="","",MONTH($B1474))</f>
        <v/>
      </c>
      <c r="R1474" s="24">
        <f>IF($B1474="","",YEAR($B1474))</f>
        <v/>
      </c>
      <c r="S1474" s="25">
        <f>IF($B1474="","",$B1474-WEEKDAY($B1474,3))</f>
        <v/>
      </c>
      <c r="T1474" s="24">
        <f>IF($B1474="",0,IF(COUNTIFS($B$5:$B1474,$B1474,$D$5:$D1474,$D1474)=1,1,0))</f>
        <v/>
      </c>
      <c r="U1474" s="24">
        <f>IF($B1474="",0,IF(COUNTIFS($B$5:$B1474,$B1474,$C$5:$C1474,$C1474)=1,1,0))</f>
        <v/>
      </c>
      <c r="V1474" s="24">
        <f>IF(OR($B1474="",$G1474="",$G1474="لا توجد مشاهدات"),0,1)</f>
        <v/>
      </c>
      <c r="W1474" s="24">
        <f>IF(AND($B1474&lt;&gt;"",$I1474="تم تحرير مخالفة"),1,0)</f>
        <v/>
      </c>
      <c r="X1474" s="24">
        <f>IF($B1474="","",IF($S1474=WkStart,COUNTIF($S$5:$S1474,WkStart),""))</f>
        <v/>
      </c>
    </row>
    <row r="1475">
      <c r="A1475" s="16">
        <f>IF($B1475="","",ROW()-4)</f>
        <v/>
      </c>
      <c r="B1475" s="17" t="n"/>
      <c r="C1475" s="18" t="n"/>
      <c r="D1475" s="18" t="n"/>
      <c r="E1475" s="19" t="n"/>
      <c r="F1475" s="19" t="n"/>
      <c r="G1475" s="18" t="n"/>
      <c r="H1475" s="18" t="n"/>
      <c r="I1475" s="18" t="n"/>
      <c r="J1475" s="20" t="n"/>
      <c r="K1475" s="21" t="n"/>
      <c r="L1475" s="21" t="n"/>
      <c r="M1475" s="18" t="n"/>
      <c r="N1475" s="22">
        <f>IF($B1475="","",CHOOSE(WEEKDAY($B1475),"الأحد","الاثنين","الثلاثاء","الأربعاء","الخميس","الجمعة","السبت"))</f>
        <v/>
      </c>
      <c r="O1475" s="23">
        <f>IF(OR($K1475="",$L1475=""),"",HYPERLINK("https://maps.google.com/?q="&amp;$K1475&amp;","&amp;$L1475,"عرض الموقع"))</f>
        <v/>
      </c>
      <c r="P1475" s="23">
        <f>IF(OR($B1475="",N($J1475)=0),"",HYPERLINK(PhotoDir&amp;"/"&amp;YEAR($B1475)&amp;"-"&amp;TEXT(MONTH($B1475),"00")&amp;"-"&amp;TEXT(DAY($B1475),"00")&amp;"_"&amp;$D1475,"فتح الصور ("&amp;$J1475&amp;")"))</f>
        <v/>
      </c>
      <c r="Q1475" s="24">
        <f>IF($B1475="","",MONTH($B1475))</f>
        <v/>
      </c>
      <c r="R1475" s="24">
        <f>IF($B1475="","",YEAR($B1475))</f>
        <v/>
      </c>
      <c r="S1475" s="25">
        <f>IF($B1475="","",$B1475-WEEKDAY($B1475,3))</f>
        <v/>
      </c>
      <c r="T1475" s="24">
        <f>IF($B1475="",0,IF(COUNTIFS($B$5:$B1475,$B1475,$D$5:$D1475,$D1475)=1,1,0))</f>
        <v/>
      </c>
      <c r="U1475" s="24">
        <f>IF($B1475="",0,IF(COUNTIFS($B$5:$B1475,$B1475,$C$5:$C1475,$C1475)=1,1,0))</f>
        <v/>
      </c>
      <c r="V1475" s="24">
        <f>IF(OR($B1475="",$G1475="",$G1475="لا توجد مشاهدات"),0,1)</f>
        <v/>
      </c>
      <c r="W1475" s="24">
        <f>IF(AND($B1475&lt;&gt;"",$I1475="تم تحرير مخالفة"),1,0)</f>
        <v/>
      </c>
      <c r="X1475" s="24">
        <f>IF($B1475="","",IF($S1475=WkStart,COUNTIF($S$5:$S1475,WkStart),""))</f>
        <v/>
      </c>
    </row>
    <row r="1476">
      <c r="A1476" s="16">
        <f>IF($B1476="","",ROW()-4)</f>
        <v/>
      </c>
      <c r="B1476" s="17" t="n"/>
      <c r="C1476" s="18" t="n"/>
      <c r="D1476" s="18" t="n"/>
      <c r="E1476" s="19" t="n"/>
      <c r="F1476" s="19" t="n"/>
      <c r="G1476" s="18" t="n"/>
      <c r="H1476" s="18" t="n"/>
      <c r="I1476" s="18" t="n"/>
      <c r="J1476" s="20" t="n"/>
      <c r="K1476" s="21" t="n"/>
      <c r="L1476" s="21" t="n"/>
      <c r="M1476" s="18" t="n"/>
      <c r="N1476" s="22">
        <f>IF($B1476="","",CHOOSE(WEEKDAY($B1476),"الأحد","الاثنين","الثلاثاء","الأربعاء","الخميس","الجمعة","السبت"))</f>
        <v/>
      </c>
      <c r="O1476" s="23">
        <f>IF(OR($K1476="",$L1476=""),"",HYPERLINK("https://maps.google.com/?q="&amp;$K1476&amp;","&amp;$L1476,"عرض الموقع"))</f>
        <v/>
      </c>
      <c r="P1476" s="23">
        <f>IF(OR($B1476="",N($J1476)=0),"",HYPERLINK(PhotoDir&amp;"/"&amp;YEAR($B1476)&amp;"-"&amp;TEXT(MONTH($B1476),"00")&amp;"-"&amp;TEXT(DAY($B1476),"00")&amp;"_"&amp;$D1476,"فتح الصور ("&amp;$J1476&amp;")"))</f>
        <v/>
      </c>
      <c r="Q1476" s="24">
        <f>IF($B1476="","",MONTH($B1476))</f>
        <v/>
      </c>
      <c r="R1476" s="24">
        <f>IF($B1476="","",YEAR($B1476))</f>
        <v/>
      </c>
      <c r="S1476" s="25">
        <f>IF($B1476="","",$B1476-WEEKDAY($B1476,3))</f>
        <v/>
      </c>
      <c r="T1476" s="24">
        <f>IF($B1476="",0,IF(COUNTIFS($B$5:$B1476,$B1476,$D$5:$D1476,$D1476)=1,1,0))</f>
        <v/>
      </c>
      <c r="U1476" s="24">
        <f>IF($B1476="",0,IF(COUNTIFS($B$5:$B1476,$B1476,$C$5:$C1476,$C1476)=1,1,0))</f>
        <v/>
      </c>
      <c r="V1476" s="24">
        <f>IF(OR($B1476="",$G1476="",$G1476="لا توجد مشاهدات"),0,1)</f>
        <v/>
      </c>
      <c r="W1476" s="24">
        <f>IF(AND($B1476&lt;&gt;"",$I1476="تم تحرير مخالفة"),1,0)</f>
        <v/>
      </c>
      <c r="X1476" s="24">
        <f>IF($B1476="","",IF($S1476=WkStart,COUNTIF($S$5:$S1476,WkStart),""))</f>
        <v/>
      </c>
    </row>
    <row r="1477">
      <c r="A1477" s="16">
        <f>IF($B1477="","",ROW()-4)</f>
        <v/>
      </c>
      <c r="B1477" s="17" t="n"/>
      <c r="C1477" s="18" t="n"/>
      <c r="D1477" s="18" t="n"/>
      <c r="E1477" s="19" t="n"/>
      <c r="F1477" s="19" t="n"/>
      <c r="G1477" s="18" t="n"/>
      <c r="H1477" s="18" t="n"/>
      <c r="I1477" s="18" t="n"/>
      <c r="J1477" s="20" t="n"/>
      <c r="K1477" s="21" t="n"/>
      <c r="L1477" s="21" t="n"/>
      <c r="M1477" s="18" t="n"/>
      <c r="N1477" s="22">
        <f>IF($B1477="","",CHOOSE(WEEKDAY($B1477),"الأحد","الاثنين","الثلاثاء","الأربعاء","الخميس","الجمعة","السبت"))</f>
        <v/>
      </c>
      <c r="O1477" s="23">
        <f>IF(OR($K1477="",$L1477=""),"",HYPERLINK("https://maps.google.com/?q="&amp;$K1477&amp;","&amp;$L1477,"عرض الموقع"))</f>
        <v/>
      </c>
      <c r="P1477" s="23">
        <f>IF(OR($B1477="",N($J1477)=0),"",HYPERLINK(PhotoDir&amp;"/"&amp;YEAR($B1477)&amp;"-"&amp;TEXT(MONTH($B1477),"00")&amp;"-"&amp;TEXT(DAY($B1477),"00")&amp;"_"&amp;$D1477,"فتح الصور ("&amp;$J1477&amp;")"))</f>
        <v/>
      </c>
      <c r="Q1477" s="24">
        <f>IF($B1477="","",MONTH($B1477))</f>
        <v/>
      </c>
      <c r="R1477" s="24">
        <f>IF($B1477="","",YEAR($B1477))</f>
        <v/>
      </c>
      <c r="S1477" s="25">
        <f>IF($B1477="","",$B1477-WEEKDAY($B1477,3))</f>
        <v/>
      </c>
      <c r="T1477" s="24">
        <f>IF($B1477="",0,IF(COUNTIFS($B$5:$B1477,$B1477,$D$5:$D1477,$D1477)=1,1,0))</f>
        <v/>
      </c>
      <c r="U1477" s="24">
        <f>IF($B1477="",0,IF(COUNTIFS($B$5:$B1477,$B1477,$C$5:$C1477,$C1477)=1,1,0))</f>
        <v/>
      </c>
      <c r="V1477" s="24">
        <f>IF(OR($B1477="",$G1477="",$G1477="لا توجد مشاهدات"),0,1)</f>
        <v/>
      </c>
      <c r="W1477" s="24">
        <f>IF(AND($B1477&lt;&gt;"",$I1477="تم تحرير مخالفة"),1,0)</f>
        <v/>
      </c>
      <c r="X1477" s="24">
        <f>IF($B1477="","",IF($S1477=WkStart,COUNTIF($S$5:$S1477,WkStart),""))</f>
        <v/>
      </c>
    </row>
    <row r="1478">
      <c r="A1478" s="16">
        <f>IF($B1478="","",ROW()-4)</f>
        <v/>
      </c>
      <c r="B1478" s="17" t="n"/>
      <c r="C1478" s="18" t="n"/>
      <c r="D1478" s="18" t="n"/>
      <c r="E1478" s="19" t="n"/>
      <c r="F1478" s="19" t="n"/>
      <c r="G1478" s="18" t="n"/>
      <c r="H1478" s="18" t="n"/>
      <c r="I1478" s="18" t="n"/>
      <c r="J1478" s="20" t="n"/>
      <c r="K1478" s="21" t="n"/>
      <c r="L1478" s="21" t="n"/>
      <c r="M1478" s="18" t="n"/>
      <c r="N1478" s="22">
        <f>IF($B1478="","",CHOOSE(WEEKDAY($B1478),"الأحد","الاثنين","الثلاثاء","الأربعاء","الخميس","الجمعة","السبت"))</f>
        <v/>
      </c>
      <c r="O1478" s="23">
        <f>IF(OR($K1478="",$L1478=""),"",HYPERLINK("https://maps.google.com/?q="&amp;$K1478&amp;","&amp;$L1478,"عرض الموقع"))</f>
        <v/>
      </c>
      <c r="P1478" s="23">
        <f>IF(OR($B1478="",N($J1478)=0),"",HYPERLINK(PhotoDir&amp;"/"&amp;YEAR($B1478)&amp;"-"&amp;TEXT(MONTH($B1478),"00")&amp;"-"&amp;TEXT(DAY($B1478),"00")&amp;"_"&amp;$D1478,"فتح الصور ("&amp;$J1478&amp;")"))</f>
        <v/>
      </c>
      <c r="Q1478" s="24">
        <f>IF($B1478="","",MONTH($B1478))</f>
        <v/>
      </c>
      <c r="R1478" s="24">
        <f>IF($B1478="","",YEAR($B1478))</f>
        <v/>
      </c>
      <c r="S1478" s="25">
        <f>IF($B1478="","",$B1478-WEEKDAY($B1478,3))</f>
        <v/>
      </c>
      <c r="T1478" s="24">
        <f>IF($B1478="",0,IF(COUNTIFS($B$5:$B1478,$B1478,$D$5:$D1478,$D1478)=1,1,0))</f>
        <v/>
      </c>
      <c r="U1478" s="24">
        <f>IF($B1478="",0,IF(COUNTIFS($B$5:$B1478,$B1478,$C$5:$C1478,$C1478)=1,1,0))</f>
        <v/>
      </c>
      <c r="V1478" s="24">
        <f>IF(OR($B1478="",$G1478="",$G1478="لا توجد مشاهدات"),0,1)</f>
        <v/>
      </c>
      <c r="W1478" s="24">
        <f>IF(AND($B1478&lt;&gt;"",$I1478="تم تحرير مخالفة"),1,0)</f>
        <v/>
      </c>
      <c r="X1478" s="24">
        <f>IF($B1478="","",IF($S1478=WkStart,COUNTIF($S$5:$S1478,WkStart),""))</f>
        <v/>
      </c>
    </row>
    <row r="1479">
      <c r="A1479" s="16">
        <f>IF($B1479="","",ROW()-4)</f>
        <v/>
      </c>
      <c r="B1479" s="17" t="n"/>
      <c r="C1479" s="18" t="n"/>
      <c r="D1479" s="18" t="n"/>
      <c r="E1479" s="19" t="n"/>
      <c r="F1479" s="19" t="n"/>
      <c r="G1479" s="18" t="n"/>
      <c r="H1479" s="18" t="n"/>
      <c r="I1479" s="18" t="n"/>
      <c r="J1479" s="20" t="n"/>
      <c r="K1479" s="21" t="n"/>
      <c r="L1479" s="21" t="n"/>
      <c r="M1479" s="18" t="n"/>
      <c r="N1479" s="22">
        <f>IF($B1479="","",CHOOSE(WEEKDAY($B1479),"الأحد","الاثنين","الثلاثاء","الأربعاء","الخميس","الجمعة","السبت"))</f>
        <v/>
      </c>
      <c r="O1479" s="23">
        <f>IF(OR($K1479="",$L1479=""),"",HYPERLINK("https://maps.google.com/?q="&amp;$K1479&amp;","&amp;$L1479,"عرض الموقع"))</f>
        <v/>
      </c>
      <c r="P1479" s="23">
        <f>IF(OR($B1479="",N($J1479)=0),"",HYPERLINK(PhotoDir&amp;"/"&amp;YEAR($B1479)&amp;"-"&amp;TEXT(MONTH($B1479),"00")&amp;"-"&amp;TEXT(DAY($B1479),"00")&amp;"_"&amp;$D1479,"فتح الصور ("&amp;$J1479&amp;")"))</f>
        <v/>
      </c>
      <c r="Q1479" s="24">
        <f>IF($B1479="","",MONTH($B1479))</f>
        <v/>
      </c>
      <c r="R1479" s="24">
        <f>IF($B1479="","",YEAR($B1479))</f>
        <v/>
      </c>
      <c r="S1479" s="25">
        <f>IF($B1479="","",$B1479-WEEKDAY($B1479,3))</f>
        <v/>
      </c>
      <c r="T1479" s="24">
        <f>IF($B1479="",0,IF(COUNTIFS($B$5:$B1479,$B1479,$D$5:$D1479,$D1479)=1,1,0))</f>
        <v/>
      </c>
      <c r="U1479" s="24">
        <f>IF($B1479="",0,IF(COUNTIFS($B$5:$B1479,$B1479,$C$5:$C1479,$C1479)=1,1,0))</f>
        <v/>
      </c>
      <c r="V1479" s="24">
        <f>IF(OR($B1479="",$G1479="",$G1479="لا توجد مشاهدات"),0,1)</f>
        <v/>
      </c>
      <c r="W1479" s="24">
        <f>IF(AND($B1479&lt;&gt;"",$I1479="تم تحرير مخالفة"),1,0)</f>
        <v/>
      </c>
      <c r="X1479" s="24">
        <f>IF($B1479="","",IF($S1479=WkStart,COUNTIF($S$5:$S1479,WkStart),""))</f>
        <v/>
      </c>
    </row>
    <row r="1480">
      <c r="A1480" s="16">
        <f>IF($B1480="","",ROW()-4)</f>
        <v/>
      </c>
      <c r="B1480" s="17" t="n"/>
      <c r="C1480" s="18" t="n"/>
      <c r="D1480" s="18" t="n"/>
      <c r="E1480" s="19" t="n"/>
      <c r="F1480" s="19" t="n"/>
      <c r="G1480" s="18" t="n"/>
      <c r="H1480" s="18" t="n"/>
      <c r="I1480" s="18" t="n"/>
      <c r="J1480" s="20" t="n"/>
      <c r="K1480" s="21" t="n"/>
      <c r="L1480" s="21" t="n"/>
      <c r="M1480" s="18" t="n"/>
      <c r="N1480" s="22">
        <f>IF($B1480="","",CHOOSE(WEEKDAY($B1480),"الأحد","الاثنين","الثلاثاء","الأربعاء","الخميس","الجمعة","السبت"))</f>
        <v/>
      </c>
      <c r="O1480" s="23">
        <f>IF(OR($K1480="",$L1480=""),"",HYPERLINK("https://maps.google.com/?q="&amp;$K1480&amp;","&amp;$L1480,"عرض الموقع"))</f>
        <v/>
      </c>
      <c r="P1480" s="23">
        <f>IF(OR($B1480="",N($J1480)=0),"",HYPERLINK(PhotoDir&amp;"/"&amp;YEAR($B1480)&amp;"-"&amp;TEXT(MONTH($B1480),"00")&amp;"-"&amp;TEXT(DAY($B1480),"00")&amp;"_"&amp;$D1480,"فتح الصور ("&amp;$J1480&amp;")"))</f>
        <v/>
      </c>
      <c r="Q1480" s="24">
        <f>IF($B1480="","",MONTH($B1480))</f>
        <v/>
      </c>
      <c r="R1480" s="24">
        <f>IF($B1480="","",YEAR($B1480))</f>
        <v/>
      </c>
      <c r="S1480" s="25">
        <f>IF($B1480="","",$B1480-WEEKDAY($B1480,3))</f>
        <v/>
      </c>
      <c r="T1480" s="24">
        <f>IF($B1480="",0,IF(COUNTIFS($B$5:$B1480,$B1480,$D$5:$D1480,$D1480)=1,1,0))</f>
        <v/>
      </c>
      <c r="U1480" s="24">
        <f>IF($B1480="",0,IF(COUNTIFS($B$5:$B1480,$B1480,$C$5:$C1480,$C1480)=1,1,0))</f>
        <v/>
      </c>
      <c r="V1480" s="24">
        <f>IF(OR($B1480="",$G1480="",$G1480="لا توجد مشاهدات"),0,1)</f>
        <v/>
      </c>
      <c r="W1480" s="24">
        <f>IF(AND($B1480&lt;&gt;"",$I1480="تم تحرير مخالفة"),1,0)</f>
        <v/>
      </c>
      <c r="X1480" s="24">
        <f>IF($B1480="","",IF($S1480=WkStart,COUNTIF($S$5:$S1480,WkStart),""))</f>
        <v/>
      </c>
    </row>
    <row r="1481">
      <c r="A1481" s="16">
        <f>IF($B1481="","",ROW()-4)</f>
        <v/>
      </c>
      <c r="B1481" s="17" t="n"/>
      <c r="C1481" s="18" t="n"/>
      <c r="D1481" s="18" t="n"/>
      <c r="E1481" s="19" t="n"/>
      <c r="F1481" s="19" t="n"/>
      <c r="G1481" s="18" t="n"/>
      <c r="H1481" s="18" t="n"/>
      <c r="I1481" s="18" t="n"/>
      <c r="J1481" s="20" t="n"/>
      <c r="K1481" s="21" t="n"/>
      <c r="L1481" s="21" t="n"/>
      <c r="M1481" s="18" t="n"/>
      <c r="N1481" s="22">
        <f>IF($B1481="","",CHOOSE(WEEKDAY($B1481),"الأحد","الاثنين","الثلاثاء","الأربعاء","الخميس","الجمعة","السبت"))</f>
        <v/>
      </c>
      <c r="O1481" s="23">
        <f>IF(OR($K1481="",$L1481=""),"",HYPERLINK("https://maps.google.com/?q="&amp;$K1481&amp;","&amp;$L1481,"عرض الموقع"))</f>
        <v/>
      </c>
      <c r="P1481" s="23">
        <f>IF(OR($B1481="",N($J1481)=0),"",HYPERLINK(PhotoDir&amp;"/"&amp;YEAR($B1481)&amp;"-"&amp;TEXT(MONTH($B1481),"00")&amp;"-"&amp;TEXT(DAY($B1481),"00")&amp;"_"&amp;$D1481,"فتح الصور ("&amp;$J1481&amp;")"))</f>
        <v/>
      </c>
      <c r="Q1481" s="24">
        <f>IF($B1481="","",MONTH($B1481))</f>
        <v/>
      </c>
      <c r="R1481" s="24">
        <f>IF($B1481="","",YEAR($B1481))</f>
        <v/>
      </c>
      <c r="S1481" s="25">
        <f>IF($B1481="","",$B1481-WEEKDAY($B1481,3))</f>
        <v/>
      </c>
      <c r="T1481" s="24">
        <f>IF($B1481="",0,IF(COUNTIFS($B$5:$B1481,$B1481,$D$5:$D1481,$D1481)=1,1,0))</f>
        <v/>
      </c>
      <c r="U1481" s="24">
        <f>IF($B1481="",0,IF(COUNTIFS($B$5:$B1481,$B1481,$C$5:$C1481,$C1481)=1,1,0))</f>
        <v/>
      </c>
      <c r="V1481" s="24">
        <f>IF(OR($B1481="",$G1481="",$G1481="لا توجد مشاهدات"),0,1)</f>
        <v/>
      </c>
      <c r="W1481" s="24">
        <f>IF(AND($B1481&lt;&gt;"",$I1481="تم تحرير مخالفة"),1,0)</f>
        <v/>
      </c>
      <c r="X1481" s="24">
        <f>IF($B1481="","",IF($S1481=WkStart,COUNTIF($S$5:$S1481,WkStart),""))</f>
        <v/>
      </c>
    </row>
    <row r="1482">
      <c r="A1482" s="16">
        <f>IF($B1482="","",ROW()-4)</f>
        <v/>
      </c>
      <c r="B1482" s="17" t="n"/>
      <c r="C1482" s="18" t="n"/>
      <c r="D1482" s="18" t="n"/>
      <c r="E1482" s="19" t="n"/>
      <c r="F1482" s="19" t="n"/>
      <c r="G1482" s="18" t="n"/>
      <c r="H1482" s="18" t="n"/>
      <c r="I1482" s="18" t="n"/>
      <c r="J1482" s="20" t="n"/>
      <c r="K1482" s="21" t="n"/>
      <c r="L1482" s="21" t="n"/>
      <c r="M1482" s="18" t="n"/>
      <c r="N1482" s="22">
        <f>IF($B1482="","",CHOOSE(WEEKDAY($B1482),"الأحد","الاثنين","الثلاثاء","الأربعاء","الخميس","الجمعة","السبت"))</f>
        <v/>
      </c>
      <c r="O1482" s="23">
        <f>IF(OR($K1482="",$L1482=""),"",HYPERLINK("https://maps.google.com/?q="&amp;$K1482&amp;","&amp;$L1482,"عرض الموقع"))</f>
        <v/>
      </c>
      <c r="P1482" s="23">
        <f>IF(OR($B1482="",N($J1482)=0),"",HYPERLINK(PhotoDir&amp;"/"&amp;YEAR($B1482)&amp;"-"&amp;TEXT(MONTH($B1482),"00")&amp;"-"&amp;TEXT(DAY($B1482),"00")&amp;"_"&amp;$D1482,"فتح الصور ("&amp;$J1482&amp;")"))</f>
        <v/>
      </c>
      <c r="Q1482" s="24">
        <f>IF($B1482="","",MONTH($B1482))</f>
        <v/>
      </c>
      <c r="R1482" s="24">
        <f>IF($B1482="","",YEAR($B1482))</f>
        <v/>
      </c>
      <c r="S1482" s="25">
        <f>IF($B1482="","",$B1482-WEEKDAY($B1482,3))</f>
        <v/>
      </c>
      <c r="T1482" s="24">
        <f>IF($B1482="",0,IF(COUNTIFS($B$5:$B1482,$B1482,$D$5:$D1482,$D1482)=1,1,0))</f>
        <v/>
      </c>
      <c r="U1482" s="24">
        <f>IF($B1482="",0,IF(COUNTIFS($B$5:$B1482,$B1482,$C$5:$C1482,$C1482)=1,1,0))</f>
        <v/>
      </c>
      <c r="V1482" s="24">
        <f>IF(OR($B1482="",$G1482="",$G1482="لا توجد مشاهدات"),0,1)</f>
        <v/>
      </c>
      <c r="W1482" s="24">
        <f>IF(AND($B1482&lt;&gt;"",$I1482="تم تحرير مخالفة"),1,0)</f>
        <v/>
      </c>
      <c r="X1482" s="24">
        <f>IF($B1482="","",IF($S1482=WkStart,COUNTIF($S$5:$S1482,WkStart),""))</f>
        <v/>
      </c>
    </row>
    <row r="1483">
      <c r="A1483" s="16">
        <f>IF($B1483="","",ROW()-4)</f>
        <v/>
      </c>
      <c r="B1483" s="17" t="n"/>
      <c r="C1483" s="18" t="n"/>
      <c r="D1483" s="18" t="n"/>
      <c r="E1483" s="19" t="n"/>
      <c r="F1483" s="19" t="n"/>
      <c r="G1483" s="18" t="n"/>
      <c r="H1483" s="18" t="n"/>
      <c r="I1483" s="18" t="n"/>
      <c r="J1483" s="20" t="n"/>
      <c r="K1483" s="21" t="n"/>
      <c r="L1483" s="21" t="n"/>
      <c r="M1483" s="18" t="n"/>
      <c r="N1483" s="22">
        <f>IF($B1483="","",CHOOSE(WEEKDAY($B1483),"الأحد","الاثنين","الثلاثاء","الأربعاء","الخميس","الجمعة","السبت"))</f>
        <v/>
      </c>
      <c r="O1483" s="23">
        <f>IF(OR($K1483="",$L1483=""),"",HYPERLINK("https://maps.google.com/?q="&amp;$K1483&amp;","&amp;$L1483,"عرض الموقع"))</f>
        <v/>
      </c>
      <c r="P1483" s="23">
        <f>IF(OR($B1483="",N($J1483)=0),"",HYPERLINK(PhotoDir&amp;"/"&amp;YEAR($B1483)&amp;"-"&amp;TEXT(MONTH($B1483),"00")&amp;"-"&amp;TEXT(DAY($B1483),"00")&amp;"_"&amp;$D1483,"فتح الصور ("&amp;$J1483&amp;")"))</f>
        <v/>
      </c>
      <c r="Q1483" s="24">
        <f>IF($B1483="","",MONTH($B1483))</f>
        <v/>
      </c>
      <c r="R1483" s="24">
        <f>IF($B1483="","",YEAR($B1483))</f>
        <v/>
      </c>
      <c r="S1483" s="25">
        <f>IF($B1483="","",$B1483-WEEKDAY($B1483,3))</f>
        <v/>
      </c>
      <c r="T1483" s="24">
        <f>IF($B1483="",0,IF(COUNTIFS($B$5:$B1483,$B1483,$D$5:$D1483,$D1483)=1,1,0))</f>
        <v/>
      </c>
      <c r="U1483" s="24">
        <f>IF($B1483="",0,IF(COUNTIFS($B$5:$B1483,$B1483,$C$5:$C1483,$C1483)=1,1,0))</f>
        <v/>
      </c>
      <c r="V1483" s="24">
        <f>IF(OR($B1483="",$G1483="",$G1483="لا توجد مشاهدات"),0,1)</f>
        <v/>
      </c>
      <c r="W1483" s="24">
        <f>IF(AND($B1483&lt;&gt;"",$I1483="تم تحرير مخالفة"),1,0)</f>
        <v/>
      </c>
      <c r="X1483" s="24">
        <f>IF($B1483="","",IF($S1483=WkStart,COUNTIF($S$5:$S1483,WkStart),""))</f>
        <v/>
      </c>
    </row>
    <row r="1484">
      <c r="A1484" s="16">
        <f>IF($B1484="","",ROW()-4)</f>
        <v/>
      </c>
      <c r="B1484" s="17" t="n"/>
      <c r="C1484" s="18" t="n"/>
      <c r="D1484" s="18" t="n"/>
      <c r="E1484" s="19" t="n"/>
      <c r="F1484" s="19" t="n"/>
      <c r="G1484" s="18" t="n"/>
      <c r="H1484" s="18" t="n"/>
      <c r="I1484" s="18" t="n"/>
      <c r="J1484" s="20" t="n"/>
      <c r="K1484" s="21" t="n"/>
      <c r="L1484" s="21" t="n"/>
      <c r="M1484" s="18" t="n"/>
      <c r="N1484" s="22">
        <f>IF($B1484="","",CHOOSE(WEEKDAY($B1484),"الأحد","الاثنين","الثلاثاء","الأربعاء","الخميس","الجمعة","السبت"))</f>
        <v/>
      </c>
      <c r="O1484" s="23">
        <f>IF(OR($K1484="",$L1484=""),"",HYPERLINK("https://maps.google.com/?q="&amp;$K1484&amp;","&amp;$L1484,"عرض الموقع"))</f>
        <v/>
      </c>
      <c r="P1484" s="23">
        <f>IF(OR($B1484="",N($J1484)=0),"",HYPERLINK(PhotoDir&amp;"/"&amp;YEAR($B1484)&amp;"-"&amp;TEXT(MONTH($B1484),"00")&amp;"-"&amp;TEXT(DAY($B1484),"00")&amp;"_"&amp;$D1484,"فتح الصور ("&amp;$J1484&amp;")"))</f>
        <v/>
      </c>
      <c r="Q1484" s="24">
        <f>IF($B1484="","",MONTH($B1484))</f>
        <v/>
      </c>
      <c r="R1484" s="24">
        <f>IF($B1484="","",YEAR($B1484))</f>
        <v/>
      </c>
      <c r="S1484" s="25">
        <f>IF($B1484="","",$B1484-WEEKDAY($B1484,3))</f>
        <v/>
      </c>
      <c r="T1484" s="24">
        <f>IF($B1484="",0,IF(COUNTIFS($B$5:$B1484,$B1484,$D$5:$D1484,$D1484)=1,1,0))</f>
        <v/>
      </c>
      <c r="U1484" s="24">
        <f>IF($B1484="",0,IF(COUNTIFS($B$5:$B1484,$B1484,$C$5:$C1484,$C1484)=1,1,0))</f>
        <v/>
      </c>
      <c r="V1484" s="24">
        <f>IF(OR($B1484="",$G1484="",$G1484="لا توجد مشاهدات"),0,1)</f>
        <v/>
      </c>
      <c r="W1484" s="24">
        <f>IF(AND($B1484&lt;&gt;"",$I1484="تم تحرير مخالفة"),1,0)</f>
        <v/>
      </c>
      <c r="X1484" s="24">
        <f>IF($B1484="","",IF($S1484=WkStart,COUNTIF($S$5:$S1484,WkStart),""))</f>
        <v/>
      </c>
    </row>
    <row r="1485">
      <c r="A1485" s="16">
        <f>IF($B1485="","",ROW()-4)</f>
        <v/>
      </c>
      <c r="B1485" s="17" t="n"/>
      <c r="C1485" s="18" t="n"/>
      <c r="D1485" s="18" t="n"/>
      <c r="E1485" s="19" t="n"/>
      <c r="F1485" s="19" t="n"/>
      <c r="G1485" s="18" t="n"/>
      <c r="H1485" s="18" t="n"/>
      <c r="I1485" s="18" t="n"/>
      <c r="J1485" s="20" t="n"/>
      <c r="K1485" s="21" t="n"/>
      <c r="L1485" s="21" t="n"/>
      <c r="M1485" s="18" t="n"/>
      <c r="N1485" s="22">
        <f>IF($B1485="","",CHOOSE(WEEKDAY($B1485),"الأحد","الاثنين","الثلاثاء","الأربعاء","الخميس","الجمعة","السبت"))</f>
        <v/>
      </c>
      <c r="O1485" s="23">
        <f>IF(OR($K1485="",$L1485=""),"",HYPERLINK("https://maps.google.com/?q="&amp;$K1485&amp;","&amp;$L1485,"عرض الموقع"))</f>
        <v/>
      </c>
      <c r="P1485" s="23">
        <f>IF(OR($B1485="",N($J1485)=0),"",HYPERLINK(PhotoDir&amp;"/"&amp;YEAR($B1485)&amp;"-"&amp;TEXT(MONTH($B1485),"00")&amp;"-"&amp;TEXT(DAY($B1485),"00")&amp;"_"&amp;$D1485,"فتح الصور ("&amp;$J1485&amp;")"))</f>
        <v/>
      </c>
      <c r="Q1485" s="24">
        <f>IF($B1485="","",MONTH($B1485))</f>
        <v/>
      </c>
      <c r="R1485" s="24">
        <f>IF($B1485="","",YEAR($B1485))</f>
        <v/>
      </c>
      <c r="S1485" s="25">
        <f>IF($B1485="","",$B1485-WEEKDAY($B1485,3))</f>
        <v/>
      </c>
      <c r="T1485" s="24">
        <f>IF($B1485="",0,IF(COUNTIFS($B$5:$B1485,$B1485,$D$5:$D1485,$D1485)=1,1,0))</f>
        <v/>
      </c>
      <c r="U1485" s="24">
        <f>IF($B1485="",0,IF(COUNTIFS($B$5:$B1485,$B1485,$C$5:$C1485,$C1485)=1,1,0))</f>
        <v/>
      </c>
      <c r="V1485" s="24">
        <f>IF(OR($B1485="",$G1485="",$G1485="لا توجد مشاهدات"),0,1)</f>
        <v/>
      </c>
      <c r="W1485" s="24">
        <f>IF(AND($B1485&lt;&gt;"",$I1485="تم تحرير مخالفة"),1,0)</f>
        <v/>
      </c>
      <c r="X1485" s="24">
        <f>IF($B1485="","",IF($S1485=WkStart,COUNTIF($S$5:$S1485,WkStart),""))</f>
        <v/>
      </c>
    </row>
    <row r="1486">
      <c r="A1486" s="16">
        <f>IF($B1486="","",ROW()-4)</f>
        <v/>
      </c>
      <c r="B1486" s="17" t="n"/>
      <c r="C1486" s="18" t="n"/>
      <c r="D1486" s="18" t="n"/>
      <c r="E1486" s="19" t="n"/>
      <c r="F1486" s="19" t="n"/>
      <c r="G1486" s="18" t="n"/>
      <c r="H1486" s="18" t="n"/>
      <c r="I1486" s="18" t="n"/>
      <c r="J1486" s="20" t="n"/>
      <c r="K1486" s="21" t="n"/>
      <c r="L1486" s="21" t="n"/>
      <c r="M1486" s="18" t="n"/>
      <c r="N1486" s="22">
        <f>IF($B1486="","",CHOOSE(WEEKDAY($B1486),"الأحد","الاثنين","الثلاثاء","الأربعاء","الخميس","الجمعة","السبت"))</f>
        <v/>
      </c>
      <c r="O1486" s="23">
        <f>IF(OR($K1486="",$L1486=""),"",HYPERLINK("https://maps.google.com/?q="&amp;$K1486&amp;","&amp;$L1486,"عرض الموقع"))</f>
        <v/>
      </c>
      <c r="P1486" s="23">
        <f>IF(OR($B1486="",N($J1486)=0),"",HYPERLINK(PhotoDir&amp;"/"&amp;YEAR($B1486)&amp;"-"&amp;TEXT(MONTH($B1486),"00")&amp;"-"&amp;TEXT(DAY($B1486),"00")&amp;"_"&amp;$D1486,"فتح الصور ("&amp;$J1486&amp;")"))</f>
        <v/>
      </c>
      <c r="Q1486" s="24">
        <f>IF($B1486="","",MONTH($B1486))</f>
        <v/>
      </c>
      <c r="R1486" s="24">
        <f>IF($B1486="","",YEAR($B1486))</f>
        <v/>
      </c>
      <c r="S1486" s="25">
        <f>IF($B1486="","",$B1486-WEEKDAY($B1486,3))</f>
        <v/>
      </c>
      <c r="T1486" s="24">
        <f>IF($B1486="",0,IF(COUNTIFS($B$5:$B1486,$B1486,$D$5:$D1486,$D1486)=1,1,0))</f>
        <v/>
      </c>
      <c r="U1486" s="24">
        <f>IF($B1486="",0,IF(COUNTIFS($B$5:$B1486,$B1486,$C$5:$C1486,$C1486)=1,1,0))</f>
        <v/>
      </c>
      <c r="V1486" s="24">
        <f>IF(OR($B1486="",$G1486="",$G1486="لا توجد مشاهدات"),0,1)</f>
        <v/>
      </c>
      <c r="W1486" s="24">
        <f>IF(AND($B1486&lt;&gt;"",$I1486="تم تحرير مخالفة"),1,0)</f>
        <v/>
      </c>
      <c r="X1486" s="24">
        <f>IF($B1486="","",IF($S1486=WkStart,COUNTIF($S$5:$S1486,WkStart),""))</f>
        <v/>
      </c>
    </row>
    <row r="1487">
      <c r="A1487" s="16">
        <f>IF($B1487="","",ROW()-4)</f>
        <v/>
      </c>
      <c r="B1487" s="17" t="n"/>
      <c r="C1487" s="18" t="n"/>
      <c r="D1487" s="18" t="n"/>
      <c r="E1487" s="19" t="n"/>
      <c r="F1487" s="19" t="n"/>
      <c r="G1487" s="18" t="n"/>
      <c r="H1487" s="18" t="n"/>
      <c r="I1487" s="18" t="n"/>
      <c r="J1487" s="20" t="n"/>
      <c r="K1487" s="21" t="n"/>
      <c r="L1487" s="21" t="n"/>
      <c r="M1487" s="18" t="n"/>
      <c r="N1487" s="22">
        <f>IF($B1487="","",CHOOSE(WEEKDAY($B1487),"الأحد","الاثنين","الثلاثاء","الأربعاء","الخميس","الجمعة","السبت"))</f>
        <v/>
      </c>
      <c r="O1487" s="23">
        <f>IF(OR($K1487="",$L1487=""),"",HYPERLINK("https://maps.google.com/?q="&amp;$K1487&amp;","&amp;$L1487,"عرض الموقع"))</f>
        <v/>
      </c>
      <c r="P1487" s="23">
        <f>IF(OR($B1487="",N($J1487)=0),"",HYPERLINK(PhotoDir&amp;"/"&amp;YEAR($B1487)&amp;"-"&amp;TEXT(MONTH($B1487),"00")&amp;"-"&amp;TEXT(DAY($B1487),"00")&amp;"_"&amp;$D1487,"فتح الصور ("&amp;$J1487&amp;")"))</f>
        <v/>
      </c>
      <c r="Q1487" s="24">
        <f>IF($B1487="","",MONTH($B1487))</f>
        <v/>
      </c>
      <c r="R1487" s="24">
        <f>IF($B1487="","",YEAR($B1487))</f>
        <v/>
      </c>
      <c r="S1487" s="25">
        <f>IF($B1487="","",$B1487-WEEKDAY($B1487,3))</f>
        <v/>
      </c>
      <c r="T1487" s="24">
        <f>IF($B1487="",0,IF(COUNTIFS($B$5:$B1487,$B1487,$D$5:$D1487,$D1487)=1,1,0))</f>
        <v/>
      </c>
      <c r="U1487" s="24">
        <f>IF($B1487="",0,IF(COUNTIFS($B$5:$B1487,$B1487,$C$5:$C1487,$C1487)=1,1,0))</f>
        <v/>
      </c>
      <c r="V1487" s="24">
        <f>IF(OR($B1487="",$G1487="",$G1487="لا توجد مشاهدات"),0,1)</f>
        <v/>
      </c>
      <c r="W1487" s="24">
        <f>IF(AND($B1487&lt;&gt;"",$I1487="تم تحرير مخالفة"),1,0)</f>
        <v/>
      </c>
      <c r="X1487" s="24">
        <f>IF($B1487="","",IF($S1487=WkStart,COUNTIF($S$5:$S1487,WkStart),""))</f>
        <v/>
      </c>
    </row>
    <row r="1488">
      <c r="A1488" s="16">
        <f>IF($B1488="","",ROW()-4)</f>
        <v/>
      </c>
      <c r="B1488" s="17" t="n"/>
      <c r="C1488" s="18" t="n"/>
      <c r="D1488" s="18" t="n"/>
      <c r="E1488" s="19" t="n"/>
      <c r="F1488" s="19" t="n"/>
      <c r="G1488" s="18" t="n"/>
      <c r="H1488" s="18" t="n"/>
      <c r="I1488" s="18" t="n"/>
      <c r="J1488" s="20" t="n"/>
      <c r="K1488" s="21" t="n"/>
      <c r="L1488" s="21" t="n"/>
      <c r="M1488" s="18" t="n"/>
      <c r="N1488" s="22">
        <f>IF($B1488="","",CHOOSE(WEEKDAY($B1488),"الأحد","الاثنين","الثلاثاء","الأربعاء","الخميس","الجمعة","السبت"))</f>
        <v/>
      </c>
      <c r="O1488" s="23">
        <f>IF(OR($K1488="",$L1488=""),"",HYPERLINK("https://maps.google.com/?q="&amp;$K1488&amp;","&amp;$L1488,"عرض الموقع"))</f>
        <v/>
      </c>
      <c r="P1488" s="23">
        <f>IF(OR($B1488="",N($J1488)=0),"",HYPERLINK(PhotoDir&amp;"/"&amp;YEAR($B1488)&amp;"-"&amp;TEXT(MONTH($B1488),"00")&amp;"-"&amp;TEXT(DAY($B1488),"00")&amp;"_"&amp;$D1488,"فتح الصور ("&amp;$J1488&amp;")"))</f>
        <v/>
      </c>
      <c r="Q1488" s="24">
        <f>IF($B1488="","",MONTH($B1488))</f>
        <v/>
      </c>
      <c r="R1488" s="24">
        <f>IF($B1488="","",YEAR($B1488))</f>
        <v/>
      </c>
      <c r="S1488" s="25">
        <f>IF($B1488="","",$B1488-WEEKDAY($B1488,3))</f>
        <v/>
      </c>
      <c r="T1488" s="24">
        <f>IF($B1488="",0,IF(COUNTIFS($B$5:$B1488,$B1488,$D$5:$D1488,$D1488)=1,1,0))</f>
        <v/>
      </c>
      <c r="U1488" s="24">
        <f>IF($B1488="",0,IF(COUNTIFS($B$5:$B1488,$B1488,$C$5:$C1488,$C1488)=1,1,0))</f>
        <v/>
      </c>
      <c r="V1488" s="24">
        <f>IF(OR($B1488="",$G1488="",$G1488="لا توجد مشاهدات"),0,1)</f>
        <v/>
      </c>
      <c r="W1488" s="24">
        <f>IF(AND($B1488&lt;&gt;"",$I1488="تم تحرير مخالفة"),1,0)</f>
        <v/>
      </c>
      <c r="X1488" s="24">
        <f>IF($B1488="","",IF($S1488=WkStart,COUNTIF($S$5:$S1488,WkStart),""))</f>
        <v/>
      </c>
    </row>
    <row r="1489">
      <c r="A1489" s="16">
        <f>IF($B1489="","",ROW()-4)</f>
        <v/>
      </c>
      <c r="B1489" s="17" t="n"/>
      <c r="C1489" s="18" t="n"/>
      <c r="D1489" s="18" t="n"/>
      <c r="E1489" s="19" t="n"/>
      <c r="F1489" s="19" t="n"/>
      <c r="G1489" s="18" t="n"/>
      <c r="H1489" s="18" t="n"/>
      <c r="I1489" s="18" t="n"/>
      <c r="J1489" s="20" t="n"/>
      <c r="K1489" s="21" t="n"/>
      <c r="L1489" s="21" t="n"/>
      <c r="M1489" s="18" t="n"/>
      <c r="N1489" s="22">
        <f>IF($B1489="","",CHOOSE(WEEKDAY($B1489),"الأحد","الاثنين","الثلاثاء","الأربعاء","الخميس","الجمعة","السبت"))</f>
        <v/>
      </c>
      <c r="O1489" s="23">
        <f>IF(OR($K1489="",$L1489=""),"",HYPERLINK("https://maps.google.com/?q="&amp;$K1489&amp;","&amp;$L1489,"عرض الموقع"))</f>
        <v/>
      </c>
      <c r="P1489" s="23">
        <f>IF(OR($B1489="",N($J1489)=0),"",HYPERLINK(PhotoDir&amp;"/"&amp;YEAR($B1489)&amp;"-"&amp;TEXT(MONTH($B1489),"00")&amp;"-"&amp;TEXT(DAY($B1489),"00")&amp;"_"&amp;$D1489,"فتح الصور ("&amp;$J1489&amp;")"))</f>
        <v/>
      </c>
      <c r="Q1489" s="24">
        <f>IF($B1489="","",MONTH($B1489))</f>
        <v/>
      </c>
      <c r="R1489" s="24">
        <f>IF($B1489="","",YEAR($B1489))</f>
        <v/>
      </c>
      <c r="S1489" s="25">
        <f>IF($B1489="","",$B1489-WEEKDAY($B1489,3))</f>
        <v/>
      </c>
      <c r="T1489" s="24">
        <f>IF($B1489="",0,IF(COUNTIFS($B$5:$B1489,$B1489,$D$5:$D1489,$D1489)=1,1,0))</f>
        <v/>
      </c>
      <c r="U1489" s="24">
        <f>IF($B1489="",0,IF(COUNTIFS($B$5:$B1489,$B1489,$C$5:$C1489,$C1489)=1,1,0))</f>
        <v/>
      </c>
      <c r="V1489" s="24">
        <f>IF(OR($B1489="",$G1489="",$G1489="لا توجد مشاهدات"),0,1)</f>
        <v/>
      </c>
      <c r="W1489" s="24">
        <f>IF(AND($B1489&lt;&gt;"",$I1489="تم تحرير مخالفة"),1,0)</f>
        <v/>
      </c>
      <c r="X1489" s="24">
        <f>IF($B1489="","",IF($S1489=WkStart,COUNTIF($S$5:$S1489,WkStart),""))</f>
        <v/>
      </c>
    </row>
    <row r="1490">
      <c r="A1490" s="16">
        <f>IF($B1490="","",ROW()-4)</f>
        <v/>
      </c>
      <c r="B1490" s="17" t="n"/>
      <c r="C1490" s="18" t="n"/>
      <c r="D1490" s="18" t="n"/>
      <c r="E1490" s="19" t="n"/>
      <c r="F1490" s="19" t="n"/>
      <c r="G1490" s="18" t="n"/>
      <c r="H1490" s="18" t="n"/>
      <c r="I1490" s="18" t="n"/>
      <c r="J1490" s="20" t="n"/>
      <c r="K1490" s="21" t="n"/>
      <c r="L1490" s="21" t="n"/>
      <c r="M1490" s="18" t="n"/>
      <c r="N1490" s="22">
        <f>IF($B1490="","",CHOOSE(WEEKDAY($B1490),"الأحد","الاثنين","الثلاثاء","الأربعاء","الخميس","الجمعة","السبت"))</f>
        <v/>
      </c>
      <c r="O1490" s="23">
        <f>IF(OR($K1490="",$L1490=""),"",HYPERLINK("https://maps.google.com/?q="&amp;$K1490&amp;","&amp;$L1490,"عرض الموقع"))</f>
        <v/>
      </c>
      <c r="P1490" s="23">
        <f>IF(OR($B1490="",N($J1490)=0),"",HYPERLINK(PhotoDir&amp;"/"&amp;YEAR($B1490)&amp;"-"&amp;TEXT(MONTH($B1490),"00")&amp;"-"&amp;TEXT(DAY($B1490),"00")&amp;"_"&amp;$D1490,"فتح الصور ("&amp;$J1490&amp;")"))</f>
        <v/>
      </c>
      <c r="Q1490" s="24">
        <f>IF($B1490="","",MONTH($B1490))</f>
        <v/>
      </c>
      <c r="R1490" s="24">
        <f>IF($B1490="","",YEAR($B1490))</f>
        <v/>
      </c>
      <c r="S1490" s="25">
        <f>IF($B1490="","",$B1490-WEEKDAY($B1490,3))</f>
        <v/>
      </c>
      <c r="T1490" s="24">
        <f>IF($B1490="",0,IF(COUNTIFS($B$5:$B1490,$B1490,$D$5:$D1490,$D1490)=1,1,0))</f>
        <v/>
      </c>
      <c r="U1490" s="24">
        <f>IF($B1490="",0,IF(COUNTIFS($B$5:$B1490,$B1490,$C$5:$C1490,$C1490)=1,1,0))</f>
        <v/>
      </c>
      <c r="V1490" s="24">
        <f>IF(OR($B1490="",$G1490="",$G1490="لا توجد مشاهدات"),0,1)</f>
        <v/>
      </c>
      <c r="W1490" s="24">
        <f>IF(AND($B1490&lt;&gt;"",$I1490="تم تحرير مخالفة"),1,0)</f>
        <v/>
      </c>
      <c r="X1490" s="24">
        <f>IF($B1490="","",IF($S1490=WkStart,COUNTIF($S$5:$S1490,WkStart),""))</f>
        <v/>
      </c>
    </row>
    <row r="1491">
      <c r="A1491" s="16">
        <f>IF($B1491="","",ROW()-4)</f>
        <v/>
      </c>
      <c r="B1491" s="17" t="n"/>
      <c r="C1491" s="18" t="n"/>
      <c r="D1491" s="18" t="n"/>
      <c r="E1491" s="19" t="n"/>
      <c r="F1491" s="19" t="n"/>
      <c r="G1491" s="18" t="n"/>
      <c r="H1491" s="18" t="n"/>
      <c r="I1491" s="18" t="n"/>
      <c r="J1491" s="20" t="n"/>
      <c r="K1491" s="21" t="n"/>
      <c r="L1491" s="21" t="n"/>
      <c r="M1491" s="18" t="n"/>
      <c r="N1491" s="22">
        <f>IF($B1491="","",CHOOSE(WEEKDAY($B1491),"الأحد","الاثنين","الثلاثاء","الأربعاء","الخميس","الجمعة","السبت"))</f>
        <v/>
      </c>
      <c r="O1491" s="23">
        <f>IF(OR($K1491="",$L1491=""),"",HYPERLINK("https://maps.google.com/?q="&amp;$K1491&amp;","&amp;$L1491,"عرض الموقع"))</f>
        <v/>
      </c>
      <c r="P1491" s="23">
        <f>IF(OR($B1491="",N($J1491)=0),"",HYPERLINK(PhotoDir&amp;"/"&amp;YEAR($B1491)&amp;"-"&amp;TEXT(MONTH($B1491),"00")&amp;"-"&amp;TEXT(DAY($B1491),"00")&amp;"_"&amp;$D1491,"فتح الصور ("&amp;$J1491&amp;")"))</f>
        <v/>
      </c>
      <c r="Q1491" s="24">
        <f>IF($B1491="","",MONTH($B1491))</f>
        <v/>
      </c>
      <c r="R1491" s="24">
        <f>IF($B1491="","",YEAR($B1491))</f>
        <v/>
      </c>
      <c r="S1491" s="25">
        <f>IF($B1491="","",$B1491-WEEKDAY($B1491,3))</f>
        <v/>
      </c>
      <c r="T1491" s="24">
        <f>IF($B1491="",0,IF(COUNTIFS($B$5:$B1491,$B1491,$D$5:$D1491,$D1491)=1,1,0))</f>
        <v/>
      </c>
      <c r="U1491" s="24">
        <f>IF($B1491="",0,IF(COUNTIFS($B$5:$B1491,$B1491,$C$5:$C1491,$C1491)=1,1,0))</f>
        <v/>
      </c>
      <c r="V1491" s="24">
        <f>IF(OR($B1491="",$G1491="",$G1491="لا توجد مشاهدات"),0,1)</f>
        <v/>
      </c>
      <c r="W1491" s="24">
        <f>IF(AND($B1491&lt;&gt;"",$I1491="تم تحرير مخالفة"),1,0)</f>
        <v/>
      </c>
      <c r="X1491" s="24">
        <f>IF($B1491="","",IF($S1491=WkStart,COUNTIF($S$5:$S1491,WkStart),""))</f>
        <v/>
      </c>
    </row>
    <row r="1492">
      <c r="A1492" s="16">
        <f>IF($B1492="","",ROW()-4)</f>
        <v/>
      </c>
      <c r="B1492" s="17" t="n"/>
      <c r="C1492" s="18" t="n"/>
      <c r="D1492" s="18" t="n"/>
      <c r="E1492" s="19" t="n"/>
      <c r="F1492" s="19" t="n"/>
      <c r="G1492" s="18" t="n"/>
      <c r="H1492" s="18" t="n"/>
      <c r="I1492" s="18" t="n"/>
      <c r="J1492" s="20" t="n"/>
      <c r="K1492" s="21" t="n"/>
      <c r="L1492" s="21" t="n"/>
      <c r="M1492" s="18" t="n"/>
      <c r="N1492" s="22">
        <f>IF($B1492="","",CHOOSE(WEEKDAY($B1492),"الأحد","الاثنين","الثلاثاء","الأربعاء","الخميس","الجمعة","السبت"))</f>
        <v/>
      </c>
      <c r="O1492" s="23">
        <f>IF(OR($K1492="",$L1492=""),"",HYPERLINK("https://maps.google.com/?q="&amp;$K1492&amp;","&amp;$L1492,"عرض الموقع"))</f>
        <v/>
      </c>
      <c r="P1492" s="23">
        <f>IF(OR($B1492="",N($J1492)=0),"",HYPERLINK(PhotoDir&amp;"/"&amp;YEAR($B1492)&amp;"-"&amp;TEXT(MONTH($B1492),"00")&amp;"-"&amp;TEXT(DAY($B1492),"00")&amp;"_"&amp;$D1492,"فتح الصور ("&amp;$J1492&amp;")"))</f>
        <v/>
      </c>
      <c r="Q1492" s="24">
        <f>IF($B1492="","",MONTH($B1492))</f>
        <v/>
      </c>
      <c r="R1492" s="24">
        <f>IF($B1492="","",YEAR($B1492))</f>
        <v/>
      </c>
      <c r="S1492" s="25">
        <f>IF($B1492="","",$B1492-WEEKDAY($B1492,3))</f>
        <v/>
      </c>
      <c r="T1492" s="24">
        <f>IF($B1492="",0,IF(COUNTIFS($B$5:$B1492,$B1492,$D$5:$D1492,$D1492)=1,1,0))</f>
        <v/>
      </c>
      <c r="U1492" s="24">
        <f>IF($B1492="",0,IF(COUNTIFS($B$5:$B1492,$B1492,$C$5:$C1492,$C1492)=1,1,0))</f>
        <v/>
      </c>
      <c r="V1492" s="24">
        <f>IF(OR($B1492="",$G1492="",$G1492="لا توجد مشاهدات"),0,1)</f>
        <v/>
      </c>
      <c r="W1492" s="24">
        <f>IF(AND($B1492&lt;&gt;"",$I1492="تم تحرير مخالفة"),1,0)</f>
        <v/>
      </c>
      <c r="X1492" s="24">
        <f>IF($B1492="","",IF($S1492=WkStart,COUNTIF($S$5:$S1492,WkStart),""))</f>
        <v/>
      </c>
    </row>
    <row r="1493">
      <c r="A1493" s="16">
        <f>IF($B1493="","",ROW()-4)</f>
        <v/>
      </c>
      <c r="B1493" s="17" t="n"/>
      <c r="C1493" s="18" t="n"/>
      <c r="D1493" s="18" t="n"/>
      <c r="E1493" s="19" t="n"/>
      <c r="F1493" s="19" t="n"/>
      <c r="G1493" s="18" t="n"/>
      <c r="H1493" s="18" t="n"/>
      <c r="I1493" s="18" t="n"/>
      <c r="J1493" s="20" t="n"/>
      <c r="K1493" s="21" t="n"/>
      <c r="L1493" s="21" t="n"/>
      <c r="M1493" s="18" t="n"/>
      <c r="N1493" s="22">
        <f>IF($B1493="","",CHOOSE(WEEKDAY($B1493),"الأحد","الاثنين","الثلاثاء","الأربعاء","الخميس","الجمعة","السبت"))</f>
        <v/>
      </c>
      <c r="O1493" s="23">
        <f>IF(OR($K1493="",$L1493=""),"",HYPERLINK("https://maps.google.com/?q="&amp;$K1493&amp;","&amp;$L1493,"عرض الموقع"))</f>
        <v/>
      </c>
      <c r="P1493" s="23">
        <f>IF(OR($B1493="",N($J1493)=0),"",HYPERLINK(PhotoDir&amp;"/"&amp;YEAR($B1493)&amp;"-"&amp;TEXT(MONTH($B1493),"00")&amp;"-"&amp;TEXT(DAY($B1493),"00")&amp;"_"&amp;$D1493,"فتح الصور ("&amp;$J1493&amp;")"))</f>
        <v/>
      </c>
      <c r="Q1493" s="24">
        <f>IF($B1493="","",MONTH($B1493))</f>
        <v/>
      </c>
      <c r="R1493" s="24">
        <f>IF($B1493="","",YEAR($B1493))</f>
        <v/>
      </c>
      <c r="S1493" s="25">
        <f>IF($B1493="","",$B1493-WEEKDAY($B1493,3))</f>
        <v/>
      </c>
      <c r="T1493" s="24">
        <f>IF($B1493="",0,IF(COUNTIFS($B$5:$B1493,$B1493,$D$5:$D1493,$D1493)=1,1,0))</f>
        <v/>
      </c>
      <c r="U1493" s="24">
        <f>IF($B1493="",0,IF(COUNTIFS($B$5:$B1493,$B1493,$C$5:$C1493,$C1493)=1,1,0))</f>
        <v/>
      </c>
      <c r="V1493" s="24">
        <f>IF(OR($B1493="",$G1493="",$G1493="لا توجد مشاهدات"),0,1)</f>
        <v/>
      </c>
      <c r="W1493" s="24">
        <f>IF(AND($B1493&lt;&gt;"",$I1493="تم تحرير مخالفة"),1,0)</f>
        <v/>
      </c>
      <c r="X1493" s="24">
        <f>IF($B1493="","",IF($S1493=WkStart,COUNTIF($S$5:$S1493,WkStart),""))</f>
        <v/>
      </c>
    </row>
    <row r="1494">
      <c r="A1494" s="16">
        <f>IF($B1494="","",ROW()-4)</f>
        <v/>
      </c>
      <c r="B1494" s="17" t="n"/>
      <c r="C1494" s="18" t="n"/>
      <c r="D1494" s="18" t="n"/>
      <c r="E1494" s="19" t="n"/>
      <c r="F1494" s="19" t="n"/>
      <c r="G1494" s="18" t="n"/>
      <c r="H1494" s="18" t="n"/>
      <c r="I1494" s="18" t="n"/>
      <c r="J1494" s="20" t="n"/>
      <c r="K1494" s="21" t="n"/>
      <c r="L1494" s="21" t="n"/>
      <c r="M1494" s="18" t="n"/>
      <c r="N1494" s="22">
        <f>IF($B1494="","",CHOOSE(WEEKDAY($B1494),"الأحد","الاثنين","الثلاثاء","الأربعاء","الخميس","الجمعة","السبت"))</f>
        <v/>
      </c>
      <c r="O1494" s="23">
        <f>IF(OR($K1494="",$L1494=""),"",HYPERLINK("https://maps.google.com/?q="&amp;$K1494&amp;","&amp;$L1494,"عرض الموقع"))</f>
        <v/>
      </c>
      <c r="P1494" s="23">
        <f>IF(OR($B1494="",N($J1494)=0),"",HYPERLINK(PhotoDir&amp;"/"&amp;YEAR($B1494)&amp;"-"&amp;TEXT(MONTH($B1494),"00")&amp;"-"&amp;TEXT(DAY($B1494),"00")&amp;"_"&amp;$D1494,"فتح الصور ("&amp;$J1494&amp;")"))</f>
        <v/>
      </c>
      <c r="Q1494" s="24">
        <f>IF($B1494="","",MONTH($B1494))</f>
        <v/>
      </c>
      <c r="R1494" s="24">
        <f>IF($B1494="","",YEAR($B1494))</f>
        <v/>
      </c>
      <c r="S1494" s="25">
        <f>IF($B1494="","",$B1494-WEEKDAY($B1494,3))</f>
        <v/>
      </c>
      <c r="T1494" s="24">
        <f>IF($B1494="",0,IF(COUNTIFS($B$5:$B1494,$B1494,$D$5:$D1494,$D1494)=1,1,0))</f>
        <v/>
      </c>
      <c r="U1494" s="24">
        <f>IF($B1494="",0,IF(COUNTIFS($B$5:$B1494,$B1494,$C$5:$C1494,$C1494)=1,1,0))</f>
        <v/>
      </c>
      <c r="V1494" s="24">
        <f>IF(OR($B1494="",$G1494="",$G1494="لا توجد مشاهدات"),0,1)</f>
        <v/>
      </c>
      <c r="W1494" s="24">
        <f>IF(AND($B1494&lt;&gt;"",$I1494="تم تحرير مخالفة"),1,0)</f>
        <v/>
      </c>
      <c r="X1494" s="24">
        <f>IF($B1494="","",IF($S1494=WkStart,COUNTIF($S$5:$S1494,WkStart),""))</f>
        <v/>
      </c>
    </row>
    <row r="1495">
      <c r="A1495" s="16">
        <f>IF($B1495="","",ROW()-4)</f>
        <v/>
      </c>
      <c r="B1495" s="17" t="n"/>
      <c r="C1495" s="18" t="n"/>
      <c r="D1495" s="18" t="n"/>
      <c r="E1495" s="19" t="n"/>
      <c r="F1495" s="19" t="n"/>
      <c r="G1495" s="18" t="n"/>
      <c r="H1495" s="18" t="n"/>
      <c r="I1495" s="18" t="n"/>
      <c r="J1495" s="20" t="n"/>
      <c r="K1495" s="21" t="n"/>
      <c r="L1495" s="21" t="n"/>
      <c r="M1495" s="18" t="n"/>
      <c r="N1495" s="22">
        <f>IF($B1495="","",CHOOSE(WEEKDAY($B1495),"الأحد","الاثنين","الثلاثاء","الأربعاء","الخميس","الجمعة","السبت"))</f>
        <v/>
      </c>
      <c r="O1495" s="23">
        <f>IF(OR($K1495="",$L1495=""),"",HYPERLINK("https://maps.google.com/?q="&amp;$K1495&amp;","&amp;$L1495,"عرض الموقع"))</f>
        <v/>
      </c>
      <c r="P1495" s="23">
        <f>IF(OR($B1495="",N($J1495)=0),"",HYPERLINK(PhotoDir&amp;"/"&amp;YEAR($B1495)&amp;"-"&amp;TEXT(MONTH($B1495),"00")&amp;"-"&amp;TEXT(DAY($B1495),"00")&amp;"_"&amp;$D1495,"فتح الصور ("&amp;$J1495&amp;")"))</f>
        <v/>
      </c>
      <c r="Q1495" s="24">
        <f>IF($B1495="","",MONTH($B1495))</f>
        <v/>
      </c>
      <c r="R1495" s="24">
        <f>IF($B1495="","",YEAR($B1495))</f>
        <v/>
      </c>
      <c r="S1495" s="25">
        <f>IF($B1495="","",$B1495-WEEKDAY($B1495,3))</f>
        <v/>
      </c>
      <c r="T1495" s="24">
        <f>IF($B1495="",0,IF(COUNTIFS($B$5:$B1495,$B1495,$D$5:$D1495,$D1495)=1,1,0))</f>
        <v/>
      </c>
      <c r="U1495" s="24">
        <f>IF($B1495="",0,IF(COUNTIFS($B$5:$B1495,$B1495,$C$5:$C1495,$C1495)=1,1,0))</f>
        <v/>
      </c>
      <c r="V1495" s="24">
        <f>IF(OR($B1495="",$G1495="",$G1495="لا توجد مشاهدات"),0,1)</f>
        <v/>
      </c>
      <c r="W1495" s="24">
        <f>IF(AND($B1495&lt;&gt;"",$I1495="تم تحرير مخالفة"),1,0)</f>
        <v/>
      </c>
      <c r="X1495" s="24">
        <f>IF($B1495="","",IF($S1495=WkStart,COUNTIF($S$5:$S1495,WkStart),""))</f>
        <v/>
      </c>
    </row>
    <row r="1496">
      <c r="A1496" s="16">
        <f>IF($B1496="","",ROW()-4)</f>
        <v/>
      </c>
      <c r="B1496" s="17" t="n"/>
      <c r="C1496" s="18" t="n"/>
      <c r="D1496" s="18" t="n"/>
      <c r="E1496" s="19" t="n"/>
      <c r="F1496" s="19" t="n"/>
      <c r="G1496" s="18" t="n"/>
      <c r="H1496" s="18" t="n"/>
      <c r="I1496" s="18" t="n"/>
      <c r="J1496" s="20" t="n"/>
      <c r="K1496" s="21" t="n"/>
      <c r="L1496" s="21" t="n"/>
      <c r="M1496" s="18" t="n"/>
      <c r="N1496" s="22">
        <f>IF($B1496="","",CHOOSE(WEEKDAY($B1496),"الأحد","الاثنين","الثلاثاء","الأربعاء","الخميس","الجمعة","السبت"))</f>
        <v/>
      </c>
      <c r="O1496" s="23">
        <f>IF(OR($K1496="",$L1496=""),"",HYPERLINK("https://maps.google.com/?q="&amp;$K1496&amp;","&amp;$L1496,"عرض الموقع"))</f>
        <v/>
      </c>
      <c r="P1496" s="23">
        <f>IF(OR($B1496="",N($J1496)=0),"",HYPERLINK(PhotoDir&amp;"/"&amp;YEAR($B1496)&amp;"-"&amp;TEXT(MONTH($B1496),"00")&amp;"-"&amp;TEXT(DAY($B1496),"00")&amp;"_"&amp;$D1496,"فتح الصور ("&amp;$J1496&amp;")"))</f>
        <v/>
      </c>
      <c r="Q1496" s="24">
        <f>IF($B1496="","",MONTH($B1496))</f>
        <v/>
      </c>
      <c r="R1496" s="24">
        <f>IF($B1496="","",YEAR($B1496))</f>
        <v/>
      </c>
      <c r="S1496" s="25">
        <f>IF($B1496="","",$B1496-WEEKDAY($B1496,3))</f>
        <v/>
      </c>
      <c r="T1496" s="24">
        <f>IF($B1496="",0,IF(COUNTIFS($B$5:$B1496,$B1496,$D$5:$D1496,$D1496)=1,1,0))</f>
        <v/>
      </c>
      <c r="U1496" s="24">
        <f>IF($B1496="",0,IF(COUNTIFS($B$5:$B1496,$B1496,$C$5:$C1496,$C1496)=1,1,0))</f>
        <v/>
      </c>
      <c r="V1496" s="24">
        <f>IF(OR($B1496="",$G1496="",$G1496="لا توجد مشاهدات"),0,1)</f>
        <v/>
      </c>
      <c r="W1496" s="24">
        <f>IF(AND($B1496&lt;&gt;"",$I1496="تم تحرير مخالفة"),1,0)</f>
        <v/>
      </c>
      <c r="X1496" s="24">
        <f>IF($B1496="","",IF($S1496=WkStart,COUNTIF($S$5:$S1496,WkStart),""))</f>
        <v/>
      </c>
    </row>
    <row r="1497">
      <c r="A1497" s="16">
        <f>IF($B1497="","",ROW()-4)</f>
        <v/>
      </c>
      <c r="B1497" s="17" t="n"/>
      <c r="C1497" s="18" t="n"/>
      <c r="D1497" s="18" t="n"/>
      <c r="E1497" s="19" t="n"/>
      <c r="F1497" s="19" t="n"/>
      <c r="G1497" s="18" t="n"/>
      <c r="H1497" s="18" t="n"/>
      <c r="I1497" s="18" t="n"/>
      <c r="J1497" s="20" t="n"/>
      <c r="K1497" s="21" t="n"/>
      <c r="L1497" s="21" t="n"/>
      <c r="M1497" s="18" t="n"/>
      <c r="N1497" s="22">
        <f>IF($B1497="","",CHOOSE(WEEKDAY($B1497),"الأحد","الاثنين","الثلاثاء","الأربعاء","الخميس","الجمعة","السبت"))</f>
        <v/>
      </c>
      <c r="O1497" s="23">
        <f>IF(OR($K1497="",$L1497=""),"",HYPERLINK("https://maps.google.com/?q="&amp;$K1497&amp;","&amp;$L1497,"عرض الموقع"))</f>
        <v/>
      </c>
      <c r="P1497" s="23">
        <f>IF(OR($B1497="",N($J1497)=0),"",HYPERLINK(PhotoDir&amp;"/"&amp;YEAR($B1497)&amp;"-"&amp;TEXT(MONTH($B1497),"00")&amp;"-"&amp;TEXT(DAY($B1497),"00")&amp;"_"&amp;$D1497,"فتح الصور ("&amp;$J1497&amp;")"))</f>
        <v/>
      </c>
      <c r="Q1497" s="24">
        <f>IF($B1497="","",MONTH($B1497))</f>
        <v/>
      </c>
      <c r="R1497" s="24">
        <f>IF($B1497="","",YEAR($B1497))</f>
        <v/>
      </c>
      <c r="S1497" s="25">
        <f>IF($B1497="","",$B1497-WEEKDAY($B1497,3))</f>
        <v/>
      </c>
      <c r="T1497" s="24">
        <f>IF($B1497="",0,IF(COUNTIFS($B$5:$B1497,$B1497,$D$5:$D1497,$D1497)=1,1,0))</f>
        <v/>
      </c>
      <c r="U1497" s="24">
        <f>IF($B1497="",0,IF(COUNTIFS($B$5:$B1497,$B1497,$C$5:$C1497,$C1497)=1,1,0))</f>
        <v/>
      </c>
      <c r="V1497" s="24">
        <f>IF(OR($B1497="",$G1497="",$G1497="لا توجد مشاهدات"),0,1)</f>
        <v/>
      </c>
      <c r="W1497" s="24">
        <f>IF(AND($B1497&lt;&gt;"",$I1497="تم تحرير مخالفة"),1,0)</f>
        <v/>
      </c>
      <c r="X1497" s="24">
        <f>IF($B1497="","",IF($S1497=WkStart,COUNTIF($S$5:$S1497,WkStart),""))</f>
        <v/>
      </c>
    </row>
    <row r="1498">
      <c r="A1498" s="16">
        <f>IF($B1498="","",ROW()-4)</f>
        <v/>
      </c>
      <c r="B1498" s="17" t="n"/>
      <c r="C1498" s="18" t="n"/>
      <c r="D1498" s="18" t="n"/>
      <c r="E1498" s="19" t="n"/>
      <c r="F1498" s="19" t="n"/>
      <c r="G1498" s="18" t="n"/>
      <c r="H1498" s="18" t="n"/>
      <c r="I1498" s="18" t="n"/>
      <c r="J1498" s="20" t="n"/>
      <c r="K1498" s="21" t="n"/>
      <c r="L1498" s="21" t="n"/>
      <c r="M1498" s="18" t="n"/>
      <c r="N1498" s="22">
        <f>IF($B1498="","",CHOOSE(WEEKDAY($B1498),"الأحد","الاثنين","الثلاثاء","الأربعاء","الخميس","الجمعة","السبت"))</f>
        <v/>
      </c>
      <c r="O1498" s="23">
        <f>IF(OR($K1498="",$L1498=""),"",HYPERLINK("https://maps.google.com/?q="&amp;$K1498&amp;","&amp;$L1498,"عرض الموقع"))</f>
        <v/>
      </c>
      <c r="P1498" s="23">
        <f>IF(OR($B1498="",N($J1498)=0),"",HYPERLINK(PhotoDir&amp;"/"&amp;YEAR($B1498)&amp;"-"&amp;TEXT(MONTH($B1498),"00")&amp;"-"&amp;TEXT(DAY($B1498),"00")&amp;"_"&amp;$D1498,"فتح الصور ("&amp;$J1498&amp;")"))</f>
        <v/>
      </c>
      <c r="Q1498" s="24">
        <f>IF($B1498="","",MONTH($B1498))</f>
        <v/>
      </c>
      <c r="R1498" s="24">
        <f>IF($B1498="","",YEAR($B1498))</f>
        <v/>
      </c>
      <c r="S1498" s="25">
        <f>IF($B1498="","",$B1498-WEEKDAY($B1498,3))</f>
        <v/>
      </c>
      <c r="T1498" s="24">
        <f>IF($B1498="",0,IF(COUNTIFS($B$5:$B1498,$B1498,$D$5:$D1498,$D1498)=1,1,0))</f>
        <v/>
      </c>
      <c r="U1498" s="24">
        <f>IF($B1498="",0,IF(COUNTIFS($B$5:$B1498,$B1498,$C$5:$C1498,$C1498)=1,1,0))</f>
        <v/>
      </c>
      <c r="V1498" s="24">
        <f>IF(OR($B1498="",$G1498="",$G1498="لا توجد مشاهدات"),0,1)</f>
        <v/>
      </c>
      <c r="W1498" s="24">
        <f>IF(AND($B1498&lt;&gt;"",$I1498="تم تحرير مخالفة"),1,0)</f>
        <v/>
      </c>
      <c r="X1498" s="24">
        <f>IF($B1498="","",IF($S1498=WkStart,COUNTIF($S$5:$S1498,WkStart),""))</f>
        <v/>
      </c>
    </row>
    <row r="1499">
      <c r="A1499" s="16">
        <f>IF($B1499="","",ROW()-4)</f>
        <v/>
      </c>
      <c r="B1499" s="17" t="n"/>
      <c r="C1499" s="18" t="n"/>
      <c r="D1499" s="18" t="n"/>
      <c r="E1499" s="19" t="n"/>
      <c r="F1499" s="19" t="n"/>
      <c r="G1499" s="18" t="n"/>
      <c r="H1499" s="18" t="n"/>
      <c r="I1499" s="18" t="n"/>
      <c r="J1499" s="20" t="n"/>
      <c r="K1499" s="21" t="n"/>
      <c r="L1499" s="21" t="n"/>
      <c r="M1499" s="18" t="n"/>
      <c r="N1499" s="22">
        <f>IF($B1499="","",CHOOSE(WEEKDAY($B1499),"الأحد","الاثنين","الثلاثاء","الأربعاء","الخميس","الجمعة","السبت"))</f>
        <v/>
      </c>
      <c r="O1499" s="23">
        <f>IF(OR($K1499="",$L1499=""),"",HYPERLINK("https://maps.google.com/?q="&amp;$K1499&amp;","&amp;$L1499,"عرض الموقع"))</f>
        <v/>
      </c>
      <c r="P1499" s="23">
        <f>IF(OR($B1499="",N($J1499)=0),"",HYPERLINK(PhotoDir&amp;"/"&amp;YEAR($B1499)&amp;"-"&amp;TEXT(MONTH($B1499),"00")&amp;"-"&amp;TEXT(DAY($B1499),"00")&amp;"_"&amp;$D1499,"فتح الصور ("&amp;$J1499&amp;")"))</f>
        <v/>
      </c>
      <c r="Q1499" s="24">
        <f>IF($B1499="","",MONTH($B1499))</f>
        <v/>
      </c>
      <c r="R1499" s="24">
        <f>IF($B1499="","",YEAR($B1499))</f>
        <v/>
      </c>
      <c r="S1499" s="25">
        <f>IF($B1499="","",$B1499-WEEKDAY($B1499,3))</f>
        <v/>
      </c>
      <c r="T1499" s="24">
        <f>IF($B1499="",0,IF(COUNTIFS($B$5:$B1499,$B1499,$D$5:$D1499,$D1499)=1,1,0))</f>
        <v/>
      </c>
      <c r="U1499" s="24">
        <f>IF($B1499="",0,IF(COUNTIFS($B$5:$B1499,$B1499,$C$5:$C1499,$C1499)=1,1,0))</f>
        <v/>
      </c>
      <c r="V1499" s="24">
        <f>IF(OR($B1499="",$G1499="",$G1499="لا توجد مشاهدات"),0,1)</f>
        <v/>
      </c>
      <c r="W1499" s="24">
        <f>IF(AND($B1499&lt;&gt;"",$I1499="تم تحرير مخالفة"),1,0)</f>
        <v/>
      </c>
      <c r="X1499" s="24">
        <f>IF($B1499="","",IF($S1499=WkStart,COUNTIF($S$5:$S1499,WkStart),""))</f>
        <v/>
      </c>
    </row>
    <row r="1500">
      <c r="A1500" s="16">
        <f>IF($B1500="","",ROW()-4)</f>
        <v/>
      </c>
      <c r="B1500" s="17" t="n"/>
      <c r="C1500" s="18" t="n"/>
      <c r="D1500" s="18" t="n"/>
      <c r="E1500" s="19" t="n"/>
      <c r="F1500" s="19" t="n"/>
      <c r="G1500" s="18" t="n"/>
      <c r="H1500" s="18" t="n"/>
      <c r="I1500" s="18" t="n"/>
      <c r="J1500" s="20" t="n"/>
      <c r="K1500" s="21" t="n"/>
      <c r="L1500" s="21" t="n"/>
      <c r="M1500" s="18" t="n"/>
      <c r="N1500" s="22">
        <f>IF($B1500="","",CHOOSE(WEEKDAY($B1500),"الأحد","الاثنين","الثلاثاء","الأربعاء","الخميس","الجمعة","السبت"))</f>
        <v/>
      </c>
      <c r="O1500" s="23">
        <f>IF(OR($K1500="",$L1500=""),"",HYPERLINK("https://maps.google.com/?q="&amp;$K1500&amp;","&amp;$L1500,"عرض الموقع"))</f>
        <v/>
      </c>
      <c r="P1500" s="23">
        <f>IF(OR($B1500="",N($J1500)=0),"",HYPERLINK(PhotoDir&amp;"/"&amp;YEAR($B1500)&amp;"-"&amp;TEXT(MONTH($B1500),"00")&amp;"-"&amp;TEXT(DAY($B1500),"00")&amp;"_"&amp;$D1500,"فتح الصور ("&amp;$J1500&amp;")"))</f>
        <v/>
      </c>
      <c r="Q1500" s="24">
        <f>IF($B1500="","",MONTH($B1500))</f>
        <v/>
      </c>
      <c r="R1500" s="24">
        <f>IF($B1500="","",YEAR($B1500))</f>
        <v/>
      </c>
      <c r="S1500" s="25">
        <f>IF($B1500="","",$B1500-WEEKDAY($B1500,3))</f>
        <v/>
      </c>
      <c r="T1500" s="24">
        <f>IF($B1500="",0,IF(COUNTIFS($B$5:$B1500,$B1500,$D$5:$D1500,$D1500)=1,1,0))</f>
        <v/>
      </c>
      <c r="U1500" s="24">
        <f>IF($B1500="",0,IF(COUNTIFS($B$5:$B1500,$B1500,$C$5:$C1500,$C1500)=1,1,0))</f>
        <v/>
      </c>
      <c r="V1500" s="24">
        <f>IF(OR($B1500="",$G1500="",$G1500="لا توجد مشاهدات"),0,1)</f>
        <v/>
      </c>
      <c r="W1500" s="24">
        <f>IF(AND($B1500&lt;&gt;"",$I1500="تم تحرير مخالفة"),1,0)</f>
        <v/>
      </c>
      <c r="X1500" s="24">
        <f>IF($B1500="","",IF($S1500=WkStart,COUNTIF($S$5:$S1500,WkStart),""))</f>
        <v/>
      </c>
    </row>
    <row r="1501">
      <c r="A1501" s="16">
        <f>IF($B1501="","",ROW()-4)</f>
        <v/>
      </c>
      <c r="B1501" s="17" t="n"/>
      <c r="C1501" s="18" t="n"/>
      <c r="D1501" s="18" t="n"/>
      <c r="E1501" s="19" t="n"/>
      <c r="F1501" s="19" t="n"/>
      <c r="G1501" s="18" t="n"/>
      <c r="H1501" s="18" t="n"/>
      <c r="I1501" s="18" t="n"/>
      <c r="J1501" s="20" t="n"/>
      <c r="K1501" s="21" t="n"/>
      <c r="L1501" s="21" t="n"/>
      <c r="M1501" s="18" t="n"/>
      <c r="N1501" s="22">
        <f>IF($B1501="","",CHOOSE(WEEKDAY($B1501),"الأحد","الاثنين","الثلاثاء","الأربعاء","الخميس","الجمعة","السبت"))</f>
        <v/>
      </c>
      <c r="O1501" s="23">
        <f>IF(OR($K1501="",$L1501=""),"",HYPERLINK("https://maps.google.com/?q="&amp;$K1501&amp;","&amp;$L1501,"عرض الموقع"))</f>
        <v/>
      </c>
      <c r="P1501" s="23">
        <f>IF(OR($B1501="",N($J1501)=0),"",HYPERLINK(PhotoDir&amp;"/"&amp;YEAR($B1501)&amp;"-"&amp;TEXT(MONTH($B1501),"00")&amp;"-"&amp;TEXT(DAY($B1501),"00")&amp;"_"&amp;$D1501,"فتح الصور ("&amp;$J1501&amp;")"))</f>
        <v/>
      </c>
      <c r="Q1501" s="24">
        <f>IF($B1501="","",MONTH($B1501))</f>
        <v/>
      </c>
      <c r="R1501" s="24">
        <f>IF($B1501="","",YEAR($B1501))</f>
        <v/>
      </c>
      <c r="S1501" s="25">
        <f>IF($B1501="","",$B1501-WEEKDAY($B1501,3))</f>
        <v/>
      </c>
      <c r="T1501" s="24">
        <f>IF($B1501="",0,IF(COUNTIFS($B$5:$B1501,$B1501,$D$5:$D1501,$D1501)=1,1,0))</f>
        <v/>
      </c>
      <c r="U1501" s="24">
        <f>IF($B1501="",0,IF(COUNTIFS($B$5:$B1501,$B1501,$C$5:$C1501,$C1501)=1,1,0))</f>
        <v/>
      </c>
      <c r="V1501" s="24">
        <f>IF(OR($B1501="",$G1501="",$G1501="لا توجد مشاهدات"),0,1)</f>
        <v/>
      </c>
      <c r="W1501" s="24">
        <f>IF(AND($B1501&lt;&gt;"",$I1501="تم تحرير مخالفة"),1,0)</f>
        <v/>
      </c>
      <c r="X1501" s="24">
        <f>IF($B1501="","",IF($S1501=WkStart,COUNTIF($S$5:$S1501,WkStart),""))</f>
        <v/>
      </c>
    </row>
    <row r="1502">
      <c r="A1502" s="16">
        <f>IF($B1502="","",ROW()-4)</f>
        <v/>
      </c>
      <c r="B1502" s="17" t="n"/>
      <c r="C1502" s="18" t="n"/>
      <c r="D1502" s="18" t="n"/>
      <c r="E1502" s="19" t="n"/>
      <c r="F1502" s="19" t="n"/>
      <c r="G1502" s="18" t="n"/>
      <c r="H1502" s="18" t="n"/>
      <c r="I1502" s="18" t="n"/>
      <c r="J1502" s="20" t="n"/>
      <c r="K1502" s="21" t="n"/>
      <c r="L1502" s="21" t="n"/>
      <c r="M1502" s="18" t="n"/>
      <c r="N1502" s="22">
        <f>IF($B1502="","",CHOOSE(WEEKDAY($B1502),"الأحد","الاثنين","الثلاثاء","الأربعاء","الخميس","الجمعة","السبت"))</f>
        <v/>
      </c>
      <c r="O1502" s="23">
        <f>IF(OR($K1502="",$L1502=""),"",HYPERLINK("https://maps.google.com/?q="&amp;$K1502&amp;","&amp;$L1502,"عرض الموقع"))</f>
        <v/>
      </c>
      <c r="P1502" s="23">
        <f>IF(OR($B1502="",N($J1502)=0),"",HYPERLINK(PhotoDir&amp;"/"&amp;YEAR($B1502)&amp;"-"&amp;TEXT(MONTH($B1502),"00")&amp;"-"&amp;TEXT(DAY($B1502),"00")&amp;"_"&amp;$D1502,"فتح الصور ("&amp;$J1502&amp;")"))</f>
        <v/>
      </c>
      <c r="Q1502" s="24">
        <f>IF($B1502="","",MONTH($B1502))</f>
        <v/>
      </c>
      <c r="R1502" s="24">
        <f>IF($B1502="","",YEAR($B1502))</f>
        <v/>
      </c>
      <c r="S1502" s="25">
        <f>IF($B1502="","",$B1502-WEEKDAY($B1502,3))</f>
        <v/>
      </c>
      <c r="T1502" s="24">
        <f>IF($B1502="",0,IF(COUNTIFS($B$5:$B1502,$B1502,$D$5:$D1502,$D1502)=1,1,0))</f>
        <v/>
      </c>
      <c r="U1502" s="24">
        <f>IF($B1502="",0,IF(COUNTIFS($B$5:$B1502,$B1502,$C$5:$C1502,$C1502)=1,1,0))</f>
        <v/>
      </c>
      <c r="V1502" s="24">
        <f>IF(OR($B1502="",$G1502="",$G1502="لا توجد مشاهدات"),0,1)</f>
        <v/>
      </c>
      <c r="W1502" s="24">
        <f>IF(AND($B1502&lt;&gt;"",$I1502="تم تحرير مخالفة"),1,0)</f>
        <v/>
      </c>
      <c r="X1502" s="24">
        <f>IF($B1502="","",IF($S1502=WkStart,COUNTIF($S$5:$S1502,WkStart),""))</f>
        <v/>
      </c>
    </row>
    <row r="1503">
      <c r="A1503" s="16">
        <f>IF($B1503="","",ROW()-4)</f>
        <v/>
      </c>
      <c r="B1503" s="17" t="n"/>
      <c r="C1503" s="18" t="n"/>
      <c r="D1503" s="18" t="n"/>
      <c r="E1503" s="19" t="n"/>
      <c r="F1503" s="19" t="n"/>
      <c r="G1503" s="18" t="n"/>
      <c r="H1503" s="18" t="n"/>
      <c r="I1503" s="18" t="n"/>
      <c r="J1503" s="20" t="n"/>
      <c r="K1503" s="21" t="n"/>
      <c r="L1503" s="21" t="n"/>
      <c r="M1503" s="18" t="n"/>
      <c r="N1503" s="22">
        <f>IF($B1503="","",CHOOSE(WEEKDAY($B1503),"الأحد","الاثنين","الثلاثاء","الأربعاء","الخميس","الجمعة","السبت"))</f>
        <v/>
      </c>
      <c r="O1503" s="23">
        <f>IF(OR($K1503="",$L1503=""),"",HYPERLINK("https://maps.google.com/?q="&amp;$K1503&amp;","&amp;$L1503,"عرض الموقع"))</f>
        <v/>
      </c>
      <c r="P1503" s="23">
        <f>IF(OR($B1503="",N($J1503)=0),"",HYPERLINK(PhotoDir&amp;"/"&amp;YEAR($B1503)&amp;"-"&amp;TEXT(MONTH($B1503),"00")&amp;"-"&amp;TEXT(DAY($B1503),"00")&amp;"_"&amp;$D1503,"فتح الصور ("&amp;$J1503&amp;")"))</f>
        <v/>
      </c>
      <c r="Q1503" s="24">
        <f>IF($B1503="","",MONTH($B1503))</f>
        <v/>
      </c>
      <c r="R1503" s="24">
        <f>IF($B1503="","",YEAR($B1503))</f>
        <v/>
      </c>
      <c r="S1503" s="25">
        <f>IF($B1503="","",$B1503-WEEKDAY($B1503,3))</f>
        <v/>
      </c>
      <c r="T1503" s="24">
        <f>IF($B1503="",0,IF(COUNTIFS($B$5:$B1503,$B1503,$D$5:$D1503,$D1503)=1,1,0))</f>
        <v/>
      </c>
      <c r="U1503" s="24">
        <f>IF($B1503="",0,IF(COUNTIFS($B$5:$B1503,$B1503,$C$5:$C1503,$C1503)=1,1,0))</f>
        <v/>
      </c>
      <c r="V1503" s="24">
        <f>IF(OR($B1503="",$G1503="",$G1503="لا توجد مشاهدات"),0,1)</f>
        <v/>
      </c>
      <c r="W1503" s="24">
        <f>IF(AND($B1503&lt;&gt;"",$I1503="تم تحرير مخالفة"),1,0)</f>
        <v/>
      </c>
      <c r="X1503" s="24">
        <f>IF($B1503="","",IF($S1503=WkStart,COUNTIF($S$5:$S1503,WkStart),""))</f>
        <v/>
      </c>
    </row>
    <row r="1504">
      <c r="A1504" s="16">
        <f>IF($B1504="","",ROW()-4)</f>
        <v/>
      </c>
      <c r="B1504" s="17" t="n"/>
      <c r="C1504" s="18" t="n"/>
      <c r="D1504" s="18" t="n"/>
      <c r="E1504" s="19" t="n"/>
      <c r="F1504" s="19" t="n"/>
      <c r="G1504" s="18" t="n"/>
      <c r="H1504" s="18" t="n"/>
      <c r="I1504" s="18" t="n"/>
      <c r="J1504" s="20" t="n"/>
      <c r="K1504" s="21" t="n"/>
      <c r="L1504" s="21" t="n"/>
      <c r="M1504" s="18" t="n"/>
      <c r="N1504" s="22">
        <f>IF($B1504="","",CHOOSE(WEEKDAY($B1504),"الأحد","الاثنين","الثلاثاء","الأربعاء","الخميس","الجمعة","السبت"))</f>
        <v/>
      </c>
      <c r="O1504" s="23">
        <f>IF(OR($K1504="",$L1504=""),"",HYPERLINK("https://maps.google.com/?q="&amp;$K1504&amp;","&amp;$L1504,"عرض الموقع"))</f>
        <v/>
      </c>
      <c r="P1504" s="23">
        <f>IF(OR($B1504="",N($J1504)=0),"",HYPERLINK(PhotoDir&amp;"/"&amp;YEAR($B1504)&amp;"-"&amp;TEXT(MONTH($B1504),"00")&amp;"-"&amp;TEXT(DAY($B1504),"00")&amp;"_"&amp;$D1504,"فتح الصور ("&amp;$J1504&amp;")"))</f>
        <v/>
      </c>
      <c r="Q1504" s="24">
        <f>IF($B1504="","",MONTH($B1504))</f>
        <v/>
      </c>
      <c r="R1504" s="24">
        <f>IF($B1504="","",YEAR($B1504))</f>
        <v/>
      </c>
      <c r="S1504" s="25">
        <f>IF($B1504="","",$B1504-WEEKDAY($B1504,3))</f>
        <v/>
      </c>
      <c r="T1504" s="24">
        <f>IF($B1504="",0,IF(COUNTIFS($B$5:$B1504,$B1504,$D$5:$D1504,$D1504)=1,1,0))</f>
        <v/>
      </c>
      <c r="U1504" s="24">
        <f>IF($B1504="",0,IF(COUNTIFS($B$5:$B1504,$B1504,$C$5:$C1504,$C1504)=1,1,0))</f>
        <v/>
      </c>
      <c r="V1504" s="24">
        <f>IF(OR($B1504="",$G1504="",$G1504="لا توجد مشاهدات"),0,1)</f>
        <v/>
      </c>
      <c r="W1504" s="24">
        <f>IF(AND($B1504&lt;&gt;"",$I1504="تم تحرير مخالفة"),1,0)</f>
        <v/>
      </c>
      <c r="X1504" s="24">
        <f>IF($B1504="","",IF($S1504=WkStart,COUNTIF($S$5:$S1504,WkStart),""))</f>
        <v/>
      </c>
    </row>
  </sheetData>
  <autoFilter ref="A4:P1504"/>
  <mergeCells count="3">
    <mergeCell ref="A1:P1"/>
    <mergeCell ref="Q3:X3"/>
    <mergeCell ref="A2:P2"/>
  </mergeCells>
  <conditionalFormatting sqref="I5:I1504">
    <cfRule type="expression" priority="1" dxfId="0">
      <formula>$I5="تم تحرير مخالفة"</formula>
    </cfRule>
    <cfRule type="expression" priority="2" dxfId="1">
      <formula>$I5="مشاهدة فقط"</formula>
    </cfRule>
    <cfRule type="expression" priority="3" dxfId="2">
      <formula>$I5="لا يوجد"</formula>
    </cfRule>
  </conditionalFormatting>
  <conditionalFormatting sqref="A5:P1504">
    <cfRule type="expression" priority="4" dxfId="3">
      <formula>$M5="صف تجريبي — احذفه قبل البدء"</formula>
    </cfRule>
  </conditionalFormatting>
  <dataValidations count="5">
    <dataValidation sqref="C5:C1504" showDropDown="0" showInputMessage="0" showErrorMessage="1" allowBlank="1" errorTitle="منطقة غير موجودة" error="المنطقة مو موجودة في القائمة. أضفها في شيت الإعدادات." type="list" errorStyle="warning">
      <formula1>=AreaList</formula1>
    </dataValidation>
    <dataValidation sqref="D5:D1504" showDropDown="0" showInputMessage="0" showErrorMessage="1" allowBlank="1" errorTitle="موقع غير موجود" error="الموقع مو موجود تحت هذي المنطقة. أضفه في شيت الإعدادات عشان يظهر بالقائمة." type="list" errorStyle="warning">
      <formula1>=OFFSET(SitesTop,0,MATCH($C5,AreaHdr,0)-1,MAX(1,COUNTA(OFFSET(SitesTop,0,MATCH($C5,AreaHdr,0)-1,50,1))),1)</formula1>
    </dataValidation>
    <dataValidation sqref="G5:G1504" showDropDown="0" showInputMessage="0" showErrorMessage="1" allowBlank="1" error="النوع مو موجود. أضفه في شيت الإعدادات." type="list" errorStyle="warning">
      <formula1>=TypeList</formula1>
    </dataValidation>
    <dataValidation sqref="I5:I1504" showDropDown="0" showInputMessage="0" showErrorMessage="0" allowBlank="1" type="list">
      <formula1>=ActionList</formula1>
    </dataValidation>
    <dataValidation sqref="B5:B1504" showDropDown="0" showInputMessage="0" showErrorMessage="1" allowBlank="1" error="اكتب تاريخ صحيح" type="date" operator="greaterThan">
      <formula1>DATE(2020,1,1)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I83"/>
  <sheetViews>
    <sheetView showGridLines="0" rightToLeft="1" tabSelected="1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20" customWidth="1" min="4" max="4"/>
    <col width="34" customWidth="1" min="5" max="5"/>
    <col width="15" customWidth="1" min="6" max="6"/>
    <col width="14" customWidth="1" min="7" max="7"/>
    <col width="14" customWidth="1" min="8" max="8"/>
    <col width="11" customWidth="1" min="9" max="9"/>
    <col width="2" customWidth="1" min="10" max="10"/>
  </cols>
  <sheetData>
    <row r="1" ht="34" customHeight="1">
      <c r="B1" s="1" t="inlineStr">
        <is>
          <t>التقرير الأسبوعي للتفتيش البيئي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26">
        <f>OrgName&amp;"  |  "&amp;SectorName</f>
        <v/>
      </c>
      <c r="C2" s="26" t="n"/>
      <c r="D2" s="26" t="n"/>
      <c r="E2" s="26" t="n"/>
      <c r="F2" s="26" t="n"/>
      <c r="G2" s="26" t="n"/>
      <c r="H2" s="26" t="n"/>
      <c r="I2" s="26" t="n"/>
    </row>
    <row r="4">
      <c r="B4" s="27" t="inlineStr">
        <is>
          <t>اكتب أي تاريخ من الأسبوع:</t>
        </is>
      </c>
      <c r="D4" s="28" t="n">
        <v>46323</v>
      </c>
      <c r="E4" s="29" t="inlineStr">
        <is>
          <t>← يحسب الملف بداية ونهاية الأسبوع تلقائيًا</t>
        </is>
      </c>
    </row>
    <row r="5">
      <c r="B5" s="27" t="inlineStr">
        <is>
          <t>الفترة:</t>
        </is>
      </c>
      <c r="D5" s="30">
        <f>D4-WEEKDAY(D4,3)</f>
        <v/>
      </c>
      <c r="E5" s="31">
        <f>"من الاثنين "&amp;TEXT(D5,"yyyy/mm/dd")&amp;"  إلى الجمعة "&amp;TEXT(D5+4,"yyyy/mm/dd")</f>
        <v/>
      </c>
      <c r="F5" s="31">
        <f>"الأسبوع رقم "&amp;WEEKNUM(D5,2)</f>
        <v/>
      </c>
    </row>
    <row r="6">
      <c r="B6" s="27" t="inlineStr">
        <is>
          <t>المفتش:</t>
        </is>
      </c>
      <c r="D6" s="31">
        <f>InspectorName</f>
        <v/>
      </c>
    </row>
    <row r="8" ht="22" customHeight="1">
      <c r="B8" s="32" t="inlineStr">
        <is>
          <t>الزيارات</t>
        </is>
      </c>
      <c r="C8" s="32" t="n"/>
      <c r="D8" s="33" t="inlineStr">
        <is>
          <t>المشاهدات البيئية</t>
        </is>
      </c>
      <c r="E8" s="34" t="inlineStr">
        <is>
          <t>المخالفات المحررة</t>
        </is>
      </c>
      <c r="F8" s="35" t="inlineStr">
        <is>
          <t>مشاهدات دون مخالف</t>
        </is>
      </c>
      <c r="G8" s="35" t="n"/>
      <c r="H8" s="36" t="inlineStr">
        <is>
          <t>زيارات بلا مشاهدات</t>
        </is>
      </c>
      <c r="I8" s="36" t="n"/>
    </row>
    <row r="9" ht="42" customHeight="1">
      <c r="B9" s="37">
        <f>SUMIFS(L_NewVisit,L_Week,WkStart)</f>
        <v/>
      </c>
      <c r="C9" s="37" t="n"/>
      <c r="D9" s="38">
        <f>SUMIFS(L_Obs,L_Week,WkStart)</f>
        <v/>
      </c>
      <c r="E9" s="39">
        <f>SUMIFS(L_Viol,L_Week,WkStart)</f>
        <v/>
      </c>
      <c r="F9" s="40">
        <f>COUNTIFS(L_Week,WkStart,L_Act,"مشاهدة فقط")</f>
        <v/>
      </c>
      <c r="G9" s="40" t="n"/>
      <c r="H9" s="41">
        <f>COUNTIFS(L_Week,WkStart,L_Type,"لا توجد مشاهدات")</f>
        <v/>
      </c>
      <c r="I9" s="41" t="n"/>
    </row>
    <row r="11">
      <c r="B11" s="42" t="inlineStr">
        <is>
          <t>ملخص أيام الأسبوع</t>
        </is>
      </c>
      <c r="C11" s="42" t="n"/>
      <c r="D11" s="42" t="n"/>
      <c r="E11" s="42" t="n"/>
      <c r="F11" s="42" t="n"/>
      <c r="G11" s="42" t="n"/>
      <c r="H11" s="42" t="n"/>
      <c r="I11" s="42" t="n"/>
    </row>
    <row r="12" ht="26" customHeight="1">
      <c r="B12" s="43" t="inlineStr">
        <is>
          <t>اليوم</t>
        </is>
      </c>
      <c r="C12" s="43" t="inlineStr">
        <is>
          <t>التاريخ</t>
        </is>
      </c>
      <c r="D12" s="43" t="inlineStr">
        <is>
          <t>المناطق</t>
        </is>
      </c>
      <c r="E12" s="43" t="inlineStr">
        <is>
          <t>المواقع المزارة</t>
        </is>
      </c>
      <c r="F12" s="43" t="inlineStr">
        <is>
          <t>الزيارات</t>
        </is>
      </c>
      <c r="G12" s="43" t="inlineStr">
        <is>
          <t>المشاهدات</t>
        </is>
      </c>
      <c r="H12" s="43" t="inlineStr">
        <is>
          <t>المخالفات</t>
        </is>
      </c>
      <c r="I12" s="43" t="inlineStr">
        <is>
          <t>دون مخالف</t>
        </is>
      </c>
    </row>
    <row r="13" ht="30" customHeight="1">
      <c r="B13" s="44" t="inlineStr">
        <is>
          <t>الاثنين</t>
        </is>
      </c>
      <c r="C13" s="45">
        <f>WkStart+0</f>
        <v/>
      </c>
      <c r="D13" s="44">
        <f t="array" ref="D13">_xlfn.TEXTJOIN("، ",TRUE,IF((L_Date=C13)*(L_NewArea=1),L_Area,""))</f>
        <v/>
      </c>
      <c r="E13" s="44">
        <f t="array" ref="E13">_xlfn.TEXTJOIN("، ",TRUE,IF((L_Date=C13)*(L_NewVisit=1),L_Site,""))</f>
        <v/>
      </c>
      <c r="F13" s="44">
        <f>SUMIFS(L_NewVisit,L_Date,C13)</f>
        <v/>
      </c>
      <c r="G13" s="44">
        <f>SUMIFS(L_Obs,L_Date,C13)</f>
        <v/>
      </c>
      <c r="H13" s="44">
        <f>SUMIFS(L_Viol,L_Date,C13)</f>
        <v/>
      </c>
      <c r="I13" s="44">
        <f>COUNTIFS(L_Date,C13,L_Act,"مشاهدة فقط")</f>
        <v/>
      </c>
    </row>
    <row r="14" ht="30" customHeight="1">
      <c r="B14" s="46" t="inlineStr">
        <is>
          <t>الثلاثاء</t>
        </is>
      </c>
      <c r="C14" s="47">
        <f>WkStart+1</f>
        <v/>
      </c>
      <c r="D14" s="46">
        <f t="array" ref="D14">_xlfn.TEXTJOIN("، ",TRUE,IF((L_Date=C14)*(L_NewArea=1),L_Area,""))</f>
        <v/>
      </c>
      <c r="E14" s="46">
        <f t="array" ref="E14">_xlfn.TEXTJOIN("، ",TRUE,IF((L_Date=C14)*(L_NewVisit=1),L_Site,""))</f>
        <v/>
      </c>
      <c r="F14" s="46">
        <f>SUMIFS(L_NewVisit,L_Date,C14)</f>
        <v/>
      </c>
      <c r="G14" s="46">
        <f>SUMIFS(L_Obs,L_Date,C14)</f>
        <v/>
      </c>
      <c r="H14" s="46">
        <f>SUMIFS(L_Viol,L_Date,C14)</f>
        <v/>
      </c>
      <c r="I14" s="46">
        <f>COUNTIFS(L_Date,C14,L_Act,"مشاهدة فقط")</f>
        <v/>
      </c>
    </row>
    <row r="15" ht="30" customHeight="1">
      <c r="B15" s="44" t="inlineStr">
        <is>
          <t>الأربعاء</t>
        </is>
      </c>
      <c r="C15" s="45">
        <f>WkStart+2</f>
        <v/>
      </c>
      <c r="D15" s="44">
        <f t="array" ref="D15">_xlfn.TEXTJOIN("، ",TRUE,IF((L_Date=C15)*(L_NewArea=1),L_Area,""))</f>
        <v/>
      </c>
      <c r="E15" s="44">
        <f t="array" ref="E15">_xlfn.TEXTJOIN("، ",TRUE,IF((L_Date=C15)*(L_NewVisit=1),L_Site,""))</f>
        <v/>
      </c>
      <c r="F15" s="44">
        <f>SUMIFS(L_NewVisit,L_Date,C15)</f>
        <v/>
      </c>
      <c r="G15" s="44">
        <f>SUMIFS(L_Obs,L_Date,C15)</f>
        <v/>
      </c>
      <c r="H15" s="44">
        <f>SUMIFS(L_Viol,L_Date,C15)</f>
        <v/>
      </c>
      <c r="I15" s="44">
        <f>COUNTIFS(L_Date,C15,L_Act,"مشاهدة فقط")</f>
        <v/>
      </c>
    </row>
    <row r="16" ht="30" customHeight="1">
      <c r="B16" s="46" t="inlineStr">
        <is>
          <t>الخميس</t>
        </is>
      </c>
      <c r="C16" s="47">
        <f>WkStart+3</f>
        <v/>
      </c>
      <c r="D16" s="46">
        <f t="array" ref="D16">_xlfn.TEXTJOIN("، ",TRUE,IF((L_Date=C16)*(L_NewArea=1),L_Area,""))</f>
        <v/>
      </c>
      <c r="E16" s="46">
        <f t="array" ref="E16">_xlfn.TEXTJOIN("، ",TRUE,IF((L_Date=C16)*(L_NewVisit=1),L_Site,""))</f>
        <v/>
      </c>
      <c r="F16" s="46">
        <f>SUMIFS(L_NewVisit,L_Date,C16)</f>
        <v/>
      </c>
      <c r="G16" s="46">
        <f>SUMIFS(L_Obs,L_Date,C16)</f>
        <v/>
      </c>
      <c r="H16" s="46">
        <f>SUMIFS(L_Viol,L_Date,C16)</f>
        <v/>
      </c>
      <c r="I16" s="46">
        <f>COUNTIFS(L_Date,C16,L_Act,"مشاهدة فقط")</f>
        <v/>
      </c>
    </row>
    <row r="17" ht="30" customHeight="1">
      <c r="B17" s="44" t="inlineStr">
        <is>
          <t>الجمعة</t>
        </is>
      </c>
      <c r="C17" s="45">
        <f>WkStart+4</f>
        <v/>
      </c>
      <c r="D17" s="44">
        <f t="array" ref="D17">_xlfn.TEXTJOIN("، ",TRUE,IF((L_Date=C17)*(L_NewArea=1),L_Area,""))</f>
        <v/>
      </c>
      <c r="E17" s="44">
        <f t="array" ref="E17">_xlfn.TEXTJOIN("، ",TRUE,IF((L_Date=C17)*(L_NewVisit=1),L_Site,""))</f>
        <v/>
      </c>
      <c r="F17" s="44">
        <f>SUMIFS(L_NewVisit,L_Date,C17)</f>
        <v/>
      </c>
      <c r="G17" s="44">
        <f>SUMIFS(L_Obs,L_Date,C17)</f>
        <v/>
      </c>
      <c r="H17" s="44">
        <f>SUMIFS(L_Viol,L_Date,C17)</f>
        <v/>
      </c>
      <c r="I17" s="44">
        <f>COUNTIFS(L_Date,C17,L_Act,"مشاهدة فقط")</f>
        <v/>
      </c>
    </row>
    <row r="18">
      <c r="B18" s="48" t="inlineStr">
        <is>
          <t>الإجمالي</t>
        </is>
      </c>
      <c r="C18" s="48" t="n"/>
      <c r="D18" s="48" t="n"/>
      <c r="E18" s="48" t="n"/>
      <c r="F18" s="48">
        <f>SUM(F13:F17)</f>
        <v/>
      </c>
      <c r="G18" s="48">
        <f>SUM(G13:G17)</f>
        <v/>
      </c>
      <c r="H18" s="48">
        <f>SUM(H13:H17)</f>
        <v/>
      </c>
      <c r="I18" s="48">
        <f>SUM(I13:I17)</f>
        <v/>
      </c>
    </row>
    <row r="20">
      <c r="B20" s="42" t="inlineStr">
        <is>
          <t>المشاهدات حسب النوع</t>
        </is>
      </c>
      <c r="C20" s="42" t="n"/>
      <c r="D20" s="42" t="n"/>
      <c r="E20" s="42" t="n"/>
      <c r="F20" s="42" t="n"/>
      <c r="G20" s="42" t="n"/>
      <c r="H20" s="42" t="n"/>
      <c r="I20" s="42" t="n"/>
    </row>
    <row r="21" ht="26" customHeight="1">
      <c r="B21" s="43" t="inlineStr">
        <is>
          <t>نوع المشاهدة</t>
        </is>
      </c>
      <c r="C21" s="49" t="n"/>
      <c r="D21" s="49" t="n"/>
      <c r="E21" s="50" t="n"/>
      <c r="F21" s="43" t="inlineStr">
        <is>
          <t>العدد</t>
        </is>
      </c>
      <c r="G21" s="43" t="inlineStr">
        <is>
          <t>مخالفة محررة</t>
        </is>
      </c>
      <c r="H21" s="43" t="inlineStr">
        <is>
          <t>دون مخالف</t>
        </is>
      </c>
      <c r="I21" s="43" t="inlineStr">
        <is>
          <t>النسبة</t>
        </is>
      </c>
    </row>
    <row r="22">
      <c r="B22" s="51">
        <f>IF(INDEX('الإعدادات'!$L$12:$L$26,1)="","",INDEX('الإعدادات'!$L$12:$L$26,1))</f>
        <v/>
      </c>
      <c r="C22" s="44" t="n"/>
      <c r="D22" s="44" t="n"/>
      <c r="E22" s="44" t="n"/>
      <c r="F22" s="44">
        <f>IF($B22="","",COUNTIFS(L_Week,WkStart,L_Type,$B22))</f>
        <v/>
      </c>
      <c r="G22" s="44">
        <f>IF($B22="","",COUNTIFS(L_Week,WkStart,L_Type,$B22,L_Act,"تم تحرير مخالفة"))</f>
        <v/>
      </c>
      <c r="H22" s="44">
        <f>IF($B22="","",COUNTIFS(L_Week,WkStart,L_Type,$B22,L_Act,"مشاهدة فقط"))</f>
        <v/>
      </c>
      <c r="I22" s="52">
        <f>IF(OR($B22="",SUM($F$22:$F$31)=0),"",F22/SUM($F$22:$F$31))</f>
        <v/>
      </c>
    </row>
    <row r="23">
      <c r="B23" s="53">
        <f>IF(INDEX('الإعدادات'!$L$12:$L$26,2)="","",INDEX('الإعدادات'!$L$12:$L$26,2))</f>
        <v/>
      </c>
      <c r="C23" s="46" t="n"/>
      <c r="D23" s="46" t="n"/>
      <c r="E23" s="46" t="n"/>
      <c r="F23" s="46">
        <f>IF($B23="","",COUNTIFS(L_Week,WkStart,L_Type,$B23))</f>
        <v/>
      </c>
      <c r="G23" s="46">
        <f>IF($B23="","",COUNTIFS(L_Week,WkStart,L_Type,$B23,L_Act,"تم تحرير مخالفة"))</f>
        <v/>
      </c>
      <c r="H23" s="46">
        <f>IF($B23="","",COUNTIFS(L_Week,WkStart,L_Type,$B23,L_Act,"مشاهدة فقط"))</f>
        <v/>
      </c>
      <c r="I23" s="54">
        <f>IF(OR($B23="",SUM($F$22:$F$31)=0),"",F23/SUM($F$22:$F$31))</f>
        <v/>
      </c>
    </row>
    <row r="24">
      <c r="B24" s="51">
        <f>IF(INDEX('الإعدادات'!$L$12:$L$26,3)="","",INDEX('الإعدادات'!$L$12:$L$26,3))</f>
        <v/>
      </c>
      <c r="C24" s="44" t="n"/>
      <c r="D24" s="44" t="n"/>
      <c r="E24" s="44" t="n"/>
      <c r="F24" s="44">
        <f>IF($B24="","",COUNTIFS(L_Week,WkStart,L_Type,$B24))</f>
        <v/>
      </c>
      <c r="G24" s="44">
        <f>IF($B24="","",COUNTIFS(L_Week,WkStart,L_Type,$B24,L_Act,"تم تحرير مخالفة"))</f>
        <v/>
      </c>
      <c r="H24" s="44">
        <f>IF($B24="","",COUNTIFS(L_Week,WkStart,L_Type,$B24,L_Act,"مشاهدة فقط"))</f>
        <v/>
      </c>
      <c r="I24" s="52">
        <f>IF(OR($B24="",SUM($F$22:$F$31)=0),"",F24/SUM($F$22:$F$31))</f>
        <v/>
      </c>
    </row>
    <row r="25">
      <c r="B25" s="53">
        <f>IF(INDEX('الإعدادات'!$L$12:$L$26,4)="","",INDEX('الإعدادات'!$L$12:$L$26,4))</f>
        <v/>
      </c>
      <c r="C25" s="46" t="n"/>
      <c r="D25" s="46" t="n"/>
      <c r="E25" s="46" t="n"/>
      <c r="F25" s="46">
        <f>IF($B25="","",COUNTIFS(L_Week,WkStart,L_Type,$B25))</f>
        <v/>
      </c>
      <c r="G25" s="46">
        <f>IF($B25="","",COUNTIFS(L_Week,WkStart,L_Type,$B25,L_Act,"تم تحرير مخالفة"))</f>
        <v/>
      </c>
      <c r="H25" s="46">
        <f>IF($B25="","",COUNTIFS(L_Week,WkStart,L_Type,$B25,L_Act,"مشاهدة فقط"))</f>
        <v/>
      </c>
      <c r="I25" s="54">
        <f>IF(OR($B25="",SUM($F$22:$F$31)=0),"",F25/SUM($F$22:$F$31))</f>
        <v/>
      </c>
    </row>
    <row r="26">
      <c r="B26" s="51">
        <f>IF(INDEX('الإعدادات'!$L$12:$L$26,5)="","",INDEX('الإعدادات'!$L$12:$L$26,5))</f>
        <v/>
      </c>
      <c r="C26" s="44" t="n"/>
      <c r="D26" s="44" t="n"/>
      <c r="E26" s="44" t="n"/>
      <c r="F26" s="44">
        <f>IF($B26="","",COUNTIFS(L_Week,WkStart,L_Type,$B26))</f>
        <v/>
      </c>
      <c r="G26" s="44">
        <f>IF($B26="","",COUNTIFS(L_Week,WkStart,L_Type,$B26,L_Act,"تم تحرير مخالفة"))</f>
        <v/>
      </c>
      <c r="H26" s="44">
        <f>IF($B26="","",COUNTIFS(L_Week,WkStart,L_Type,$B26,L_Act,"مشاهدة فقط"))</f>
        <v/>
      </c>
      <c r="I26" s="52">
        <f>IF(OR($B26="",SUM($F$22:$F$31)=0),"",F26/SUM($F$22:$F$31))</f>
        <v/>
      </c>
    </row>
    <row r="27">
      <c r="B27" s="53">
        <f>IF(INDEX('الإعدادات'!$L$12:$L$26,6)="","",INDEX('الإعدادات'!$L$12:$L$26,6))</f>
        <v/>
      </c>
      <c r="C27" s="46" t="n"/>
      <c r="D27" s="46" t="n"/>
      <c r="E27" s="46" t="n"/>
      <c r="F27" s="46">
        <f>IF($B27="","",COUNTIFS(L_Week,WkStart,L_Type,$B27))</f>
        <v/>
      </c>
      <c r="G27" s="46">
        <f>IF($B27="","",COUNTIFS(L_Week,WkStart,L_Type,$B27,L_Act,"تم تحرير مخالفة"))</f>
        <v/>
      </c>
      <c r="H27" s="46">
        <f>IF($B27="","",COUNTIFS(L_Week,WkStart,L_Type,$B27,L_Act,"مشاهدة فقط"))</f>
        <v/>
      </c>
      <c r="I27" s="54">
        <f>IF(OR($B27="",SUM($F$22:$F$31)=0),"",F27/SUM($F$22:$F$31))</f>
        <v/>
      </c>
    </row>
    <row r="28">
      <c r="B28" s="51">
        <f>IF(INDEX('الإعدادات'!$L$12:$L$26,7)="","",INDEX('الإعدادات'!$L$12:$L$26,7))</f>
        <v/>
      </c>
      <c r="C28" s="44" t="n"/>
      <c r="D28" s="44" t="n"/>
      <c r="E28" s="44" t="n"/>
      <c r="F28" s="44">
        <f>IF($B28="","",COUNTIFS(L_Week,WkStart,L_Type,$B28))</f>
        <v/>
      </c>
      <c r="G28" s="44">
        <f>IF($B28="","",COUNTIFS(L_Week,WkStart,L_Type,$B28,L_Act,"تم تحرير مخالفة"))</f>
        <v/>
      </c>
      <c r="H28" s="44">
        <f>IF($B28="","",COUNTIFS(L_Week,WkStart,L_Type,$B28,L_Act,"مشاهدة فقط"))</f>
        <v/>
      </c>
      <c r="I28" s="52">
        <f>IF(OR($B28="",SUM($F$22:$F$31)=0),"",F28/SUM($F$22:$F$31))</f>
        <v/>
      </c>
    </row>
    <row r="29">
      <c r="B29" s="53">
        <f>IF(INDEX('الإعدادات'!$L$12:$L$26,8)="","",INDEX('الإعدادات'!$L$12:$L$26,8))</f>
        <v/>
      </c>
      <c r="C29" s="46" t="n"/>
      <c r="D29" s="46" t="n"/>
      <c r="E29" s="46" t="n"/>
      <c r="F29" s="46">
        <f>IF($B29="","",COUNTIFS(L_Week,WkStart,L_Type,$B29))</f>
        <v/>
      </c>
      <c r="G29" s="46">
        <f>IF($B29="","",COUNTIFS(L_Week,WkStart,L_Type,$B29,L_Act,"تم تحرير مخالفة"))</f>
        <v/>
      </c>
      <c r="H29" s="46">
        <f>IF($B29="","",COUNTIFS(L_Week,WkStart,L_Type,$B29,L_Act,"مشاهدة فقط"))</f>
        <v/>
      </c>
      <c r="I29" s="54">
        <f>IF(OR($B29="",SUM($F$22:$F$31)=0),"",F29/SUM($F$22:$F$31))</f>
        <v/>
      </c>
    </row>
    <row r="30">
      <c r="B30" s="51">
        <f>IF(INDEX('الإعدادات'!$L$12:$L$26,9)="","",INDEX('الإعدادات'!$L$12:$L$26,9))</f>
        <v/>
      </c>
      <c r="C30" s="44" t="n"/>
      <c r="D30" s="44" t="n"/>
      <c r="E30" s="44" t="n"/>
      <c r="F30" s="44">
        <f>IF($B30="","",COUNTIFS(L_Week,WkStart,L_Type,$B30))</f>
        <v/>
      </c>
      <c r="G30" s="44">
        <f>IF($B30="","",COUNTIFS(L_Week,WkStart,L_Type,$B30,L_Act,"تم تحرير مخالفة"))</f>
        <v/>
      </c>
      <c r="H30" s="44">
        <f>IF($B30="","",COUNTIFS(L_Week,WkStart,L_Type,$B30,L_Act,"مشاهدة فقط"))</f>
        <v/>
      </c>
      <c r="I30" s="52">
        <f>IF(OR($B30="",SUM($F$22:$F$31)=0),"",F30/SUM($F$22:$F$31))</f>
        <v/>
      </c>
    </row>
    <row r="31">
      <c r="B31" s="53">
        <f>IF(INDEX('الإعدادات'!$L$12:$L$26,10)="","",INDEX('الإعدادات'!$L$12:$L$26,10))</f>
        <v/>
      </c>
      <c r="C31" s="46" t="n"/>
      <c r="D31" s="46" t="n"/>
      <c r="E31" s="46" t="n"/>
      <c r="F31" s="46">
        <f>IF($B31="","",COUNTIFS(L_Week,WkStart,L_Type,$B31))</f>
        <v/>
      </c>
      <c r="G31" s="46">
        <f>IF($B31="","",COUNTIFS(L_Week,WkStart,L_Type,$B31,L_Act,"تم تحرير مخالفة"))</f>
        <v/>
      </c>
      <c r="H31" s="46">
        <f>IF($B31="","",COUNTIFS(L_Week,WkStart,L_Type,$B31,L_Act,"مشاهدة فقط"))</f>
        <v/>
      </c>
      <c r="I31" s="54">
        <f>IF(OR($B31="",SUM($F$22:$F$31)=0),"",F31/SUM($F$22:$F$31))</f>
        <v/>
      </c>
    </row>
    <row r="33">
      <c r="B33" s="42" t="inlineStr">
        <is>
          <t>تفاصيل زيارات الأسبوع</t>
        </is>
      </c>
      <c r="C33" s="42" t="n"/>
      <c r="D33" s="42" t="n"/>
      <c r="E33" s="42" t="n"/>
      <c r="F33" s="42" t="n"/>
      <c r="G33" s="42" t="n"/>
      <c r="H33" s="42" t="n"/>
      <c r="I33" s="42" t="n"/>
    </row>
    <row r="34" ht="26" customHeight="1">
      <c r="B34" s="43" t="inlineStr">
        <is>
          <t>م</t>
        </is>
      </c>
      <c r="C34" s="43" t="inlineStr">
        <is>
          <t>التاريخ</t>
        </is>
      </c>
      <c r="D34" s="43" t="inlineStr">
        <is>
          <t>الموقع</t>
        </is>
      </c>
      <c r="E34" s="43" t="inlineStr">
        <is>
          <t>الوصف</t>
        </is>
      </c>
      <c r="F34" s="43" t="inlineStr">
        <is>
          <t>نوع المشاهدة</t>
        </is>
      </c>
      <c r="G34" s="43" t="inlineStr">
        <is>
          <t>الإجراء</t>
        </is>
      </c>
      <c r="H34" s="43" t="inlineStr">
        <is>
          <t>وقت الوصول</t>
        </is>
      </c>
      <c r="I34" s="43" t="inlineStr">
        <is>
          <t>الصور</t>
        </is>
      </c>
    </row>
    <row r="35">
      <c r="B35" s="44">
        <f>IF(ISNUMBER(MATCH(1,L_WIdx,0)),1,"")</f>
        <v/>
      </c>
      <c r="C35" s="45">
        <f>IF($B35="","",INDEX(L_Date,MATCH(1,L_WIdx,0)))</f>
        <v/>
      </c>
      <c r="D35" s="44">
        <f>IF($B35="","",INDEX(L_Area,MATCH(1,L_WIdx,0))&amp;" - "&amp;INDEX(L_Site,MATCH(1,L_WIdx,0)))</f>
        <v/>
      </c>
      <c r="E35" s="51">
        <f>IF($B35="","",INDEX(L_Desc,MATCH(1,L_WIdx,0))&amp;"")</f>
        <v/>
      </c>
      <c r="F35" s="44">
        <f>IF($B35="","",INDEX(L_Type,MATCH(1,L_WIdx,0))&amp;"")</f>
        <v/>
      </c>
      <c r="G35" s="44">
        <f>IF($B35="","",INDEX(L_Act,MATCH(1,L_WIdx,0))&amp;"")</f>
        <v/>
      </c>
      <c r="H35" s="55">
        <f>IF($B35="","",INDEX(L_Arr,MATCH(1,L_WIdx,0)))</f>
        <v/>
      </c>
      <c r="I35" s="44">
        <f>IF($B35="","",N(INDEX(L_Pics,MATCH(1,L_WIdx,0))))</f>
        <v/>
      </c>
    </row>
    <row r="36">
      <c r="B36" s="46">
        <f>IF(ISNUMBER(MATCH(2,L_WIdx,0)),2,"")</f>
        <v/>
      </c>
      <c r="C36" s="47">
        <f>IF($B36="","",INDEX(L_Date,MATCH(2,L_WIdx,0)))</f>
        <v/>
      </c>
      <c r="D36" s="46">
        <f>IF($B36="","",INDEX(L_Area,MATCH(2,L_WIdx,0))&amp;" - "&amp;INDEX(L_Site,MATCH(2,L_WIdx,0)))</f>
        <v/>
      </c>
      <c r="E36" s="53">
        <f>IF($B36="","",INDEX(L_Desc,MATCH(2,L_WIdx,0))&amp;"")</f>
        <v/>
      </c>
      <c r="F36" s="46">
        <f>IF($B36="","",INDEX(L_Type,MATCH(2,L_WIdx,0))&amp;"")</f>
        <v/>
      </c>
      <c r="G36" s="46">
        <f>IF($B36="","",INDEX(L_Act,MATCH(2,L_WIdx,0))&amp;"")</f>
        <v/>
      </c>
      <c r="H36" s="56">
        <f>IF($B36="","",INDEX(L_Arr,MATCH(2,L_WIdx,0)))</f>
        <v/>
      </c>
      <c r="I36" s="46">
        <f>IF($B36="","",N(INDEX(L_Pics,MATCH(2,L_WIdx,0))))</f>
        <v/>
      </c>
    </row>
    <row r="37">
      <c r="B37" s="44">
        <f>IF(ISNUMBER(MATCH(3,L_WIdx,0)),3,"")</f>
        <v/>
      </c>
      <c r="C37" s="45">
        <f>IF($B37="","",INDEX(L_Date,MATCH(3,L_WIdx,0)))</f>
        <v/>
      </c>
      <c r="D37" s="44">
        <f>IF($B37="","",INDEX(L_Area,MATCH(3,L_WIdx,0))&amp;" - "&amp;INDEX(L_Site,MATCH(3,L_WIdx,0)))</f>
        <v/>
      </c>
      <c r="E37" s="51">
        <f>IF($B37="","",INDEX(L_Desc,MATCH(3,L_WIdx,0))&amp;"")</f>
        <v/>
      </c>
      <c r="F37" s="44">
        <f>IF($B37="","",INDEX(L_Type,MATCH(3,L_WIdx,0))&amp;"")</f>
        <v/>
      </c>
      <c r="G37" s="44">
        <f>IF($B37="","",INDEX(L_Act,MATCH(3,L_WIdx,0))&amp;"")</f>
        <v/>
      </c>
      <c r="H37" s="55">
        <f>IF($B37="","",INDEX(L_Arr,MATCH(3,L_WIdx,0)))</f>
        <v/>
      </c>
      <c r="I37" s="44">
        <f>IF($B37="","",N(INDEX(L_Pics,MATCH(3,L_WIdx,0))))</f>
        <v/>
      </c>
    </row>
    <row r="38">
      <c r="B38" s="46">
        <f>IF(ISNUMBER(MATCH(4,L_WIdx,0)),4,"")</f>
        <v/>
      </c>
      <c r="C38" s="47">
        <f>IF($B38="","",INDEX(L_Date,MATCH(4,L_WIdx,0)))</f>
        <v/>
      </c>
      <c r="D38" s="46">
        <f>IF($B38="","",INDEX(L_Area,MATCH(4,L_WIdx,0))&amp;" - "&amp;INDEX(L_Site,MATCH(4,L_WIdx,0)))</f>
        <v/>
      </c>
      <c r="E38" s="53">
        <f>IF($B38="","",INDEX(L_Desc,MATCH(4,L_WIdx,0))&amp;"")</f>
        <v/>
      </c>
      <c r="F38" s="46">
        <f>IF($B38="","",INDEX(L_Type,MATCH(4,L_WIdx,0))&amp;"")</f>
        <v/>
      </c>
      <c r="G38" s="46">
        <f>IF($B38="","",INDEX(L_Act,MATCH(4,L_WIdx,0))&amp;"")</f>
        <v/>
      </c>
      <c r="H38" s="56">
        <f>IF($B38="","",INDEX(L_Arr,MATCH(4,L_WIdx,0)))</f>
        <v/>
      </c>
      <c r="I38" s="46">
        <f>IF($B38="","",N(INDEX(L_Pics,MATCH(4,L_WIdx,0))))</f>
        <v/>
      </c>
    </row>
    <row r="39">
      <c r="B39" s="44">
        <f>IF(ISNUMBER(MATCH(5,L_WIdx,0)),5,"")</f>
        <v/>
      </c>
      <c r="C39" s="45">
        <f>IF($B39="","",INDEX(L_Date,MATCH(5,L_WIdx,0)))</f>
        <v/>
      </c>
      <c r="D39" s="44">
        <f>IF($B39="","",INDEX(L_Area,MATCH(5,L_WIdx,0))&amp;" - "&amp;INDEX(L_Site,MATCH(5,L_WIdx,0)))</f>
        <v/>
      </c>
      <c r="E39" s="51">
        <f>IF($B39="","",INDEX(L_Desc,MATCH(5,L_WIdx,0))&amp;"")</f>
        <v/>
      </c>
      <c r="F39" s="44">
        <f>IF($B39="","",INDEX(L_Type,MATCH(5,L_WIdx,0))&amp;"")</f>
        <v/>
      </c>
      <c r="G39" s="44">
        <f>IF($B39="","",INDEX(L_Act,MATCH(5,L_WIdx,0))&amp;"")</f>
        <v/>
      </c>
      <c r="H39" s="55">
        <f>IF($B39="","",INDEX(L_Arr,MATCH(5,L_WIdx,0)))</f>
        <v/>
      </c>
      <c r="I39" s="44">
        <f>IF($B39="","",N(INDEX(L_Pics,MATCH(5,L_WIdx,0))))</f>
        <v/>
      </c>
    </row>
    <row r="40">
      <c r="B40" s="46">
        <f>IF(ISNUMBER(MATCH(6,L_WIdx,0)),6,"")</f>
        <v/>
      </c>
      <c r="C40" s="47">
        <f>IF($B40="","",INDEX(L_Date,MATCH(6,L_WIdx,0)))</f>
        <v/>
      </c>
      <c r="D40" s="46">
        <f>IF($B40="","",INDEX(L_Area,MATCH(6,L_WIdx,0))&amp;" - "&amp;INDEX(L_Site,MATCH(6,L_WIdx,0)))</f>
        <v/>
      </c>
      <c r="E40" s="53">
        <f>IF($B40="","",INDEX(L_Desc,MATCH(6,L_WIdx,0))&amp;"")</f>
        <v/>
      </c>
      <c r="F40" s="46">
        <f>IF($B40="","",INDEX(L_Type,MATCH(6,L_WIdx,0))&amp;"")</f>
        <v/>
      </c>
      <c r="G40" s="46">
        <f>IF($B40="","",INDEX(L_Act,MATCH(6,L_WIdx,0))&amp;"")</f>
        <v/>
      </c>
      <c r="H40" s="56">
        <f>IF($B40="","",INDEX(L_Arr,MATCH(6,L_WIdx,0)))</f>
        <v/>
      </c>
      <c r="I40" s="46">
        <f>IF($B40="","",N(INDEX(L_Pics,MATCH(6,L_WIdx,0))))</f>
        <v/>
      </c>
    </row>
    <row r="41">
      <c r="B41" s="44">
        <f>IF(ISNUMBER(MATCH(7,L_WIdx,0)),7,"")</f>
        <v/>
      </c>
      <c r="C41" s="45">
        <f>IF($B41="","",INDEX(L_Date,MATCH(7,L_WIdx,0)))</f>
        <v/>
      </c>
      <c r="D41" s="44">
        <f>IF($B41="","",INDEX(L_Area,MATCH(7,L_WIdx,0))&amp;" - "&amp;INDEX(L_Site,MATCH(7,L_WIdx,0)))</f>
        <v/>
      </c>
      <c r="E41" s="51">
        <f>IF($B41="","",INDEX(L_Desc,MATCH(7,L_WIdx,0))&amp;"")</f>
        <v/>
      </c>
      <c r="F41" s="44">
        <f>IF($B41="","",INDEX(L_Type,MATCH(7,L_WIdx,0))&amp;"")</f>
        <v/>
      </c>
      <c r="G41" s="44">
        <f>IF($B41="","",INDEX(L_Act,MATCH(7,L_WIdx,0))&amp;"")</f>
        <v/>
      </c>
      <c r="H41" s="55">
        <f>IF($B41="","",INDEX(L_Arr,MATCH(7,L_WIdx,0)))</f>
        <v/>
      </c>
      <c r="I41" s="44">
        <f>IF($B41="","",N(INDEX(L_Pics,MATCH(7,L_WIdx,0))))</f>
        <v/>
      </c>
    </row>
    <row r="42">
      <c r="B42" s="46">
        <f>IF(ISNUMBER(MATCH(8,L_WIdx,0)),8,"")</f>
        <v/>
      </c>
      <c r="C42" s="47">
        <f>IF($B42="","",INDEX(L_Date,MATCH(8,L_WIdx,0)))</f>
        <v/>
      </c>
      <c r="D42" s="46">
        <f>IF($B42="","",INDEX(L_Area,MATCH(8,L_WIdx,0))&amp;" - "&amp;INDEX(L_Site,MATCH(8,L_WIdx,0)))</f>
        <v/>
      </c>
      <c r="E42" s="53">
        <f>IF($B42="","",INDEX(L_Desc,MATCH(8,L_WIdx,0))&amp;"")</f>
        <v/>
      </c>
      <c r="F42" s="46">
        <f>IF($B42="","",INDEX(L_Type,MATCH(8,L_WIdx,0))&amp;"")</f>
        <v/>
      </c>
      <c r="G42" s="46">
        <f>IF($B42="","",INDEX(L_Act,MATCH(8,L_WIdx,0))&amp;"")</f>
        <v/>
      </c>
      <c r="H42" s="56">
        <f>IF($B42="","",INDEX(L_Arr,MATCH(8,L_WIdx,0)))</f>
        <v/>
      </c>
      <c r="I42" s="46">
        <f>IF($B42="","",N(INDEX(L_Pics,MATCH(8,L_WIdx,0))))</f>
        <v/>
      </c>
    </row>
    <row r="43">
      <c r="B43" s="44">
        <f>IF(ISNUMBER(MATCH(9,L_WIdx,0)),9,"")</f>
        <v/>
      </c>
      <c r="C43" s="45">
        <f>IF($B43="","",INDEX(L_Date,MATCH(9,L_WIdx,0)))</f>
        <v/>
      </c>
      <c r="D43" s="44">
        <f>IF($B43="","",INDEX(L_Area,MATCH(9,L_WIdx,0))&amp;" - "&amp;INDEX(L_Site,MATCH(9,L_WIdx,0)))</f>
        <v/>
      </c>
      <c r="E43" s="51">
        <f>IF($B43="","",INDEX(L_Desc,MATCH(9,L_WIdx,0))&amp;"")</f>
        <v/>
      </c>
      <c r="F43" s="44">
        <f>IF($B43="","",INDEX(L_Type,MATCH(9,L_WIdx,0))&amp;"")</f>
        <v/>
      </c>
      <c r="G43" s="44">
        <f>IF($B43="","",INDEX(L_Act,MATCH(9,L_WIdx,0))&amp;"")</f>
        <v/>
      </c>
      <c r="H43" s="55">
        <f>IF($B43="","",INDEX(L_Arr,MATCH(9,L_WIdx,0)))</f>
        <v/>
      </c>
      <c r="I43" s="44">
        <f>IF($B43="","",N(INDEX(L_Pics,MATCH(9,L_WIdx,0))))</f>
        <v/>
      </c>
    </row>
    <row r="44">
      <c r="B44" s="46">
        <f>IF(ISNUMBER(MATCH(10,L_WIdx,0)),10,"")</f>
        <v/>
      </c>
      <c r="C44" s="47">
        <f>IF($B44="","",INDEX(L_Date,MATCH(10,L_WIdx,0)))</f>
        <v/>
      </c>
      <c r="D44" s="46">
        <f>IF($B44="","",INDEX(L_Area,MATCH(10,L_WIdx,0))&amp;" - "&amp;INDEX(L_Site,MATCH(10,L_WIdx,0)))</f>
        <v/>
      </c>
      <c r="E44" s="53">
        <f>IF($B44="","",INDEX(L_Desc,MATCH(10,L_WIdx,0))&amp;"")</f>
        <v/>
      </c>
      <c r="F44" s="46">
        <f>IF($B44="","",INDEX(L_Type,MATCH(10,L_WIdx,0))&amp;"")</f>
        <v/>
      </c>
      <c r="G44" s="46">
        <f>IF($B44="","",INDEX(L_Act,MATCH(10,L_WIdx,0))&amp;"")</f>
        <v/>
      </c>
      <c r="H44" s="56">
        <f>IF($B44="","",INDEX(L_Arr,MATCH(10,L_WIdx,0)))</f>
        <v/>
      </c>
      <c r="I44" s="46">
        <f>IF($B44="","",N(INDEX(L_Pics,MATCH(10,L_WIdx,0))))</f>
        <v/>
      </c>
    </row>
    <row r="45">
      <c r="B45" s="44">
        <f>IF(ISNUMBER(MATCH(11,L_WIdx,0)),11,"")</f>
        <v/>
      </c>
      <c r="C45" s="45">
        <f>IF($B45="","",INDEX(L_Date,MATCH(11,L_WIdx,0)))</f>
        <v/>
      </c>
      <c r="D45" s="44">
        <f>IF($B45="","",INDEX(L_Area,MATCH(11,L_WIdx,0))&amp;" - "&amp;INDEX(L_Site,MATCH(11,L_WIdx,0)))</f>
        <v/>
      </c>
      <c r="E45" s="51">
        <f>IF($B45="","",INDEX(L_Desc,MATCH(11,L_WIdx,0))&amp;"")</f>
        <v/>
      </c>
      <c r="F45" s="44">
        <f>IF($B45="","",INDEX(L_Type,MATCH(11,L_WIdx,0))&amp;"")</f>
        <v/>
      </c>
      <c r="G45" s="44">
        <f>IF($B45="","",INDEX(L_Act,MATCH(11,L_WIdx,0))&amp;"")</f>
        <v/>
      </c>
      <c r="H45" s="55">
        <f>IF($B45="","",INDEX(L_Arr,MATCH(11,L_WIdx,0)))</f>
        <v/>
      </c>
      <c r="I45" s="44">
        <f>IF($B45="","",N(INDEX(L_Pics,MATCH(11,L_WIdx,0))))</f>
        <v/>
      </c>
    </row>
    <row r="46">
      <c r="B46" s="46">
        <f>IF(ISNUMBER(MATCH(12,L_WIdx,0)),12,"")</f>
        <v/>
      </c>
      <c r="C46" s="47">
        <f>IF($B46="","",INDEX(L_Date,MATCH(12,L_WIdx,0)))</f>
        <v/>
      </c>
      <c r="D46" s="46">
        <f>IF($B46="","",INDEX(L_Area,MATCH(12,L_WIdx,0))&amp;" - "&amp;INDEX(L_Site,MATCH(12,L_WIdx,0)))</f>
        <v/>
      </c>
      <c r="E46" s="53">
        <f>IF($B46="","",INDEX(L_Desc,MATCH(12,L_WIdx,0))&amp;"")</f>
        <v/>
      </c>
      <c r="F46" s="46">
        <f>IF($B46="","",INDEX(L_Type,MATCH(12,L_WIdx,0))&amp;"")</f>
        <v/>
      </c>
      <c r="G46" s="46">
        <f>IF($B46="","",INDEX(L_Act,MATCH(12,L_WIdx,0))&amp;"")</f>
        <v/>
      </c>
      <c r="H46" s="56">
        <f>IF($B46="","",INDEX(L_Arr,MATCH(12,L_WIdx,0)))</f>
        <v/>
      </c>
      <c r="I46" s="46">
        <f>IF($B46="","",N(INDEX(L_Pics,MATCH(12,L_WIdx,0))))</f>
        <v/>
      </c>
    </row>
    <row r="47">
      <c r="B47" s="44">
        <f>IF(ISNUMBER(MATCH(13,L_WIdx,0)),13,"")</f>
        <v/>
      </c>
      <c r="C47" s="45">
        <f>IF($B47="","",INDEX(L_Date,MATCH(13,L_WIdx,0)))</f>
        <v/>
      </c>
      <c r="D47" s="44">
        <f>IF($B47="","",INDEX(L_Area,MATCH(13,L_WIdx,0))&amp;" - "&amp;INDEX(L_Site,MATCH(13,L_WIdx,0)))</f>
        <v/>
      </c>
      <c r="E47" s="51">
        <f>IF($B47="","",INDEX(L_Desc,MATCH(13,L_WIdx,0))&amp;"")</f>
        <v/>
      </c>
      <c r="F47" s="44">
        <f>IF($B47="","",INDEX(L_Type,MATCH(13,L_WIdx,0))&amp;"")</f>
        <v/>
      </c>
      <c r="G47" s="44">
        <f>IF($B47="","",INDEX(L_Act,MATCH(13,L_WIdx,0))&amp;"")</f>
        <v/>
      </c>
      <c r="H47" s="55">
        <f>IF($B47="","",INDEX(L_Arr,MATCH(13,L_WIdx,0)))</f>
        <v/>
      </c>
      <c r="I47" s="44">
        <f>IF($B47="","",N(INDEX(L_Pics,MATCH(13,L_WIdx,0))))</f>
        <v/>
      </c>
    </row>
    <row r="48">
      <c r="B48" s="46">
        <f>IF(ISNUMBER(MATCH(14,L_WIdx,0)),14,"")</f>
        <v/>
      </c>
      <c r="C48" s="47">
        <f>IF($B48="","",INDEX(L_Date,MATCH(14,L_WIdx,0)))</f>
        <v/>
      </c>
      <c r="D48" s="46">
        <f>IF($B48="","",INDEX(L_Area,MATCH(14,L_WIdx,0))&amp;" - "&amp;INDEX(L_Site,MATCH(14,L_WIdx,0)))</f>
        <v/>
      </c>
      <c r="E48" s="53">
        <f>IF($B48="","",INDEX(L_Desc,MATCH(14,L_WIdx,0))&amp;"")</f>
        <v/>
      </c>
      <c r="F48" s="46">
        <f>IF($B48="","",INDEX(L_Type,MATCH(14,L_WIdx,0))&amp;"")</f>
        <v/>
      </c>
      <c r="G48" s="46">
        <f>IF($B48="","",INDEX(L_Act,MATCH(14,L_WIdx,0))&amp;"")</f>
        <v/>
      </c>
      <c r="H48" s="56">
        <f>IF($B48="","",INDEX(L_Arr,MATCH(14,L_WIdx,0)))</f>
        <v/>
      </c>
      <c r="I48" s="46">
        <f>IF($B48="","",N(INDEX(L_Pics,MATCH(14,L_WIdx,0))))</f>
        <v/>
      </c>
    </row>
    <row r="49">
      <c r="B49" s="44">
        <f>IF(ISNUMBER(MATCH(15,L_WIdx,0)),15,"")</f>
        <v/>
      </c>
      <c r="C49" s="45">
        <f>IF($B49="","",INDEX(L_Date,MATCH(15,L_WIdx,0)))</f>
        <v/>
      </c>
      <c r="D49" s="44">
        <f>IF($B49="","",INDEX(L_Area,MATCH(15,L_WIdx,0))&amp;" - "&amp;INDEX(L_Site,MATCH(15,L_WIdx,0)))</f>
        <v/>
      </c>
      <c r="E49" s="51">
        <f>IF($B49="","",INDEX(L_Desc,MATCH(15,L_WIdx,0))&amp;"")</f>
        <v/>
      </c>
      <c r="F49" s="44">
        <f>IF($B49="","",INDEX(L_Type,MATCH(15,L_WIdx,0))&amp;"")</f>
        <v/>
      </c>
      <c r="G49" s="44">
        <f>IF($B49="","",INDEX(L_Act,MATCH(15,L_WIdx,0))&amp;"")</f>
        <v/>
      </c>
      <c r="H49" s="55">
        <f>IF($B49="","",INDEX(L_Arr,MATCH(15,L_WIdx,0)))</f>
        <v/>
      </c>
      <c r="I49" s="44">
        <f>IF($B49="","",N(INDEX(L_Pics,MATCH(15,L_WIdx,0))))</f>
        <v/>
      </c>
    </row>
    <row r="50">
      <c r="B50" s="46">
        <f>IF(ISNUMBER(MATCH(16,L_WIdx,0)),16,"")</f>
        <v/>
      </c>
      <c r="C50" s="47">
        <f>IF($B50="","",INDEX(L_Date,MATCH(16,L_WIdx,0)))</f>
        <v/>
      </c>
      <c r="D50" s="46">
        <f>IF($B50="","",INDEX(L_Area,MATCH(16,L_WIdx,0))&amp;" - "&amp;INDEX(L_Site,MATCH(16,L_WIdx,0)))</f>
        <v/>
      </c>
      <c r="E50" s="53">
        <f>IF($B50="","",INDEX(L_Desc,MATCH(16,L_WIdx,0))&amp;"")</f>
        <v/>
      </c>
      <c r="F50" s="46">
        <f>IF($B50="","",INDEX(L_Type,MATCH(16,L_WIdx,0))&amp;"")</f>
        <v/>
      </c>
      <c r="G50" s="46">
        <f>IF($B50="","",INDEX(L_Act,MATCH(16,L_WIdx,0))&amp;"")</f>
        <v/>
      </c>
      <c r="H50" s="56">
        <f>IF($B50="","",INDEX(L_Arr,MATCH(16,L_WIdx,0)))</f>
        <v/>
      </c>
      <c r="I50" s="46">
        <f>IF($B50="","",N(INDEX(L_Pics,MATCH(16,L_WIdx,0))))</f>
        <v/>
      </c>
    </row>
    <row r="51">
      <c r="B51" s="44">
        <f>IF(ISNUMBER(MATCH(17,L_WIdx,0)),17,"")</f>
        <v/>
      </c>
      <c r="C51" s="45">
        <f>IF($B51="","",INDEX(L_Date,MATCH(17,L_WIdx,0)))</f>
        <v/>
      </c>
      <c r="D51" s="44">
        <f>IF($B51="","",INDEX(L_Area,MATCH(17,L_WIdx,0))&amp;" - "&amp;INDEX(L_Site,MATCH(17,L_WIdx,0)))</f>
        <v/>
      </c>
      <c r="E51" s="51">
        <f>IF($B51="","",INDEX(L_Desc,MATCH(17,L_WIdx,0))&amp;"")</f>
        <v/>
      </c>
      <c r="F51" s="44">
        <f>IF($B51="","",INDEX(L_Type,MATCH(17,L_WIdx,0))&amp;"")</f>
        <v/>
      </c>
      <c r="G51" s="44">
        <f>IF($B51="","",INDEX(L_Act,MATCH(17,L_WIdx,0))&amp;"")</f>
        <v/>
      </c>
      <c r="H51" s="55">
        <f>IF($B51="","",INDEX(L_Arr,MATCH(17,L_WIdx,0)))</f>
        <v/>
      </c>
      <c r="I51" s="44">
        <f>IF($B51="","",N(INDEX(L_Pics,MATCH(17,L_WIdx,0))))</f>
        <v/>
      </c>
    </row>
    <row r="52">
      <c r="B52" s="46">
        <f>IF(ISNUMBER(MATCH(18,L_WIdx,0)),18,"")</f>
        <v/>
      </c>
      <c r="C52" s="47">
        <f>IF($B52="","",INDEX(L_Date,MATCH(18,L_WIdx,0)))</f>
        <v/>
      </c>
      <c r="D52" s="46">
        <f>IF($B52="","",INDEX(L_Area,MATCH(18,L_WIdx,0))&amp;" - "&amp;INDEX(L_Site,MATCH(18,L_WIdx,0)))</f>
        <v/>
      </c>
      <c r="E52" s="53">
        <f>IF($B52="","",INDEX(L_Desc,MATCH(18,L_WIdx,0))&amp;"")</f>
        <v/>
      </c>
      <c r="F52" s="46">
        <f>IF($B52="","",INDEX(L_Type,MATCH(18,L_WIdx,0))&amp;"")</f>
        <v/>
      </c>
      <c r="G52" s="46">
        <f>IF($B52="","",INDEX(L_Act,MATCH(18,L_WIdx,0))&amp;"")</f>
        <v/>
      </c>
      <c r="H52" s="56">
        <f>IF($B52="","",INDEX(L_Arr,MATCH(18,L_WIdx,0)))</f>
        <v/>
      </c>
      <c r="I52" s="46">
        <f>IF($B52="","",N(INDEX(L_Pics,MATCH(18,L_WIdx,0))))</f>
        <v/>
      </c>
    </row>
    <row r="53">
      <c r="B53" s="44">
        <f>IF(ISNUMBER(MATCH(19,L_WIdx,0)),19,"")</f>
        <v/>
      </c>
      <c r="C53" s="45">
        <f>IF($B53="","",INDEX(L_Date,MATCH(19,L_WIdx,0)))</f>
        <v/>
      </c>
      <c r="D53" s="44">
        <f>IF($B53="","",INDEX(L_Area,MATCH(19,L_WIdx,0))&amp;" - "&amp;INDEX(L_Site,MATCH(19,L_WIdx,0)))</f>
        <v/>
      </c>
      <c r="E53" s="51">
        <f>IF($B53="","",INDEX(L_Desc,MATCH(19,L_WIdx,0))&amp;"")</f>
        <v/>
      </c>
      <c r="F53" s="44">
        <f>IF($B53="","",INDEX(L_Type,MATCH(19,L_WIdx,0))&amp;"")</f>
        <v/>
      </c>
      <c r="G53" s="44">
        <f>IF($B53="","",INDEX(L_Act,MATCH(19,L_WIdx,0))&amp;"")</f>
        <v/>
      </c>
      <c r="H53" s="55">
        <f>IF($B53="","",INDEX(L_Arr,MATCH(19,L_WIdx,0)))</f>
        <v/>
      </c>
      <c r="I53" s="44">
        <f>IF($B53="","",N(INDEX(L_Pics,MATCH(19,L_WIdx,0))))</f>
        <v/>
      </c>
    </row>
    <row r="54">
      <c r="B54" s="46">
        <f>IF(ISNUMBER(MATCH(20,L_WIdx,0)),20,"")</f>
        <v/>
      </c>
      <c r="C54" s="47">
        <f>IF($B54="","",INDEX(L_Date,MATCH(20,L_WIdx,0)))</f>
        <v/>
      </c>
      <c r="D54" s="46">
        <f>IF($B54="","",INDEX(L_Area,MATCH(20,L_WIdx,0))&amp;" - "&amp;INDEX(L_Site,MATCH(20,L_WIdx,0)))</f>
        <v/>
      </c>
      <c r="E54" s="53">
        <f>IF($B54="","",INDEX(L_Desc,MATCH(20,L_WIdx,0))&amp;"")</f>
        <v/>
      </c>
      <c r="F54" s="46">
        <f>IF($B54="","",INDEX(L_Type,MATCH(20,L_WIdx,0))&amp;"")</f>
        <v/>
      </c>
      <c r="G54" s="46">
        <f>IF($B54="","",INDEX(L_Act,MATCH(20,L_WIdx,0))&amp;"")</f>
        <v/>
      </c>
      <c r="H54" s="56">
        <f>IF($B54="","",INDEX(L_Arr,MATCH(20,L_WIdx,0)))</f>
        <v/>
      </c>
      <c r="I54" s="46">
        <f>IF($B54="","",N(INDEX(L_Pics,MATCH(20,L_WIdx,0))))</f>
        <v/>
      </c>
    </row>
    <row r="55">
      <c r="B55" s="44">
        <f>IF(ISNUMBER(MATCH(21,L_WIdx,0)),21,"")</f>
        <v/>
      </c>
      <c r="C55" s="45">
        <f>IF($B55="","",INDEX(L_Date,MATCH(21,L_WIdx,0)))</f>
        <v/>
      </c>
      <c r="D55" s="44">
        <f>IF($B55="","",INDEX(L_Area,MATCH(21,L_WIdx,0))&amp;" - "&amp;INDEX(L_Site,MATCH(21,L_WIdx,0)))</f>
        <v/>
      </c>
      <c r="E55" s="51">
        <f>IF($B55="","",INDEX(L_Desc,MATCH(21,L_WIdx,0))&amp;"")</f>
        <v/>
      </c>
      <c r="F55" s="44">
        <f>IF($B55="","",INDEX(L_Type,MATCH(21,L_WIdx,0))&amp;"")</f>
        <v/>
      </c>
      <c r="G55" s="44">
        <f>IF($B55="","",INDEX(L_Act,MATCH(21,L_WIdx,0))&amp;"")</f>
        <v/>
      </c>
      <c r="H55" s="55">
        <f>IF($B55="","",INDEX(L_Arr,MATCH(21,L_WIdx,0)))</f>
        <v/>
      </c>
      <c r="I55" s="44">
        <f>IF($B55="","",N(INDEX(L_Pics,MATCH(21,L_WIdx,0))))</f>
        <v/>
      </c>
    </row>
    <row r="56">
      <c r="B56" s="46">
        <f>IF(ISNUMBER(MATCH(22,L_WIdx,0)),22,"")</f>
        <v/>
      </c>
      <c r="C56" s="47">
        <f>IF($B56="","",INDEX(L_Date,MATCH(22,L_WIdx,0)))</f>
        <v/>
      </c>
      <c r="D56" s="46">
        <f>IF($B56="","",INDEX(L_Area,MATCH(22,L_WIdx,0))&amp;" - "&amp;INDEX(L_Site,MATCH(22,L_WIdx,0)))</f>
        <v/>
      </c>
      <c r="E56" s="53">
        <f>IF($B56="","",INDEX(L_Desc,MATCH(22,L_WIdx,0))&amp;"")</f>
        <v/>
      </c>
      <c r="F56" s="46">
        <f>IF($B56="","",INDEX(L_Type,MATCH(22,L_WIdx,0))&amp;"")</f>
        <v/>
      </c>
      <c r="G56" s="46">
        <f>IF($B56="","",INDEX(L_Act,MATCH(22,L_WIdx,0))&amp;"")</f>
        <v/>
      </c>
      <c r="H56" s="56">
        <f>IF($B56="","",INDEX(L_Arr,MATCH(22,L_WIdx,0)))</f>
        <v/>
      </c>
      <c r="I56" s="46">
        <f>IF($B56="","",N(INDEX(L_Pics,MATCH(22,L_WIdx,0))))</f>
        <v/>
      </c>
    </row>
    <row r="57">
      <c r="B57" s="44">
        <f>IF(ISNUMBER(MATCH(23,L_WIdx,0)),23,"")</f>
        <v/>
      </c>
      <c r="C57" s="45">
        <f>IF($B57="","",INDEX(L_Date,MATCH(23,L_WIdx,0)))</f>
        <v/>
      </c>
      <c r="D57" s="44">
        <f>IF($B57="","",INDEX(L_Area,MATCH(23,L_WIdx,0))&amp;" - "&amp;INDEX(L_Site,MATCH(23,L_WIdx,0)))</f>
        <v/>
      </c>
      <c r="E57" s="51">
        <f>IF($B57="","",INDEX(L_Desc,MATCH(23,L_WIdx,0))&amp;"")</f>
        <v/>
      </c>
      <c r="F57" s="44">
        <f>IF($B57="","",INDEX(L_Type,MATCH(23,L_WIdx,0))&amp;"")</f>
        <v/>
      </c>
      <c r="G57" s="44">
        <f>IF($B57="","",INDEX(L_Act,MATCH(23,L_WIdx,0))&amp;"")</f>
        <v/>
      </c>
      <c r="H57" s="55">
        <f>IF($B57="","",INDEX(L_Arr,MATCH(23,L_WIdx,0)))</f>
        <v/>
      </c>
      <c r="I57" s="44">
        <f>IF($B57="","",N(INDEX(L_Pics,MATCH(23,L_WIdx,0))))</f>
        <v/>
      </c>
    </row>
    <row r="58">
      <c r="B58" s="46">
        <f>IF(ISNUMBER(MATCH(24,L_WIdx,0)),24,"")</f>
        <v/>
      </c>
      <c r="C58" s="47">
        <f>IF($B58="","",INDEX(L_Date,MATCH(24,L_WIdx,0)))</f>
        <v/>
      </c>
      <c r="D58" s="46">
        <f>IF($B58="","",INDEX(L_Area,MATCH(24,L_WIdx,0))&amp;" - "&amp;INDEX(L_Site,MATCH(24,L_WIdx,0)))</f>
        <v/>
      </c>
      <c r="E58" s="53">
        <f>IF($B58="","",INDEX(L_Desc,MATCH(24,L_WIdx,0))&amp;"")</f>
        <v/>
      </c>
      <c r="F58" s="46">
        <f>IF($B58="","",INDEX(L_Type,MATCH(24,L_WIdx,0))&amp;"")</f>
        <v/>
      </c>
      <c r="G58" s="46">
        <f>IF($B58="","",INDEX(L_Act,MATCH(24,L_WIdx,0))&amp;"")</f>
        <v/>
      </c>
      <c r="H58" s="56">
        <f>IF($B58="","",INDEX(L_Arr,MATCH(24,L_WIdx,0)))</f>
        <v/>
      </c>
      <c r="I58" s="46">
        <f>IF($B58="","",N(INDEX(L_Pics,MATCH(24,L_WIdx,0))))</f>
        <v/>
      </c>
    </row>
    <row r="59">
      <c r="B59" s="44">
        <f>IF(ISNUMBER(MATCH(25,L_WIdx,0)),25,"")</f>
        <v/>
      </c>
      <c r="C59" s="45">
        <f>IF($B59="","",INDEX(L_Date,MATCH(25,L_WIdx,0)))</f>
        <v/>
      </c>
      <c r="D59" s="44">
        <f>IF($B59="","",INDEX(L_Area,MATCH(25,L_WIdx,0))&amp;" - "&amp;INDEX(L_Site,MATCH(25,L_WIdx,0)))</f>
        <v/>
      </c>
      <c r="E59" s="51">
        <f>IF($B59="","",INDEX(L_Desc,MATCH(25,L_WIdx,0))&amp;"")</f>
        <v/>
      </c>
      <c r="F59" s="44">
        <f>IF($B59="","",INDEX(L_Type,MATCH(25,L_WIdx,0))&amp;"")</f>
        <v/>
      </c>
      <c r="G59" s="44">
        <f>IF($B59="","",INDEX(L_Act,MATCH(25,L_WIdx,0))&amp;"")</f>
        <v/>
      </c>
      <c r="H59" s="55">
        <f>IF($B59="","",INDEX(L_Arr,MATCH(25,L_WIdx,0)))</f>
        <v/>
      </c>
      <c r="I59" s="44">
        <f>IF($B59="","",N(INDEX(L_Pics,MATCH(25,L_WIdx,0))))</f>
        <v/>
      </c>
    </row>
    <row r="60">
      <c r="B60" s="46">
        <f>IF(ISNUMBER(MATCH(26,L_WIdx,0)),26,"")</f>
        <v/>
      </c>
      <c r="C60" s="47">
        <f>IF($B60="","",INDEX(L_Date,MATCH(26,L_WIdx,0)))</f>
        <v/>
      </c>
      <c r="D60" s="46">
        <f>IF($B60="","",INDEX(L_Area,MATCH(26,L_WIdx,0))&amp;" - "&amp;INDEX(L_Site,MATCH(26,L_WIdx,0)))</f>
        <v/>
      </c>
      <c r="E60" s="53">
        <f>IF($B60="","",INDEX(L_Desc,MATCH(26,L_WIdx,0))&amp;"")</f>
        <v/>
      </c>
      <c r="F60" s="46">
        <f>IF($B60="","",INDEX(L_Type,MATCH(26,L_WIdx,0))&amp;"")</f>
        <v/>
      </c>
      <c r="G60" s="46">
        <f>IF($B60="","",INDEX(L_Act,MATCH(26,L_WIdx,0))&amp;"")</f>
        <v/>
      </c>
      <c r="H60" s="56">
        <f>IF($B60="","",INDEX(L_Arr,MATCH(26,L_WIdx,0)))</f>
        <v/>
      </c>
      <c r="I60" s="46">
        <f>IF($B60="","",N(INDEX(L_Pics,MATCH(26,L_WIdx,0))))</f>
        <v/>
      </c>
    </row>
    <row r="61">
      <c r="B61" s="44">
        <f>IF(ISNUMBER(MATCH(27,L_WIdx,0)),27,"")</f>
        <v/>
      </c>
      <c r="C61" s="45">
        <f>IF($B61="","",INDEX(L_Date,MATCH(27,L_WIdx,0)))</f>
        <v/>
      </c>
      <c r="D61" s="44">
        <f>IF($B61="","",INDEX(L_Area,MATCH(27,L_WIdx,0))&amp;" - "&amp;INDEX(L_Site,MATCH(27,L_WIdx,0)))</f>
        <v/>
      </c>
      <c r="E61" s="51">
        <f>IF($B61="","",INDEX(L_Desc,MATCH(27,L_WIdx,0))&amp;"")</f>
        <v/>
      </c>
      <c r="F61" s="44">
        <f>IF($B61="","",INDEX(L_Type,MATCH(27,L_WIdx,0))&amp;"")</f>
        <v/>
      </c>
      <c r="G61" s="44">
        <f>IF($B61="","",INDEX(L_Act,MATCH(27,L_WIdx,0))&amp;"")</f>
        <v/>
      </c>
      <c r="H61" s="55">
        <f>IF($B61="","",INDEX(L_Arr,MATCH(27,L_WIdx,0)))</f>
        <v/>
      </c>
      <c r="I61" s="44">
        <f>IF($B61="","",N(INDEX(L_Pics,MATCH(27,L_WIdx,0))))</f>
        <v/>
      </c>
    </row>
    <row r="62">
      <c r="B62" s="46">
        <f>IF(ISNUMBER(MATCH(28,L_WIdx,0)),28,"")</f>
        <v/>
      </c>
      <c r="C62" s="47">
        <f>IF($B62="","",INDEX(L_Date,MATCH(28,L_WIdx,0)))</f>
        <v/>
      </c>
      <c r="D62" s="46">
        <f>IF($B62="","",INDEX(L_Area,MATCH(28,L_WIdx,0))&amp;" - "&amp;INDEX(L_Site,MATCH(28,L_WIdx,0)))</f>
        <v/>
      </c>
      <c r="E62" s="53">
        <f>IF($B62="","",INDEX(L_Desc,MATCH(28,L_WIdx,0))&amp;"")</f>
        <v/>
      </c>
      <c r="F62" s="46">
        <f>IF($B62="","",INDEX(L_Type,MATCH(28,L_WIdx,0))&amp;"")</f>
        <v/>
      </c>
      <c r="G62" s="46">
        <f>IF($B62="","",INDEX(L_Act,MATCH(28,L_WIdx,0))&amp;"")</f>
        <v/>
      </c>
      <c r="H62" s="56">
        <f>IF($B62="","",INDEX(L_Arr,MATCH(28,L_WIdx,0)))</f>
        <v/>
      </c>
      <c r="I62" s="46">
        <f>IF($B62="","",N(INDEX(L_Pics,MATCH(28,L_WIdx,0))))</f>
        <v/>
      </c>
    </row>
    <row r="63">
      <c r="B63" s="44">
        <f>IF(ISNUMBER(MATCH(29,L_WIdx,0)),29,"")</f>
        <v/>
      </c>
      <c r="C63" s="45">
        <f>IF($B63="","",INDEX(L_Date,MATCH(29,L_WIdx,0)))</f>
        <v/>
      </c>
      <c r="D63" s="44">
        <f>IF($B63="","",INDEX(L_Area,MATCH(29,L_WIdx,0))&amp;" - "&amp;INDEX(L_Site,MATCH(29,L_WIdx,0)))</f>
        <v/>
      </c>
      <c r="E63" s="51">
        <f>IF($B63="","",INDEX(L_Desc,MATCH(29,L_WIdx,0))&amp;"")</f>
        <v/>
      </c>
      <c r="F63" s="44">
        <f>IF($B63="","",INDEX(L_Type,MATCH(29,L_WIdx,0))&amp;"")</f>
        <v/>
      </c>
      <c r="G63" s="44">
        <f>IF($B63="","",INDEX(L_Act,MATCH(29,L_WIdx,0))&amp;"")</f>
        <v/>
      </c>
      <c r="H63" s="55">
        <f>IF($B63="","",INDEX(L_Arr,MATCH(29,L_WIdx,0)))</f>
        <v/>
      </c>
      <c r="I63" s="44">
        <f>IF($B63="","",N(INDEX(L_Pics,MATCH(29,L_WIdx,0))))</f>
        <v/>
      </c>
    </row>
    <row r="64">
      <c r="B64" s="46">
        <f>IF(ISNUMBER(MATCH(30,L_WIdx,0)),30,"")</f>
        <v/>
      </c>
      <c r="C64" s="47">
        <f>IF($B64="","",INDEX(L_Date,MATCH(30,L_WIdx,0)))</f>
        <v/>
      </c>
      <c r="D64" s="46">
        <f>IF($B64="","",INDEX(L_Area,MATCH(30,L_WIdx,0))&amp;" - "&amp;INDEX(L_Site,MATCH(30,L_WIdx,0)))</f>
        <v/>
      </c>
      <c r="E64" s="53">
        <f>IF($B64="","",INDEX(L_Desc,MATCH(30,L_WIdx,0))&amp;"")</f>
        <v/>
      </c>
      <c r="F64" s="46">
        <f>IF($B64="","",INDEX(L_Type,MATCH(30,L_WIdx,0))&amp;"")</f>
        <v/>
      </c>
      <c r="G64" s="46">
        <f>IF($B64="","",INDEX(L_Act,MATCH(30,L_WIdx,0))&amp;"")</f>
        <v/>
      </c>
      <c r="H64" s="56">
        <f>IF($B64="","",INDEX(L_Arr,MATCH(30,L_WIdx,0)))</f>
        <v/>
      </c>
      <c r="I64" s="46">
        <f>IF($B64="","",N(INDEX(L_Pics,MATCH(30,L_WIdx,0))))</f>
        <v/>
      </c>
    </row>
    <row r="65">
      <c r="B65" s="44">
        <f>IF(ISNUMBER(MATCH(31,L_WIdx,0)),31,"")</f>
        <v/>
      </c>
      <c r="C65" s="45">
        <f>IF($B65="","",INDEX(L_Date,MATCH(31,L_WIdx,0)))</f>
        <v/>
      </c>
      <c r="D65" s="44">
        <f>IF($B65="","",INDEX(L_Area,MATCH(31,L_WIdx,0))&amp;" - "&amp;INDEX(L_Site,MATCH(31,L_WIdx,0)))</f>
        <v/>
      </c>
      <c r="E65" s="51">
        <f>IF($B65="","",INDEX(L_Desc,MATCH(31,L_WIdx,0))&amp;"")</f>
        <v/>
      </c>
      <c r="F65" s="44">
        <f>IF($B65="","",INDEX(L_Type,MATCH(31,L_WIdx,0))&amp;"")</f>
        <v/>
      </c>
      <c r="G65" s="44">
        <f>IF($B65="","",INDEX(L_Act,MATCH(31,L_WIdx,0))&amp;"")</f>
        <v/>
      </c>
      <c r="H65" s="55">
        <f>IF($B65="","",INDEX(L_Arr,MATCH(31,L_WIdx,0)))</f>
        <v/>
      </c>
      <c r="I65" s="44">
        <f>IF($B65="","",N(INDEX(L_Pics,MATCH(31,L_WIdx,0))))</f>
        <v/>
      </c>
    </row>
    <row r="66">
      <c r="B66" s="46">
        <f>IF(ISNUMBER(MATCH(32,L_WIdx,0)),32,"")</f>
        <v/>
      </c>
      <c r="C66" s="47">
        <f>IF($B66="","",INDEX(L_Date,MATCH(32,L_WIdx,0)))</f>
        <v/>
      </c>
      <c r="D66" s="46">
        <f>IF($B66="","",INDEX(L_Area,MATCH(32,L_WIdx,0))&amp;" - "&amp;INDEX(L_Site,MATCH(32,L_WIdx,0)))</f>
        <v/>
      </c>
      <c r="E66" s="53">
        <f>IF($B66="","",INDEX(L_Desc,MATCH(32,L_WIdx,0))&amp;"")</f>
        <v/>
      </c>
      <c r="F66" s="46">
        <f>IF($B66="","",INDEX(L_Type,MATCH(32,L_WIdx,0))&amp;"")</f>
        <v/>
      </c>
      <c r="G66" s="46">
        <f>IF($B66="","",INDEX(L_Act,MATCH(32,L_WIdx,0))&amp;"")</f>
        <v/>
      </c>
      <c r="H66" s="56">
        <f>IF($B66="","",INDEX(L_Arr,MATCH(32,L_WIdx,0)))</f>
        <v/>
      </c>
      <c r="I66" s="46">
        <f>IF($B66="","",N(INDEX(L_Pics,MATCH(32,L_WIdx,0))))</f>
        <v/>
      </c>
    </row>
    <row r="67">
      <c r="B67" s="44">
        <f>IF(ISNUMBER(MATCH(33,L_WIdx,0)),33,"")</f>
        <v/>
      </c>
      <c r="C67" s="45">
        <f>IF($B67="","",INDEX(L_Date,MATCH(33,L_WIdx,0)))</f>
        <v/>
      </c>
      <c r="D67" s="44">
        <f>IF($B67="","",INDEX(L_Area,MATCH(33,L_WIdx,0))&amp;" - "&amp;INDEX(L_Site,MATCH(33,L_WIdx,0)))</f>
        <v/>
      </c>
      <c r="E67" s="51">
        <f>IF($B67="","",INDEX(L_Desc,MATCH(33,L_WIdx,0))&amp;"")</f>
        <v/>
      </c>
      <c r="F67" s="44">
        <f>IF($B67="","",INDEX(L_Type,MATCH(33,L_WIdx,0))&amp;"")</f>
        <v/>
      </c>
      <c r="G67" s="44">
        <f>IF($B67="","",INDEX(L_Act,MATCH(33,L_WIdx,0))&amp;"")</f>
        <v/>
      </c>
      <c r="H67" s="55">
        <f>IF($B67="","",INDEX(L_Arr,MATCH(33,L_WIdx,0)))</f>
        <v/>
      </c>
      <c r="I67" s="44">
        <f>IF($B67="","",N(INDEX(L_Pics,MATCH(33,L_WIdx,0))))</f>
        <v/>
      </c>
    </row>
    <row r="68">
      <c r="B68" s="46">
        <f>IF(ISNUMBER(MATCH(34,L_WIdx,0)),34,"")</f>
        <v/>
      </c>
      <c r="C68" s="47">
        <f>IF($B68="","",INDEX(L_Date,MATCH(34,L_WIdx,0)))</f>
        <v/>
      </c>
      <c r="D68" s="46">
        <f>IF($B68="","",INDEX(L_Area,MATCH(34,L_WIdx,0))&amp;" - "&amp;INDEX(L_Site,MATCH(34,L_WIdx,0)))</f>
        <v/>
      </c>
      <c r="E68" s="53">
        <f>IF($B68="","",INDEX(L_Desc,MATCH(34,L_WIdx,0))&amp;"")</f>
        <v/>
      </c>
      <c r="F68" s="46">
        <f>IF($B68="","",INDEX(L_Type,MATCH(34,L_WIdx,0))&amp;"")</f>
        <v/>
      </c>
      <c r="G68" s="46">
        <f>IF($B68="","",INDEX(L_Act,MATCH(34,L_WIdx,0))&amp;"")</f>
        <v/>
      </c>
      <c r="H68" s="56">
        <f>IF($B68="","",INDEX(L_Arr,MATCH(34,L_WIdx,0)))</f>
        <v/>
      </c>
      <c r="I68" s="46">
        <f>IF($B68="","",N(INDEX(L_Pics,MATCH(34,L_WIdx,0))))</f>
        <v/>
      </c>
    </row>
    <row r="69">
      <c r="B69" s="44">
        <f>IF(ISNUMBER(MATCH(35,L_WIdx,0)),35,"")</f>
        <v/>
      </c>
      <c r="C69" s="45">
        <f>IF($B69="","",INDEX(L_Date,MATCH(35,L_WIdx,0)))</f>
        <v/>
      </c>
      <c r="D69" s="44">
        <f>IF($B69="","",INDEX(L_Area,MATCH(35,L_WIdx,0))&amp;" - "&amp;INDEX(L_Site,MATCH(35,L_WIdx,0)))</f>
        <v/>
      </c>
      <c r="E69" s="51">
        <f>IF($B69="","",INDEX(L_Desc,MATCH(35,L_WIdx,0))&amp;"")</f>
        <v/>
      </c>
      <c r="F69" s="44">
        <f>IF($B69="","",INDEX(L_Type,MATCH(35,L_WIdx,0))&amp;"")</f>
        <v/>
      </c>
      <c r="G69" s="44">
        <f>IF($B69="","",INDEX(L_Act,MATCH(35,L_WIdx,0))&amp;"")</f>
        <v/>
      </c>
      <c r="H69" s="55">
        <f>IF($B69="","",INDEX(L_Arr,MATCH(35,L_WIdx,0)))</f>
        <v/>
      </c>
      <c r="I69" s="44">
        <f>IF($B69="","",N(INDEX(L_Pics,MATCH(35,L_WIdx,0))))</f>
        <v/>
      </c>
    </row>
    <row r="70">
      <c r="B70" s="46">
        <f>IF(ISNUMBER(MATCH(36,L_WIdx,0)),36,"")</f>
        <v/>
      </c>
      <c r="C70" s="47">
        <f>IF($B70="","",INDEX(L_Date,MATCH(36,L_WIdx,0)))</f>
        <v/>
      </c>
      <c r="D70" s="46">
        <f>IF($B70="","",INDEX(L_Area,MATCH(36,L_WIdx,0))&amp;" - "&amp;INDEX(L_Site,MATCH(36,L_WIdx,0)))</f>
        <v/>
      </c>
      <c r="E70" s="53">
        <f>IF($B70="","",INDEX(L_Desc,MATCH(36,L_WIdx,0))&amp;"")</f>
        <v/>
      </c>
      <c r="F70" s="46">
        <f>IF($B70="","",INDEX(L_Type,MATCH(36,L_WIdx,0))&amp;"")</f>
        <v/>
      </c>
      <c r="G70" s="46">
        <f>IF($B70="","",INDEX(L_Act,MATCH(36,L_WIdx,0))&amp;"")</f>
        <v/>
      </c>
      <c r="H70" s="56">
        <f>IF($B70="","",INDEX(L_Arr,MATCH(36,L_WIdx,0)))</f>
        <v/>
      </c>
      <c r="I70" s="46">
        <f>IF($B70="","",N(INDEX(L_Pics,MATCH(36,L_WIdx,0))))</f>
        <v/>
      </c>
    </row>
    <row r="71">
      <c r="B71" s="44">
        <f>IF(ISNUMBER(MATCH(37,L_WIdx,0)),37,"")</f>
        <v/>
      </c>
      <c r="C71" s="45">
        <f>IF($B71="","",INDEX(L_Date,MATCH(37,L_WIdx,0)))</f>
        <v/>
      </c>
      <c r="D71" s="44">
        <f>IF($B71="","",INDEX(L_Area,MATCH(37,L_WIdx,0))&amp;" - "&amp;INDEX(L_Site,MATCH(37,L_WIdx,0)))</f>
        <v/>
      </c>
      <c r="E71" s="51">
        <f>IF($B71="","",INDEX(L_Desc,MATCH(37,L_WIdx,0))&amp;"")</f>
        <v/>
      </c>
      <c r="F71" s="44">
        <f>IF($B71="","",INDEX(L_Type,MATCH(37,L_WIdx,0))&amp;"")</f>
        <v/>
      </c>
      <c r="G71" s="44">
        <f>IF($B71="","",INDEX(L_Act,MATCH(37,L_WIdx,0))&amp;"")</f>
        <v/>
      </c>
      <c r="H71" s="55">
        <f>IF($B71="","",INDEX(L_Arr,MATCH(37,L_WIdx,0)))</f>
        <v/>
      </c>
      <c r="I71" s="44">
        <f>IF($B71="","",N(INDEX(L_Pics,MATCH(37,L_WIdx,0))))</f>
        <v/>
      </c>
    </row>
    <row r="72">
      <c r="B72" s="46">
        <f>IF(ISNUMBER(MATCH(38,L_WIdx,0)),38,"")</f>
        <v/>
      </c>
      <c r="C72" s="47">
        <f>IF($B72="","",INDEX(L_Date,MATCH(38,L_WIdx,0)))</f>
        <v/>
      </c>
      <c r="D72" s="46">
        <f>IF($B72="","",INDEX(L_Area,MATCH(38,L_WIdx,0))&amp;" - "&amp;INDEX(L_Site,MATCH(38,L_WIdx,0)))</f>
        <v/>
      </c>
      <c r="E72" s="53">
        <f>IF($B72="","",INDEX(L_Desc,MATCH(38,L_WIdx,0))&amp;"")</f>
        <v/>
      </c>
      <c r="F72" s="46">
        <f>IF($B72="","",INDEX(L_Type,MATCH(38,L_WIdx,0))&amp;"")</f>
        <v/>
      </c>
      <c r="G72" s="46">
        <f>IF($B72="","",INDEX(L_Act,MATCH(38,L_WIdx,0))&amp;"")</f>
        <v/>
      </c>
      <c r="H72" s="56">
        <f>IF($B72="","",INDEX(L_Arr,MATCH(38,L_WIdx,0)))</f>
        <v/>
      </c>
      <c r="I72" s="46">
        <f>IF($B72="","",N(INDEX(L_Pics,MATCH(38,L_WIdx,0))))</f>
        <v/>
      </c>
    </row>
    <row r="73">
      <c r="B73" s="44">
        <f>IF(ISNUMBER(MATCH(39,L_WIdx,0)),39,"")</f>
        <v/>
      </c>
      <c r="C73" s="45">
        <f>IF($B73="","",INDEX(L_Date,MATCH(39,L_WIdx,0)))</f>
        <v/>
      </c>
      <c r="D73" s="44">
        <f>IF($B73="","",INDEX(L_Area,MATCH(39,L_WIdx,0))&amp;" - "&amp;INDEX(L_Site,MATCH(39,L_WIdx,0)))</f>
        <v/>
      </c>
      <c r="E73" s="51">
        <f>IF($B73="","",INDEX(L_Desc,MATCH(39,L_WIdx,0))&amp;"")</f>
        <v/>
      </c>
      <c r="F73" s="44">
        <f>IF($B73="","",INDEX(L_Type,MATCH(39,L_WIdx,0))&amp;"")</f>
        <v/>
      </c>
      <c r="G73" s="44">
        <f>IF($B73="","",INDEX(L_Act,MATCH(39,L_WIdx,0))&amp;"")</f>
        <v/>
      </c>
      <c r="H73" s="55">
        <f>IF($B73="","",INDEX(L_Arr,MATCH(39,L_WIdx,0)))</f>
        <v/>
      </c>
      <c r="I73" s="44">
        <f>IF($B73="","",N(INDEX(L_Pics,MATCH(39,L_WIdx,0))))</f>
        <v/>
      </c>
    </row>
    <row r="74">
      <c r="B74" s="46">
        <f>IF(ISNUMBER(MATCH(40,L_WIdx,0)),40,"")</f>
        <v/>
      </c>
      <c r="C74" s="47">
        <f>IF($B74="","",INDEX(L_Date,MATCH(40,L_WIdx,0)))</f>
        <v/>
      </c>
      <c r="D74" s="46">
        <f>IF($B74="","",INDEX(L_Area,MATCH(40,L_WIdx,0))&amp;" - "&amp;INDEX(L_Site,MATCH(40,L_WIdx,0)))</f>
        <v/>
      </c>
      <c r="E74" s="53">
        <f>IF($B74="","",INDEX(L_Desc,MATCH(40,L_WIdx,0))&amp;"")</f>
        <v/>
      </c>
      <c r="F74" s="46">
        <f>IF($B74="","",INDEX(L_Type,MATCH(40,L_WIdx,0))&amp;"")</f>
        <v/>
      </c>
      <c r="G74" s="46">
        <f>IF($B74="","",INDEX(L_Act,MATCH(40,L_WIdx,0))&amp;"")</f>
        <v/>
      </c>
      <c r="H74" s="56">
        <f>IF($B74="","",INDEX(L_Arr,MATCH(40,L_WIdx,0)))</f>
        <v/>
      </c>
      <c r="I74" s="46">
        <f>IF($B74="","",N(INDEX(L_Pics,MATCH(40,L_WIdx,0))))</f>
        <v/>
      </c>
    </row>
    <row r="75">
      <c r="B75" s="57" t="inlineStr">
        <is>
          <t>يعرض الجدول أول 40 سجل في الأسبوع.</t>
        </is>
      </c>
    </row>
    <row r="76">
      <c r="B76" s="42" t="inlineStr">
        <is>
          <t>ملاحظات وتوصيات المفتش</t>
        </is>
      </c>
      <c r="C76" s="42" t="n"/>
      <c r="D76" s="42" t="n"/>
      <c r="E76" s="42" t="n"/>
      <c r="F76" s="42" t="n"/>
      <c r="G76" s="42" t="n"/>
      <c r="H76" s="42" t="n"/>
      <c r="I76" s="42" t="n"/>
    </row>
    <row r="77">
      <c r="B77" s="58" t="n"/>
      <c r="C77" s="58" t="n"/>
      <c r="D77" s="58" t="n"/>
      <c r="E77" s="58" t="n"/>
      <c r="F77" s="58" t="n"/>
      <c r="G77" s="58" t="n"/>
      <c r="H77" s="58" t="n"/>
      <c r="I77" s="58" t="n"/>
    </row>
    <row r="78">
      <c r="B78" s="58" t="n"/>
      <c r="C78" s="58" t="n"/>
      <c r="D78" s="58" t="n"/>
      <c r="E78" s="58" t="n"/>
      <c r="F78" s="58" t="n"/>
      <c r="G78" s="58" t="n"/>
      <c r="H78" s="58" t="n"/>
      <c r="I78" s="58" t="n"/>
    </row>
    <row r="79">
      <c r="B79" s="58" t="n"/>
      <c r="C79" s="58" t="n"/>
      <c r="D79" s="58" t="n"/>
      <c r="E79" s="58" t="n"/>
      <c r="F79" s="58" t="n"/>
      <c r="G79" s="58" t="n"/>
      <c r="H79" s="58" t="n"/>
      <c r="I79" s="58" t="n"/>
    </row>
    <row r="80">
      <c r="B80" s="58" t="n"/>
      <c r="C80" s="58" t="n"/>
      <c r="D80" s="58" t="n"/>
      <c r="E80" s="58" t="n"/>
      <c r="F80" s="58" t="n"/>
      <c r="G80" s="58" t="n"/>
      <c r="H80" s="58" t="n"/>
      <c r="I80" s="58" t="n"/>
    </row>
    <row r="82" ht="30" customHeight="1">
      <c r="B82" s="27">
        <f>"المفتش: "&amp;InspectorName</f>
        <v/>
      </c>
      <c r="F82" s="27" t="inlineStr">
        <is>
          <t>التوقيع: ............................</t>
        </is>
      </c>
    </row>
    <row r="83">
      <c r="B83" s="27">
        <f>"تاريخ الإعداد: "&amp;TEXT(TODAY(),"yyyy/mm/dd")</f>
        <v/>
      </c>
    </row>
  </sheetData>
  <mergeCells count="35">
    <mergeCell ref="D9"/>
    <mergeCell ref="B83:E83"/>
    <mergeCell ref="D8"/>
    <mergeCell ref="B30:E30"/>
    <mergeCell ref="B24:E24"/>
    <mergeCell ref="F82:I82"/>
    <mergeCell ref="H9:I9"/>
    <mergeCell ref="B26:E26"/>
    <mergeCell ref="B11:I11"/>
    <mergeCell ref="B2:I2"/>
    <mergeCell ref="B25:E25"/>
    <mergeCell ref="B8:C8"/>
    <mergeCell ref="B1:I1"/>
    <mergeCell ref="B22:E22"/>
    <mergeCell ref="F8:G8"/>
    <mergeCell ref="B31:E31"/>
    <mergeCell ref="E8"/>
    <mergeCell ref="B18:E18"/>
    <mergeCell ref="B27:E27"/>
    <mergeCell ref="B21:E21"/>
    <mergeCell ref="B9:C9"/>
    <mergeCell ref="F9:G9"/>
    <mergeCell ref="E9"/>
    <mergeCell ref="B6:C6"/>
    <mergeCell ref="B23:E23"/>
    <mergeCell ref="B33:I33"/>
    <mergeCell ref="B5:C5"/>
    <mergeCell ref="B20:I20"/>
    <mergeCell ref="B82:E82"/>
    <mergeCell ref="B77:I80"/>
    <mergeCell ref="B29:E29"/>
    <mergeCell ref="B76:I76"/>
    <mergeCell ref="H8:I8"/>
    <mergeCell ref="B28:E28"/>
    <mergeCell ref="B4:C4"/>
  </mergeCells>
  <conditionalFormatting sqref="G35:G74">
    <cfRule type="expression" priority="1" dxfId="4">
      <formula>$G35="تم تحرير مخالفة"</formula>
    </cfRule>
  </conditionalFormatting>
  <printOptions horizontalCentered="1"/>
  <pageMargins left="0.4" right="0.4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I66"/>
  <sheetViews>
    <sheetView showGridLines="0" rightToLeft="1" tabSelected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20" customWidth="1" min="4" max="4"/>
    <col width="34" customWidth="1" min="5" max="5"/>
    <col width="15" customWidth="1" min="6" max="6"/>
    <col width="14" customWidth="1" min="7" max="7"/>
    <col width="14" customWidth="1" min="8" max="8"/>
    <col width="11" customWidth="1" min="9" max="9"/>
    <col width="2" customWidth="1" min="10" max="10"/>
  </cols>
  <sheetData>
    <row r="1" ht="34" customHeight="1">
      <c r="B1" s="1" t="inlineStr">
        <is>
          <t>التقرير الشهري للتفتيش البيئي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26">
        <f>OrgName&amp;"  |  "&amp;SectorName</f>
        <v/>
      </c>
      <c r="C2" s="26" t="n"/>
      <c r="D2" s="26" t="n"/>
      <c r="E2" s="26" t="n"/>
      <c r="F2" s="26" t="n"/>
      <c r="G2" s="26" t="n"/>
      <c r="H2" s="26" t="n"/>
      <c r="I2" s="26" t="n"/>
    </row>
    <row r="4">
      <c r="B4" s="27" t="inlineStr">
        <is>
          <t>السنة:</t>
        </is>
      </c>
      <c r="D4" s="59" t="n">
        <v>2026</v>
      </c>
      <c r="E4" s="60" t="inlineStr">
        <is>
          <t>الشهر:</t>
        </is>
      </c>
      <c r="F4" s="59" t="inlineStr">
        <is>
          <t>أكتوبر</t>
        </is>
      </c>
      <c r="H4" s="61">
        <f>MATCH(F4,MonthList,0)</f>
        <v/>
      </c>
      <c r="I4" s="62">
        <f>DATE(D4,H4,1)</f>
        <v/>
      </c>
    </row>
    <row r="5">
      <c r="B5" s="27" t="inlineStr">
        <is>
          <t>الفترة:</t>
        </is>
      </c>
      <c r="D5" s="31">
        <f>"من "&amp;TEXT(I4,"yyyy/mm/dd")&amp;"  إلى "&amp;TEXT(EOMONTH(I4,0),"yyyy/mm/dd")</f>
        <v/>
      </c>
    </row>
    <row r="6">
      <c r="B6" s="27" t="inlineStr">
        <is>
          <t>المفتش:</t>
        </is>
      </c>
      <c r="D6" s="31">
        <f>InspectorName</f>
        <v/>
      </c>
    </row>
    <row r="8" ht="22" customHeight="1">
      <c r="B8" s="32" t="inlineStr">
        <is>
          <t>الزيارات</t>
        </is>
      </c>
      <c r="C8" s="32" t="n"/>
      <c r="D8" s="33" t="inlineStr">
        <is>
          <t>المشاهدات البيئية</t>
        </is>
      </c>
      <c r="E8" s="34" t="inlineStr">
        <is>
          <t>المخالفات المحررة</t>
        </is>
      </c>
      <c r="F8" s="35" t="inlineStr">
        <is>
          <t>مشاهدات دون مخالف</t>
        </is>
      </c>
      <c r="G8" s="35" t="n"/>
      <c r="H8" s="36" t="inlineStr">
        <is>
          <t>زيارات بلا مشاهدات</t>
        </is>
      </c>
      <c r="I8" s="36" t="n"/>
    </row>
    <row r="9" ht="42" customHeight="1">
      <c r="B9" s="37">
        <f>SUMIFS(L_NewVisit,L_Year,$D$4,L_Month,$H$4)</f>
        <v/>
      </c>
      <c r="C9" s="37" t="n"/>
      <c r="D9" s="38">
        <f>SUMIFS(L_Obs,L_Year,$D$4,L_Month,$H$4)</f>
        <v/>
      </c>
      <c r="E9" s="39">
        <f>SUMIFS(L_Viol,L_Year,$D$4,L_Month,$H$4)</f>
        <v/>
      </c>
      <c r="F9" s="40">
        <f>COUNTIFS(L_Year,$D$4,L_Month,$H$4,L_Act,"مشاهدة فقط")</f>
        <v/>
      </c>
      <c r="G9" s="40" t="n"/>
      <c r="H9" s="41">
        <f>COUNTIFS(L_Year,$D$4,L_Month,$H$4,L_Type,"لا توجد مشاهدات")</f>
        <v/>
      </c>
      <c r="I9" s="41" t="n"/>
    </row>
    <row r="11">
      <c r="B11" s="42" t="inlineStr">
        <is>
          <t>حسب المنطقة</t>
        </is>
      </c>
      <c r="C11" s="42" t="n"/>
      <c r="D11" s="42" t="n"/>
      <c r="E11" s="42" t="n"/>
      <c r="F11" s="42" t="n"/>
      <c r="G11" s="42" t="n"/>
      <c r="H11" s="42" t="n"/>
      <c r="I11" s="42" t="n"/>
    </row>
    <row r="12" ht="26" customHeight="1">
      <c r="B12" s="43" t="inlineStr">
        <is>
          <t>المنطقة</t>
        </is>
      </c>
      <c r="C12" s="50" t="n"/>
      <c r="D12" s="43" t="inlineStr">
        <is>
          <t>الزيارات</t>
        </is>
      </c>
      <c r="E12" s="43" t="inlineStr">
        <is>
          <t>المشاهدات البيئية</t>
        </is>
      </c>
      <c r="F12" s="43" t="inlineStr">
        <is>
          <t>مخالفات محررة</t>
        </is>
      </c>
      <c r="G12" s="43" t="inlineStr">
        <is>
          <t>دون مخالف</t>
        </is>
      </c>
      <c r="H12" s="43" t="inlineStr">
        <is>
          <t>بلا مشاهدات</t>
        </is>
      </c>
      <c r="I12" s="43" t="inlineStr">
        <is>
          <t>النسبة</t>
        </is>
      </c>
    </row>
    <row r="13">
      <c r="B13" s="44">
        <f>IF(INDEX(AreaHdr,1)="","",INDEX(AreaHdr,1))</f>
        <v/>
      </c>
      <c r="C13" s="44" t="n"/>
      <c r="D13" s="44">
        <f>IF($B13="","",SUMIFS(L_NewVisit,L_Year,$D$4,L_Month,$H$4,L_Area,$B13))</f>
        <v/>
      </c>
      <c r="E13" s="44">
        <f>IF($B13="","",SUMIFS(L_Obs,L_Year,$D$4,L_Month,$H$4,L_Area,$B13))</f>
        <v/>
      </c>
      <c r="F13" s="44">
        <f>IF($B13="","",SUMIFS(L_Viol,L_Year,$D$4,L_Month,$H$4,L_Area,$B13))</f>
        <v/>
      </c>
      <c r="G13" s="44">
        <f>IF($B13="","",COUNTIFS(L_Year,$D$4,L_Month,$H$4,L_Area,$B13,L_Act,"مشاهدة فقط"))</f>
        <v/>
      </c>
      <c r="H13" s="44">
        <f>IF($B13="","",COUNTIFS(L_Year,$D$4,L_Month,$H$4,L_Area,$B13,L_Type,"لا توجد مشاهدات"))</f>
        <v/>
      </c>
      <c r="I13" s="52">
        <f>IF(OR($B13="",SUM($D$13:$D$22)=0),"",D13/SUM($D$13:$D$22))</f>
        <v/>
      </c>
    </row>
    <row r="14">
      <c r="B14" s="46">
        <f>IF(INDEX(AreaHdr,2)="","",INDEX(AreaHdr,2))</f>
        <v/>
      </c>
      <c r="C14" s="46" t="n"/>
      <c r="D14" s="46">
        <f>IF($B14="","",SUMIFS(L_NewVisit,L_Year,$D$4,L_Month,$H$4,L_Area,$B14))</f>
        <v/>
      </c>
      <c r="E14" s="46">
        <f>IF($B14="","",SUMIFS(L_Obs,L_Year,$D$4,L_Month,$H$4,L_Area,$B14))</f>
        <v/>
      </c>
      <c r="F14" s="46">
        <f>IF($B14="","",SUMIFS(L_Viol,L_Year,$D$4,L_Month,$H$4,L_Area,$B14))</f>
        <v/>
      </c>
      <c r="G14" s="46">
        <f>IF($B14="","",COUNTIFS(L_Year,$D$4,L_Month,$H$4,L_Area,$B14,L_Act,"مشاهدة فقط"))</f>
        <v/>
      </c>
      <c r="H14" s="46">
        <f>IF($B14="","",COUNTIFS(L_Year,$D$4,L_Month,$H$4,L_Area,$B14,L_Type,"لا توجد مشاهدات"))</f>
        <v/>
      </c>
      <c r="I14" s="54">
        <f>IF(OR($B14="",SUM($D$13:$D$22)=0),"",D14/SUM($D$13:$D$22))</f>
        <v/>
      </c>
    </row>
    <row r="15">
      <c r="B15" s="44">
        <f>IF(INDEX(AreaHdr,3)="","",INDEX(AreaHdr,3))</f>
        <v/>
      </c>
      <c r="C15" s="44" t="n"/>
      <c r="D15" s="44">
        <f>IF($B15="","",SUMIFS(L_NewVisit,L_Year,$D$4,L_Month,$H$4,L_Area,$B15))</f>
        <v/>
      </c>
      <c r="E15" s="44">
        <f>IF($B15="","",SUMIFS(L_Obs,L_Year,$D$4,L_Month,$H$4,L_Area,$B15))</f>
        <v/>
      </c>
      <c r="F15" s="44">
        <f>IF($B15="","",SUMIFS(L_Viol,L_Year,$D$4,L_Month,$H$4,L_Area,$B15))</f>
        <v/>
      </c>
      <c r="G15" s="44">
        <f>IF($B15="","",COUNTIFS(L_Year,$D$4,L_Month,$H$4,L_Area,$B15,L_Act,"مشاهدة فقط"))</f>
        <v/>
      </c>
      <c r="H15" s="44">
        <f>IF($B15="","",COUNTIFS(L_Year,$D$4,L_Month,$H$4,L_Area,$B15,L_Type,"لا توجد مشاهدات"))</f>
        <v/>
      </c>
      <c r="I15" s="52">
        <f>IF(OR($B15="",SUM($D$13:$D$22)=0),"",D15/SUM($D$13:$D$22))</f>
        <v/>
      </c>
    </row>
    <row r="16">
      <c r="B16" s="46">
        <f>IF(INDEX(AreaHdr,4)="","",INDEX(AreaHdr,4))</f>
        <v/>
      </c>
      <c r="C16" s="46" t="n"/>
      <c r="D16" s="46">
        <f>IF($B16="","",SUMIFS(L_NewVisit,L_Year,$D$4,L_Month,$H$4,L_Area,$B16))</f>
        <v/>
      </c>
      <c r="E16" s="46">
        <f>IF($B16="","",SUMIFS(L_Obs,L_Year,$D$4,L_Month,$H$4,L_Area,$B16))</f>
        <v/>
      </c>
      <c r="F16" s="46">
        <f>IF($B16="","",SUMIFS(L_Viol,L_Year,$D$4,L_Month,$H$4,L_Area,$B16))</f>
        <v/>
      </c>
      <c r="G16" s="46">
        <f>IF($B16="","",COUNTIFS(L_Year,$D$4,L_Month,$H$4,L_Area,$B16,L_Act,"مشاهدة فقط"))</f>
        <v/>
      </c>
      <c r="H16" s="46">
        <f>IF($B16="","",COUNTIFS(L_Year,$D$4,L_Month,$H$4,L_Area,$B16,L_Type,"لا توجد مشاهدات"))</f>
        <v/>
      </c>
      <c r="I16" s="54">
        <f>IF(OR($B16="",SUM($D$13:$D$22)=0),"",D16/SUM($D$13:$D$22))</f>
        <v/>
      </c>
    </row>
    <row r="17">
      <c r="B17" s="44">
        <f>IF(INDEX(AreaHdr,5)="","",INDEX(AreaHdr,5))</f>
        <v/>
      </c>
      <c r="C17" s="44" t="n"/>
      <c r="D17" s="44">
        <f>IF($B17="","",SUMIFS(L_NewVisit,L_Year,$D$4,L_Month,$H$4,L_Area,$B17))</f>
        <v/>
      </c>
      <c r="E17" s="44">
        <f>IF($B17="","",SUMIFS(L_Obs,L_Year,$D$4,L_Month,$H$4,L_Area,$B17))</f>
        <v/>
      </c>
      <c r="F17" s="44">
        <f>IF($B17="","",SUMIFS(L_Viol,L_Year,$D$4,L_Month,$H$4,L_Area,$B17))</f>
        <v/>
      </c>
      <c r="G17" s="44">
        <f>IF($B17="","",COUNTIFS(L_Year,$D$4,L_Month,$H$4,L_Area,$B17,L_Act,"مشاهدة فقط"))</f>
        <v/>
      </c>
      <c r="H17" s="44">
        <f>IF($B17="","",COUNTIFS(L_Year,$D$4,L_Month,$H$4,L_Area,$B17,L_Type,"لا توجد مشاهدات"))</f>
        <v/>
      </c>
      <c r="I17" s="52">
        <f>IF(OR($B17="",SUM($D$13:$D$22)=0),"",D17/SUM($D$13:$D$22))</f>
        <v/>
      </c>
    </row>
    <row r="18">
      <c r="B18" s="46">
        <f>IF(INDEX(AreaHdr,6)="","",INDEX(AreaHdr,6))</f>
        <v/>
      </c>
      <c r="C18" s="46" t="n"/>
      <c r="D18" s="46">
        <f>IF($B18="","",SUMIFS(L_NewVisit,L_Year,$D$4,L_Month,$H$4,L_Area,$B18))</f>
        <v/>
      </c>
      <c r="E18" s="46">
        <f>IF($B18="","",SUMIFS(L_Obs,L_Year,$D$4,L_Month,$H$4,L_Area,$B18))</f>
        <v/>
      </c>
      <c r="F18" s="46">
        <f>IF($B18="","",SUMIFS(L_Viol,L_Year,$D$4,L_Month,$H$4,L_Area,$B18))</f>
        <v/>
      </c>
      <c r="G18" s="46">
        <f>IF($B18="","",COUNTIFS(L_Year,$D$4,L_Month,$H$4,L_Area,$B18,L_Act,"مشاهدة فقط"))</f>
        <v/>
      </c>
      <c r="H18" s="46">
        <f>IF($B18="","",COUNTIFS(L_Year,$D$4,L_Month,$H$4,L_Area,$B18,L_Type,"لا توجد مشاهدات"))</f>
        <v/>
      </c>
      <c r="I18" s="54">
        <f>IF(OR($B18="",SUM($D$13:$D$22)=0),"",D18/SUM($D$13:$D$22))</f>
        <v/>
      </c>
    </row>
    <row r="19">
      <c r="B19" s="44">
        <f>IF(INDEX(AreaHdr,7)="","",INDEX(AreaHdr,7))</f>
        <v/>
      </c>
      <c r="C19" s="44" t="n"/>
      <c r="D19" s="44">
        <f>IF($B19="","",SUMIFS(L_NewVisit,L_Year,$D$4,L_Month,$H$4,L_Area,$B19))</f>
        <v/>
      </c>
      <c r="E19" s="44">
        <f>IF($B19="","",SUMIFS(L_Obs,L_Year,$D$4,L_Month,$H$4,L_Area,$B19))</f>
        <v/>
      </c>
      <c r="F19" s="44">
        <f>IF($B19="","",SUMIFS(L_Viol,L_Year,$D$4,L_Month,$H$4,L_Area,$B19))</f>
        <v/>
      </c>
      <c r="G19" s="44">
        <f>IF($B19="","",COUNTIFS(L_Year,$D$4,L_Month,$H$4,L_Area,$B19,L_Act,"مشاهدة فقط"))</f>
        <v/>
      </c>
      <c r="H19" s="44">
        <f>IF($B19="","",COUNTIFS(L_Year,$D$4,L_Month,$H$4,L_Area,$B19,L_Type,"لا توجد مشاهدات"))</f>
        <v/>
      </c>
      <c r="I19" s="52">
        <f>IF(OR($B19="",SUM($D$13:$D$22)=0),"",D19/SUM($D$13:$D$22))</f>
        <v/>
      </c>
    </row>
    <row r="20">
      <c r="B20" s="46">
        <f>IF(INDEX(AreaHdr,8)="","",INDEX(AreaHdr,8))</f>
        <v/>
      </c>
      <c r="C20" s="46" t="n"/>
      <c r="D20" s="46">
        <f>IF($B20="","",SUMIFS(L_NewVisit,L_Year,$D$4,L_Month,$H$4,L_Area,$B20))</f>
        <v/>
      </c>
      <c r="E20" s="46">
        <f>IF($B20="","",SUMIFS(L_Obs,L_Year,$D$4,L_Month,$H$4,L_Area,$B20))</f>
        <v/>
      </c>
      <c r="F20" s="46">
        <f>IF($B20="","",SUMIFS(L_Viol,L_Year,$D$4,L_Month,$H$4,L_Area,$B20))</f>
        <v/>
      </c>
      <c r="G20" s="46">
        <f>IF($B20="","",COUNTIFS(L_Year,$D$4,L_Month,$H$4,L_Area,$B20,L_Act,"مشاهدة فقط"))</f>
        <v/>
      </c>
      <c r="H20" s="46">
        <f>IF($B20="","",COUNTIFS(L_Year,$D$4,L_Month,$H$4,L_Area,$B20,L_Type,"لا توجد مشاهدات"))</f>
        <v/>
      </c>
      <c r="I20" s="54">
        <f>IF(OR($B20="",SUM($D$13:$D$22)=0),"",D20/SUM($D$13:$D$22))</f>
        <v/>
      </c>
    </row>
    <row r="21">
      <c r="B21" s="44">
        <f>IF(INDEX(AreaHdr,9)="","",INDEX(AreaHdr,9))</f>
        <v/>
      </c>
      <c r="C21" s="44" t="n"/>
      <c r="D21" s="44">
        <f>IF($B21="","",SUMIFS(L_NewVisit,L_Year,$D$4,L_Month,$H$4,L_Area,$B21))</f>
        <v/>
      </c>
      <c r="E21" s="44">
        <f>IF($B21="","",SUMIFS(L_Obs,L_Year,$D$4,L_Month,$H$4,L_Area,$B21))</f>
        <v/>
      </c>
      <c r="F21" s="44">
        <f>IF($B21="","",SUMIFS(L_Viol,L_Year,$D$4,L_Month,$H$4,L_Area,$B21))</f>
        <v/>
      </c>
      <c r="G21" s="44">
        <f>IF($B21="","",COUNTIFS(L_Year,$D$4,L_Month,$H$4,L_Area,$B21,L_Act,"مشاهدة فقط"))</f>
        <v/>
      </c>
      <c r="H21" s="44">
        <f>IF($B21="","",COUNTIFS(L_Year,$D$4,L_Month,$H$4,L_Area,$B21,L_Type,"لا توجد مشاهدات"))</f>
        <v/>
      </c>
      <c r="I21" s="52">
        <f>IF(OR($B21="",SUM($D$13:$D$22)=0),"",D21/SUM($D$13:$D$22))</f>
        <v/>
      </c>
    </row>
    <row r="22">
      <c r="B22" s="46">
        <f>IF(INDEX(AreaHdr,10)="","",INDEX(AreaHdr,10))</f>
        <v/>
      </c>
      <c r="C22" s="46" t="n"/>
      <c r="D22" s="46">
        <f>IF($B22="","",SUMIFS(L_NewVisit,L_Year,$D$4,L_Month,$H$4,L_Area,$B22))</f>
        <v/>
      </c>
      <c r="E22" s="46">
        <f>IF($B22="","",SUMIFS(L_Obs,L_Year,$D$4,L_Month,$H$4,L_Area,$B22))</f>
        <v/>
      </c>
      <c r="F22" s="46">
        <f>IF($B22="","",SUMIFS(L_Viol,L_Year,$D$4,L_Month,$H$4,L_Area,$B22))</f>
        <v/>
      </c>
      <c r="G22" s="46">
        <f>IF($B22="","",COUNTIFS(L_Year,$D$4,L_Month,$H$4,L_Area,$B22,L_Act,"مشاهدة فقط"))</f>
        <v/>
      </c>
      <c r="H22" s="46">
        <f>IF($B22="","",COUNTIFS(L_Year,$D$4,L_Month,$H$4,L_Area,$B22,L_Type,"لا توجد مشاهدات"))</f>
        <v/>
      </c>
      <c r="I22" s="54">
        <f>IF(OR($B22="",SUM($D$13:$D$22)=0),"",D22/SUM($D$13:$D$22))</f>
        <v/>
      </c>
    </row>
    <row r="23">
      <c r="B23" s="48" t="inlineStr">
        <is>
          <t>الإجمالي</t>
        </is>
      </c>
      <c r="C23" s="48" t="n"/>
      <c r="D23" s="48">
        <f>SUM(D13:D22)</f>
        <v/>
      </c>
      <c r="E23" s="48">
        <f>SUM(E13:E22)</f>
        <v/>
      </c>
      <c r="F23" s="48">
        <f>SUM(F13:F22)</f>
        <v/>
      </c>
      <c r="G23" s="48">
        <f>SUM(G13:G22)</f>
        <v/>
      </c>
      <c r="H23" s="48">
        <f>SUM(H13:H22)</f>
        <v/>
      </c>
      <c r="I23" s="48" t="n"/>
    </row>
    <row r="25">
      <c r="B25" s="42" t="inlineStr">
        <is>
          <t>حسب الأسبوع</t>
        </is>
      </c>
      <c r="C25" s="42" t="n"/>
      <c r="D25" s="42" t="n"/>
      <c r="E25" s="42" t="n"/>
      <c r="F25" s="42" t="n"/>
      <c r="G25" s="42" t="n"/>
      <c r="H25" s="42" t="n"/>
      <c r="I25" s="42" t="n"/>
    </row>
    <row r="26" ht="26" customHeight="1">
      <c r="B26" s="43" t="inlineStr">
        <is>
          <t>الأسبوع</t>
        </is>
      </c>
      <c r="C26" s="49" t="n"/>
      <c r="D26" s="50" t="n"/>
      <c r="E26" s="43" t="inlineStr">
        <is>
          <t>الفترة</t>
        </is>
      </c>
      <c r="F26" s="43" t="inlineStr">
        <is>
          <t>الزيارات</t>
        </is>
      </c>
      <c r="G26" s="43" t="inlineStr">
        <is>
          <t>المشاهدات</t>
        </is>
      </c>
      <c r="H26" s="43" t="inlineStr">
        <is>
          <t>المخالفات</t>
        </is>
      </c>
      <c r="I26" s="43" t="inlineStr">
        <is>
          <t>دون مخالف</t>
        </is>
      </c>
    </row>
    <row r="27">
      <c r="B27" s="44">
        <f>IF(($I$4-WEEKDAY($I$4,3)+0)&gt;EOMONTH($I$4,0),"","الأسبوع "&amp;1)</f>
        <v/>
      </c>
      <c r="C27" s="44" t="n"/>
      <c r="D27" s="44" t="n"/>
      <c r="E27" s="44">
        <f>IF($B27="","",TEXT(MAX(($I$4-WEEKDAY($I$4,3)+0),$I$4),"mm/dd")&amp;" - "&amp;TEXT(MIN(($I$4-WEEKDAY($I$4,3)+0)+6,EOMONTH($I$4,0)),"mm/dd"))</f>
        <v/>
      </c>
      <c r="F27" s="44">
        <f>IF($B27="","",SUMIFS(L_NewVisit,L_Week,($I$4-WEEKDAY($I$4,3)+0),L_Year,$D$4,L_Month,$H$4))</f>
        <v/>
      </c>
      <c r="G27" s="44">
        <f>IF($B27="","",SUMIFS(L_Obs,L_Week,($I$4-WEEKDAY($I$4,3)+0),L_Year,$D$4,L_Month,$H$4))</f>
        <v/>
      </c>
      <c r="H27" s="44">
        <f>IF($B27="","",SUMIFS(L_Viol,L_Week,($I$4-WEEKDAY($I$4,3)+0),L_Year,$D$4,L_Month,$H$4))</f>
        <v/>
      </c>
      <c r="I27" s="44">
        <f>IF($B27="","",COUNTIFS(L_Week,($I$4-WEEKDAY($I$4,3)+0),L_Year,$D$4,L_Month,$H$4,L_Act,"مشاهدة فقط"))</f>
        <v/>
      </c>
    </row>
    <row r="28">
      <c r="B28" s="46">
        <f>IF(($I$4-WEEKDAY($I$4,3)+7)&gt;EOMONTH($I$4,0),"","الأسبوع "&amp;2)</f>
        <v/>
      </c>
      <c r="C28" s="46" t="n"/>
      <c r="D28" s="46" t="n"/>
      <c r="E28" s="46">
        <f>IF($B28="","",TEXT(MAX(($I$4-WEEKDAY($I$4,3)+7),$I$4),"mm/dd")&amp;" - "&amp;TEXT(MIN(($I$4-WEEKDAY($I$4,3)+7)+6,EOMONTH($I$4,0)),"mm/dd"))</f>
        <v/>
      </c>
      <c r="F28" s="46">
        <f>IF($B28="","",SUMIFS(L_NewVisit,L_Week,($I$4-WEEKDAY($I$4,3)+7),L_Year,$D$4,L_Month,$H$4))</f>
        <v/>
      </c>
      <c r="G28" s="46">
        <f>IF($B28="","",SUMIFS(L_Obs,L_Week,($I$4-WEEKDAY($I$4,3)+7),L_Year,$D$4,L_Month,$H$4))</f>
        <v/>
      </c>
      <c r="H28" s="46">
        <f>IF($B28="","",SUMIFS(L_Viol,L_Week,($I$4-WEEKDAY($I$4,3)+7),L_Year,$D$4,L_Month,$H$4))</f>
        <v/>
      </c>
      <c r="I28" s="46">
        <f>IF($B28="","",COUNTIFS(L_Week,($I$4-WEEKDAY($I$4,3)+7),L_Year,$D$4,L_Month,$H$4,L_Act,"مشاهدة فقط"))</f>
        <v/>
      </c>
    </row>
    <row r="29">
      <c r="B29" s="44">
        <f>IF(($I$4-WEEKDAY($I$4,3)+14)&gt;EOMONTH($I$4,0),"","الأسبوع "&amp;3)</f>
        <v/>
      </c>
      <c r="C29" s="44" t="n"/>
      <c r="D29" s="44" t="n"/>
      <c r="E29" s="44">
        <f>IF($B29="","",TEXT(MAX(($I$4-WEEKDAY($I$4,3)+14),$I$4),"mm/dd")&amp;" - "&amp;TEXT(MIN(($I$4-WEEKDAY($I$4,3)+14)+6,EOMONTH($I$4,0)),"mm/dd"))</f>
        <v/>
      </c>
      <c r="F29" s="44">
        <f>IF($B29="","",SUMIFS(L_NewVisit,L_Week,($I$4-WEEKDAY($I$4,3)+14),L_Year,$D$4,L_Month,$H$4))</f>
        <v/>
      </c>
      <c r="G29" s="44">
        <f>IF($B29="","",SUMIFS(L_Obs,L_Week,($I$4-WEEKDAY($I$4,3)+14),L_Year,$D$4,L_Month,$H$4))</f>
        <v/>
      </c>
      <c r="H29" s="44">
        <f>IF($B29="","",SUMIFS(L_Viol,L_Week,($I$4-WEEKDAY($I$4,3)+14),L_Year,$D$4,L_Month,$H$4))</f>
        <v/>
      </c>
      <c r="I29" s="44">
        <f>IF($B29="","",COUNTIFS(L_Week,($I$4-WEEKDAY($I$4,3)+14),L_Year,$D$4,L_Month,$H$4,L_Act,"مشاهدة فقط"))</f>
        <v/>
      </c>
    </row>
    <row r="30">
      <c r="B30" s="46">
        <f>IF(($I$4-WEEKDAY($I$4,3)+21)&gt;EOMONTH($I$4,0),"","الأسبوع "&amp;4)</f>
        <v/>
      </c>
      <c r="C30" s="46" t="n"/>
      <c r="D30" s="46" t="n"/>
      <c r="E30" s="46">
        <f>IF($B30="","",TEXT(MAX(($I$4-WEEKDAY($I$4,3)+21),$I$4),"mm/dd")&amp;" - "&amp;TEXT(MIN(($I$4-WEEKDAY($I$4,3)+21)+6,EOMONTH($I$4,0)),"mm/dd"))</f>
        <v/>
      </c>
      <c r="F30" s="46">
        <f>IF($B30="","",SUMIFS(L_NewVisit,L_Week,($I$4-WEEKDAY($I$4,3)+21),L_Year,$D$4,L_Month,$H$4))</f>
        <v/>
      </c>
      <c r="G30" s="46">
        <f>IF($B30="","",SUMIFS(L_Obs,L_Week,($I$4-WEEKDAY($I$4,3)+21),L_Year,$D$4,L_Month,$H$4))</f>
        <v/>
      </c>
      <c r="H30" s="46">
        <f>IF($B30="","",SUMIFS(L_Viol,L_Week,($I$4-WEEKDAY($I$4,3)+21),L_Year,$D$4,L_Month,$H$4))</f>
        <v/>
      </c>
      <c r="I30" s="46">
        <f>IF($B30="","",COUNTIFS(L_Week,($I$4-WEEKDAY($I$4,3)+21),L_Year,$D$4,L_Month,$H$4,L_Act,"مشاهدة فقط"))</f>
        <v/>
      </c>
    </row>
    <row r="31">
      <c r="B31" s="44">
        <f>IF(($I$4-WEEKDAY($I$4,3)+28)&gt;EOMONTH($I$4,0),"","الأسبوع "&amp;5)</f>
        <v/>
      </c>
      <c r="C31" s="44" t="n"/>
      <c r="D31" s="44" t="n"/>
      <c r="E31" s="44">
        <f>IF($B31="","",TEXT(MAX(($I$4-WEEKDAY($I$4,3)+28),$I$4),"mm/dd")&amp;" - "&amp;TEXT(MIN(($I$4-WEEKDAY($I$4,3)+28)+6,EOMONTH($I$4,0)),"mm/dd"))</f>
        <v/>
      </c>
      <c r="F31" s="44">
        <f>IF($B31="","",SUMIFS(L_NewVisit,L_Week,($I$4-WEEKDAY($I$4,3)+28),L_Year,$D$4,L_Month,$H$4))</f>
        <v/>
      </c>
      <c r="G31" s="44">
        <f>IF($B31="","",SUMIFS(L_Obs,L_Week,($I$4-WEEKDAY($I$4,3)+28),L_Year,$D$4,L_Month,$H$4))</f>
        <v/>
      </c>
      <c r="H31" s="44">
        <f>IF($B31="","",SUMIFS(L_Viol,L_Week,($I$4-WEEKDAY($I$4,3)+28),L_Year,$D$4,L_Month,$H$4))</f>
        <v/>
      </c>
      <c r="I31" s="44">
        <f>IF($B31="","",COUNTIFS(L_Week,($I$4-WEEKDAY($I$4,3)+28),L_Year,$D$4,L_Month,$H$4,L_Act,"مشاهدة فقط"))</f>
        <v/>
      </c>
    </row>
    <row r="32">
      <c r="B32" s="46">
        <f>IF(($I$4-WEEKDAY($I$4,3)+35)&gt;EOMONTH($I$4,0),"","الأسبوع "&amp;6)</f>
        <v/>
      </c>
      <c r="C32" s="46" t="n"/>
      <c r="D32" s="46" t="n"/>
      <c r="E32" s="46">
        <f>IF($B32="","",TEXT(MAX(($I$4-WEEKDAY($I$4,3)+35),$I$4),"mm/dd")&amp;" - "&amp;TEXT(MIN(($I$4-WEEKDAY($I$4,3)+35)+6,EOMONTH($I$4,0)),"mm/dd"))</f>
        <v/>
      </c>
      <c r="F32" s="46">
        <f>IF($B32="","",SUMIFS(L_NewVisit,L_Week,($I$4-WEEKDAY($I$4,3)+35),L_Year,$D$4,L_Month,$H$4))</f>
        <v/>
      </c>
      <c r="G32" s="46">
        <f>IF($B32="","",SUMIFS(L_Obs,L_Week,($I$4-WEEKDAY($I$4,3)+35),L_Year,$D$4,L_Month,$H$4))</f>
        <v/>
      </c>
      <c r="H32" s="46">
        <f>IF($B32="","",SUMIFS(L_Viol,L_Week,($I$4-WEEKDAY($I$4,3)+35),L_Year,$D$4,L_Month,$H$4))</f>
        <v/>
      </c>
      <c r="I32" s="46">
        <f>IF($B32="","",COUNTIFS(L_Week,($I$4-WEEKDAY($I$4,3)+35),L_Year,$D$4,L_Month,$H$4,L_Act,"مشاهدة فقط"))</f>
        <v/>
      </c>
    </row>
    <row r="34">
      <c r="B34" s="42" t="inlineStr">
        <is>
          <t>حسب نوع المشاهدة</t>
        </is>
      </c>
      <c r="C34" s="42" t="n"/>
      <c r="D34" s="42" t="n"/>
      <c r="E34" s="42" t="n"/>
      <c r="F34" s="42" t="n"/>
      <c r="G34" s="42" t="n"/>
      <c r="H34" s="42" t="n"/>
      <c r="I34" s="42" t="n"/>
    </row>
    <row r="35" ht="26" customHeight="1">
      <c r="B35" s="43" t="inlineStr">
        <is>
          <t>نوع المشاهدة</t>
        </is>
      </c>
      <c r="C35" s="49" t="n"/>
      <c r="D35" s="49" t="n"/>
      <c r="E35" s="50" t="n"/>
      <c r="F35" s="43" t="inlineStr">
        <is>
          <t>العدد</t>
        </is>
      </c>
      <c r="G35" s="43" t="inlineStr">
        <is>
          <t>مخالفة محررة</t>
        </is>
      </c>
      <c r="H35" s="43" t="inlineStr">
        <is>
          <t>دون مخالف</t>
        </is>
      </c>
      <c r="I35" s="43" t="inlineStr">
        <is>
          <t>النسبة</t>
        </is>
      </c>
    </row>
    <row r="36">
      <c r="B36" s="51">
        <f>IF(INDEX('الإعدادات'!$L$12:$L$26,1)="","",INDEX('الإعدادات'!$L$12:$L$26,1))</f>
        <v/>
      </c>
      <c r="C36" s="44" t="n"/>
      <c r="D36" s="44" t="n"/>
      <c r="E36" s="44" t="n"/>
      <c r="F36" s="44">
        <f>IF($B36="","",COUNTIFS(L_Year,$D$4,L_Month,$H$4,L_Type,$B36))</f>
        <v/>
      </c>
      <c r="G36" s="44">
        <f>IF($B36="","",COUNTIFS(L_Year,$D$4,L_Month,$H$4,L_Type,$B36,L_Act,"تم تحرير مخالفة"))</f>
        <v/>
      </c>
      <c r="H36" s="44">
        <f>IF($B36="","",COUNTIFS(L_Year,$D$4,L_Month,$H$4,L_Type,$B36,L_Act,"مشاهدة فقط"))</f>
        <v/>
      </c>
      <c r="I36" s="52">
        <f>IF(OR($B36="",SUM($F$36:$F$45)=0),"",F36/SUM($F$36:$F$45))</f>
        <v/>
      </c>
    </row>
    <row r="37">
      <c r="B37" s="53">
        <f>IF(INDEX('الإعدادات'!$L$12:$L$26,2)="","",INDEX('الإعدادات'!$L$12:$L$26,2))</f>
        <v/>
      </c>
      <c r="C37" s="46" t="n"/>
      <c r="D37" s="46" t="n"/>
      <c r="E37" s="46" t="n"/>
      <c r="F37" s="46">
        <f>IF($B37="","",COUNTIFS(L_Year,$D$4,L_Month,$H$4,L_Type,$B37))</f>
        <v/>
      </c>
      <c r="G37" s="46">
        <f>IF($B37="","",COUNTIFS(L_Year,$D$4,L_Month,$H$4,L_Type,$B37,L_Act,"تم تحرير مخالفة"))</f>
        <v/>
      </c>
      <c r="H37" s="46">
        <f>IF($B37="","",COUNTIFS(L_Year,$D$4,L_Month,$H$4,L_Type,$B37,L_Act,"مشاهدة فقط"))</f>
        <v/>
      </c>
      <c r="I37" s="54">
        <f>IF(OR($B37="",SUM($F$36:$F$45)=0),"",F37/SUM($F$36:$F$45))</f>
        <v/>
      </c>
    </row>
    <row r="38">
      <c r="B38" s="51">
        <f>IF(INDEX('الإعدادات'!$L$12:$L$26,3)="","",INDEX('الإعدادات'!$L$12:$L$26,3))</f>
        <v/>
      </c>
      <c r="C38" s="44" t="n"/>
      <c r="D38" s="44" t="n"/>
      <c r="E38" s="44" t="n"/>
      <c r="F38" s="44">
        <f>IF($B38="","",COUNTIFS(L_Year,$D$4,L_Month,$H$4,L_Type,$B38))</f>
        <v/>
      </c>
      <c r="G38" s="44">
        <f>IF($B38="","",COUNTIFS(L_Year,$D$4,L_Month,$H$4,L_Type,$B38,L_Act,"تم تحرير مخالفة"))</f>
        <v/>
      </c>
      <c r="H38" s="44">
        <f>IF($B38="","",COUNTIFS(L_Year,$D$4,L_Month,$H$4,L_Type,$B38,L_Act,"مشاهدة فقط"))</f>
        <v/>
      </c>
      <c r="I38" s="52">
        <f>IF(OR($B38="",SUM($F$36:$F$45)=0),"",F38/SUM($F$36:$F$45))</f>
        <v/>
      </c>
    </row>
    <row r="39">
      <c r="B39" s="53">
        <f>IF(INDEX('الإعدادات'!$L$12:$L$26,4)="","",INDEX('الإعدادات'!$L$12:$L$26,4))</f>
        <v/>
      </c>
      <c r="C39" s="46" t="n"/>
      <c r="D39" s="46" t="n"/>
      <c r="E39" s="46" t="n"/>
      <c r="F39" s="46">
        <f>IF($B39="","",COUNTIFS(L_Year,$D$4,L_Month,$H$4,L_Type,$B39))</f>
        <v/>
      </c>
      <c r="G39" s="46">
        <f>IF($B39="","",COUNTIFS(L_Year,$D$4,L_Month,$H$4,L_Type,$B39,L_Act,"تم تحرير مخالفة"))</f>
        <v/>
      </c>
      <c r="H39" s="46">
        <f>IF($B39="","",COUNTIFS(L_Year,$D$4,L_Month,$H$4,L_Type,$B39,L_Act,"مشاهدة فقط"))</f>
        <v/>
      </c>
      <c r="I39" s="54">
        <f>IF(OR($B39="",SUM($F$36:$F$45)=0),"",F39/SUM($F$36:$F$45))</f>
        <v/>
      </c>
    </row>
    <row r="40">
      <c r="B40" s="51">
        <f>IF(INDEX('الإعدادات'!$L$12:$L$26,5)="","",INDEX('الإعدادات'!$L$12:$L$26,5))</f>
        <v/>
      </c>
      <c r="C40" s="44" t="n"/>
      <c r="D40" s="44" t="n"/>
      <c r="E40" s="44" t="n"/>
      <c r="F40" s="44">
        <f>IF($B40="","",COUNTIFS(L_Year,$D$4,L_Month,$H$4,L_Type,$B40))</f>
        <v/>
      </c>
      <c r="G40" s="44">
        <f>IF($B40="","",COUNTIFS(L_Year,$D$4,L_Month,$H$4,L_Type,$B40,L_Act,"تم تحرير مخالفة"))</f>
        <v/>
      </c>
      <c r="H40" s="44">
        <f>IF($B40="","",COUNTIFS(L_Year,$D$4,L_Month,$H$4,L_Type,$B40,L_Act,"مشاهدة فقط"))</f>
        <v/>
      </c>
      <c r="I40" s="52">
        <f>IF(OR($B40="",SUM($F$36:$F$45)=0),"",F40/SUM($F$36:$F$45))</f>
        <v/>
      </c>
    </row>
    <row r="41">
      <c r="B41" s="53">
        <f>IF(INDEX('الإعدادات'!$L$12:$L$26,6)="","",INDEX('الإعدادات'!$L$12:$L$26,6))</f>
        <v/>
      </c>
      <c r="C41" s="46" t="n"/>
      <c r="D41" s="46" t="n"/>
      <c r="E41" s="46" t="n"/>
      <c r="F41" s="46">
        <f>IF($B41="","",COUNTIFS(L_Year,$D$4,L_Month,$H$4,L_Type,$B41))</f>
        <v/>
      </c>
      <c r="G41" s="46">
        <f>IF($B41="","",COUNTIFS(L_Year,$D$4,L_Month,$H$4,L_Type,$B41,L_Act,"تم تحرير مخالفة"))</f>
        <v/>
      </c>
      <c r="H41" s="46">
        <f>IF($B41="","",COUNTIFS(L_Year,$D$4,L_Month,$H$4,L_Type,$B41,L_Act,"مشاهدة فقط"))</f>
        <v/>
      </c>
      <c r="I41" s="54">
        <f>IF(OR($B41="",SUM($F$36:$F$45)=0),"",F41/SUM($F$36:$F$45))</f>
        <v/>
      </c>
    </row>
    <row r="42">
      <c r="B42" s="51">
        <f>IF(INDEX('الإعدادات'!$L$12:$L$26,7)="","",INDEX('الإعدادات'!$L$12:$L$26,7))</f>
        <v/>
      </c>
      <c r="C42" s="44" t="n"/>
      <c r="D42" s="44" t="n"/>
      <c r="E42" s="44" t="n"/>
      <c r="F42" s="44">
        <f>IF($B42="","",COUNTIFS(L_Year,$D$4,L_Month,$H$4,L_Type,$B42))</f>
        <v/>
      </c>
      <c r="G42" s="44">
        <f>IF($B42="","",COUNTIFS(L_Year,$D$4,L_Month,$H$4,L_Type,$B42,L_Act,"تم تحرير مخالفة"))</f>
        <v/>
      </c>
      <c r="H42" s="44">
        <f>IF($B42="","",COUNTIFS(L_Year,$D$4,L_Month,$H$4,L_Type,$B42,L_Act,"مشاهدة فقط"))</f>
        <v/>
      </c>
      <c r="I42" s="52">
        <f>IF(OR($B42="",SUM($F$36:$F$45)=0),"",F42/SUM($F$36:$F$45))</f>
        <v/>
      </c>
    </row>
    <row r="43">
      <c r="B43" s="53">
        <f>IF(INDEX('الإعدادات'!$L$12:$L$26,8)="","",INDEX('الإعدادات'!$L$12:$L$26,8))</f>
        <v/>
      </c>
      <c r="C43" s="46" t="n"/>
      <c r="D43" s="46" t="n"/>
      <c r="E43" s="46" t="n"/>
      <c r="F43" s="46">
        <f>IF($B43="","",COUNTIFS(L_Year,$D$4,L_Month,$H$4,L_Type,$B43))</f>
        <v/>
      </c>
      <c r="G43" s="46">
        <f>IF($B43="","",COUNTIFS(L_Year,$D$4,L_Month,$H$4,L_Type,$B43,L_Act,"تم تحرير مخالفة"))</f>
        <v/>
      </c>
      <c r="H43" s="46">
        <f>IF($B43="","",COUNTIFS(L_Year,$D$4,L_Month,$H$4,L_Type,$B43,L_Act,"مشاهدة فقط"))</f>
        <v/>
      </c>
      <c r="I43" s="54">
        <f>IF(OR($B43="",SUM($F$36:$F$45)=0),"",F43/SUM($F$36:$F$45))</f>
        <v/>
      </c>
    </row>
    <row r="44">
      <c r="B44" s="51">
        <f>IF(INDEX('الإعدادات'!$L$12:$L$26,9)="","",INDEX('الإعدادات'!$L$12:$L$26,9))</f>
        <v/>
      </c>
      <c r="C44" s="44" t="n"/>
      <c r="D44" s="44" t="n"/>
      <c r="E44" s="44" t="n"/>
      <c r="F44" s="44">
        <f>IF($B44="","",COUNTIFS(L_Year,$D$4,L_Month,$H$4,L_Type,$B44))</f>
        <v/>
      </c>
      <c r="G44" s="44">
        <f>IF($B44="","",COUNTIFS(L_Year,$D$4,L_Month,$H$4,L_Type,$B44,L_Act,"تم تحرير مخالفة"))</f>
        <v/>
      </c>
      <c r="H44" s="44">
        <f>IF($B44="","",COUNTIFS(L_Year,$D$4,L_Month,$H$4,L_Type,$B44,L_Act,"مشاهدة فقط"))</f>
        <v/>
      </c>
      <c r="I44" s="52">
        <f>IF(OR($B44="",SUM($F$36:$F$45)=0),"",F44/SUM($F$36:$F$45))</f>
        <v/>
      </c>
    </row>
    <row r="45">
      <c r="B45" s="53">
        <f>IF(INDEX('الإعدادات'!$L$12:$L$26,10)="","",INDEX('الإعدادات'!$L$12:$L$26,10))</f>
        <v/>
      </c>
      <c r="C45" s="46" t="n"/>
      <c r="D45" s="46" t="n"/>
      <c r="E45" s="46" t="n"/>
      <c r="F45" s="46">
        <f>IF($B45="","",COUNTIFS(L_Year,$D$4,L_Month,$H$4,L_Type,$B45))</f>
        <v/>
      </c>
      <c r="G45" s="46">
        <f>IF($B45="","",COUNTIFS(L_Year,$D$4,L_Month,$H$4,L_Type,$B45,L_Act,"تم تحرير مخالفة"))</f>
        <v/>
      </c>
      <c r="H45" s="46">
        <f>IF($B45="","",COUNTIFS(L_Year,$D$4,L_Month,$H$4,L_Type,$B45,L_Act,"مشاهدة فقط"))</f>
        <v/>
      </c>
      <c r="I45" s="54">
        <f>IF(OR($B45="",SUM($F$36:$F$45)=0),"",F45/SUM($F$36:$F$45))</f>
        <v/>
      </c>
    </row>
    <row r="62">
      <c r="B62" s="42" t="inlineStr">
        <is>
          <t>ملاحظات المفتش</t>
        </is>
      </c>
      <c r="C62" s="42" t="n"/>
      <c r="D62" s="42" t="n"/>
      <c r="E62" s="42" t="n"/>
      <c r="F62" s="42" t="n"/>
      <c r="G62" s="42" t="n"/>
      <c r="H62" s="42" t="n"/>
      <c r="I62" s="42" t="n"/>
    </row>
    <row r="63" ht="60" customHeight="1">
      <c r="B63" s="58" t="n"/>
      <c r="C63" s="58" t="n"/>
      <c r="D63" s="58" t="n"/>
      <c r="E63" s="58" t="n"/>
      <c r="F63" s="58" t="n"/>
      <c r="G63" s="58" t="n"/>
      <c r="H63" s="58" t="n"/>
      <c r="I63" s="58" t="n"/>
    </row>
    <row r="65" ht="30" customHeight="1">
      <c r="B65" s="27">
        <f>"المفتش: "&amp;InspectorName</f>
        <v/>
      </c>
      <c r="F65" s="27" t="inlineStr">
        <is>
          <t>التوقيع: ............................</t>
        </is>
      </c>
    </row>
    <row r="66">
      <c r="B66" s="27">
        <f>"تاريخ الإعداد: "&amp;TEXT(TODAY(),"yyyy/mm/dd")</f>
        <v/>
      </c>
    </row>
  </sheetData>
  <mergeCells count="54">
    <mergeCell ref="B40:E40"/>
    <mergeCell ref="B16:C16"/>
    <mergeCell ref="B62:I62"/>
    <mergeCell ref="B65:E65"/>
    <mergeCell ref="D9"/>
    <mergeCell ref="B25:I25"/>
    <mergeCell ref="B37:E37"/>
    <mergeCell ref="B63:I63"/>
    <mergeCell ref="D8"/>
    <mergeCell ref="B22:C22"/>
    <mergeCell ref="B18:C18"/>
    <mergeCell ref="D5:G5"/>
    <mergeCell ref="B29:D29"/>
    <mergeCell ref="H9:I9"/>
    <mergeCell ref="B36:E36"/>
    <mergeCell ref="B12:C12"/>
    <mergeCell ref="B28:D28"/>
    <mergeCell ref="B45:E45"/>
    <mergeCell ref="B21:C21"/>
    <mergeCell ref="B41:E41"/>
    <mergeCell ref="B35:E35"/>
    <mergeCell ref="B11:I11"/>
    <mergeCell ref="B2:I2"/>
    <mergeCell ref="B23:C23"/>
    <mergeCell ref="B14:C14"/>
    <mergeCell ref="B30:D30"/>
    <mergeCell ref="B17:C17"/>
    <mergeCell ref="F65:I65"/>
    <mergeCell ref="B8:C8"/>
    <mergeCell ref="B1:I1"/>
    <mergeCell ref="B66:E66"/>
    <mergeCell ref="F8:G8"/>
    <mergeCell ref="B13:C13"/>
    <mergeCell ref="E8"/>
    <mergeCell ref="B43:E43"/>
    <mergeCell ref="B19:C19"/>
    <mergeCell ref="B32:D32"/>
    <mergeCell ref="B34:I34"/>
    <mergeCell ref="B26:D26"/>
    <mergeCell ref="B39:E39"/>
    <mergeCell ref="B9:C9"/>
    <mergeCell ref="B42:E42"/>
    <mergeCell ref="F9:G9"/>
    <mergeCell ref="E9"/>
    <mergeCell ref="B6:C6"/>
    <mergeCell ref="B15:C15"/>
    <mergeCell ref="B31:D31"/>
    <mergeCell ref="B5:C5"/>
    <mergeCell ref="B20:C20"/>
    <mergeCell ref="B38:E38"/>
    <mergeCell ref="B44:E44"/>
    <mergeCell ref="B27:D27"/>
    <mergeCell ref="H8:I8"/>
    <mergeCell ref="B4:C4"/>
  </mergeCells>
  <dataValidations count="1">
    <dataValidation sqref="F4" showDropDown="0" showInputMessage="0" showErrorMessage="0" allowBlank="0" type="list">
      <formula1>=MonthList</formula1>
    </dataValidation>
  </dataValidations>
  <printOptions horizontalCentered="1"/>
  <pageMargins left="0.4" right="0.4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I94"/>
  <sheetViews>
    <sheetView showGridLines="0" rightToLeft="1" tabSelected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20" customWidth="1" min="4" max="4"/>
    <col width="34" customWidth="1" min="5" max="5"/>
    <col width="15" customWidth="1" min="6" max="6"/>
    <col width="14" customWidth="1" min="7" max="7"/>
    <col width="14" customWidth="1" min="8" max="8"/>
    <col width="11" customWidth="1" min="9" max="9"/>
    <col width="2" customWidth="1" min="10" max="10"/>
  </cols>
  <sheetData>
    <row r="1" ht="34" customHeight="1">
      <c r="B1" s="1">
        <f>"تقرير "&amp;F4&amp;" للتفتيش البيئي — "&amp;D4</f>
        <v/>
      </c>
      <c r="C1" s="1" t="n"/>
      <c r="D1" s="1" t="n"/>
      <c r="E1" s="1" t="n"/>
      <c r="F1" s="1" t="n"/>
      <c r="G1" s="1" t="n"/>
      <c r="H1" s="1" t="n"/>
      <c r="I1" s="1" t="n"/>
    </row>
    <row r="2">
      <c r="B2" s="26">
        <f>OrgName&amp;"  |  "&amp;SectorName</f>
        <v/>
      </c>
      <c r="C2" s="26" t="n"/>
      <c r="D2" s="26" t="n"/>
      <c r="E2" s="26" t="n"/>
      <c r="F2" s="26" t="n"/>
      <c r="G2" s="26" t="n"/>
      <c r="H2" s="26" t="n"/>
      <c r="I2" s="26" t="n"/>
    </row>
    <row r="4">
      <c r="B4" s="27" t="inlineStr">
        <is>
          <t>السنة:</t>
        </is>
      </c>
      <c r="D4" s="59" t="n">
        <v>2026</v>
      </c>
      <c r="E4" s="60" t="inlineStr">
        <is>
          <t>الفترة:</t>
        </is>
      </c>
      <c r="F4" s="59" t="inlineStr">
        <is>
          <t>الربع الرابع</t>
        </is>
      </c>
      <c r="H4" s="61">
        <f>VLOOKUP(F4,PeriodTbl,2,FALSE)</f>
        <v/>
      </c>
      <c r="I4" s="61">
        <f>VLOOKUP(F4,PeriodTbl,3,FALSE)</f>
        <v/>
      </c>
    </row>
    <row r="5">
      <c r="B5" s="27" t="inlineStr">
        <is>
          <t>الفترة:</t>
        </is>
      </c>
      <c r="D5" s="31">
        <f>"من "&amp;TEXT(DATE(D4,H4,1),"yyyy/mm/dd")&amp;"  إلى "&amp;TEXT(EOMONTH(DATE(D4,I4,1),0),"yyyy/mm/dd")</f>
        <v/>
      </c>
    </row>
    <row r="6">
      <c r="B6" s="27" t="inlineStr">
        <is>
          <t>المفتش:</t>
        </is>
      </c>
      <c r="D6" s="31">
        <f>InspectorName</f>
        <v/>
      </c>
    </row>
    <row r="8" ht="22" customHeight="1">
      <c r="B8" s="32" t="inlineStr">
        <is>
          <t>الزيارات</t>
        </is>
      </c>
      <c r="C8" s="32" t="n"/>
      <c r="D8" s="33" t="inlineStr">
        <is>
          <t>المشاهدات البيئية</t>
        </is>
      </c>
      <c r="E8" s="34" t="inlineStr">
        <is>
          <t>المخالفات المحررة</t>
        </is>
      </c>
      <c r="F8" s="35" t="inlineStr">
        <is>
          <t>مشاهدات دون مخالف</t>
        </is>
      </c>
      <c r="G8" s="35" t="n"/>
      <c r="H8" s="36" t="inlineStr">
        <is>
          <t>زيارات بلا مشاهدات</t>
        </is>
      </c>
      <c r="I8" s="36" t="n"/>
    </row>
    <row r="9" ht="42" customHeight="1">
      <c r="B9" s="37">
        <f>SUMIFS(L_NewVisit,L_Year,$D$4,L_Month,"&gt;="&amp;$H$4,L_Month,"&lt;="&amp;$I$4)</f>
        <v/>
      </c>
      <c r="C9" s="37" t="n"/>
      <c r="D9" s="38">
        <f>SUMIFS(L_Obs,L_Year,$D$4,L_Month,"&gt;="&amp;$H$4,L_Month,"&lt;="&amp;$I$4)</f>
        <v/>
      </c>
      <c r="E9" s="39">
        <f>SUMIFS(L_Viol,L_Year,$D$4,L_Month,"&gt;="&amp;$H$4,L_Month,"&lt;="&amp;$I$4)</f>
        <v/>
      </c>
      <c r="F9" s="40">
        <f>COUNTIFS(L_Year,$D$4,L_Month,"&gt;="&amp;$H$4,L_Month,"&lt;="&amp;$I$4,L_Act,"مشاهدة فقط")</f>
        <v/>
      </c>
      <c r="G9" s="40" t="n"/>
      <c r="H9" s="41">
        <f>COUNTIFS(L_Year,$D$4,L_Month,"&gt;="&amp;$H$4,L_Month,"&lt;="&amp;$I$4,L_Type,"لا توجد مشاهدات")</f>
        <v/>
      </c>
      <c r="I9" s="41" t="n"/>
    </row>
    <row r="11">
      <c r="B11" s="42" t="inlineStr">
        <is>
          <t>حسب الشهر</t>
        </is>
      </c>
      <c r="C11" s="42" t="n"/>
      <c r="D11" s="42" t="n"/>
      <c r="E11" s="42" t="n"/>
      <c r="F11" s="42" t="n"/>
      <c r="G11" s="42" t="n"/>
      <c r="H11" s="42" t="n"/>
      <c r="I11" s="42" t="n"/>
    </row>
    <row r="12" ht="26" customHeight="1">
      <c r="B12" s="43" t="inlineStr">
        <is>
          <t>الشهر</t>
        </is>
      </c>
      <c r="C12" s="50" t="n"/>
      <c r="D12" s="43" t="inlineStr">
        <is>
          <t>الزيارات</t>
        </is>
      </c>
      <c r="E12" s="43" t="inlineStr">
        <is>
          <t>المشاهدات البيئية</t>
        </is>
      </c>
      <c r="F12" s="43" t="inlineStr">
        <is>
          <t>مخالفات محررة</t>
        </is>
      </c>
      <c r="G12" s="43" t="inlineStr">
        <is>
          <t>دون مخالف</t>
        </is>
      </c>
      <c r="H12" s="43" t="inlineStr">
        <is>
          <t>بلا مشاهدات</t>
        </is>
      </c>
      <c r="I12" s="43" t="inlineStr">
        <is>
          <t>الصور</t>
        </is>
      </c>
    </row>
    <row r="13">
      <c r="B13" s="44">
        <f>IF(($H$4+0)&gt;$I$4,"",INDEX(MonthList,($H$4+0)))</f>
        <v/>
      </c>
      <c r="C13" s="44" t="n"/>
      <c r="D13" s="44">
        <f>IF($B13="","",SUMIFS(L_NewVisit,L_Year,$D$4,L_Month,($H$4+0)))</f>
        <v/>
      </c>
      <c r="E13" s="44">
        <f>IF($B13="","",SUMIFS(L_Obs,L_Year,$D$4,L_Month,($H$4+0)))</f>
        <v/>
      </c>
      <c r="F13" s="44">
        <f>IF($B13="","",SUMIFS(L_Viol,L_Year,$D$4,L_Month,($H$4+0)))</f>
        <v/>
      </c>
      <c r="G13" s="44">
        <f>IF($B13="","",COUNTIFS(L_Year,$D$4,L_Month,($H$4+0),L_Act,"مشاهدة فقط"))</f>
        <v/>
      </c>
      <c r="H13" s="44">
        <f>IF($B13="","",COUNTIFS(L_Year,$D$4,L_Month,($H$4+0),L_Type,"لا توجد مشاهدات"))</f>
        <v/>
      </c>
      <c r="I13" s="44">
        <f>IF($B13="","",SUMIFS(L_Pics,L_Year,$D$4,L_Month,($H$4+0)))</f>
        <v/>
      </c>
    </row>
    <row r="14">
      <c r="B14" s="46">
        <f>IF(($H$4+1)&gt;$I$4,"",INDEX(MonthList,($H$4+1)))</f>
        <v/>
      </c>
      <c r="C14" s="46" t="n"/>
      <c r="D14" s="46">
        <f>IF($B14="","",SUMIFS(L_NewVisit,L_Year,$D$4,L_Month,($H$4+1)))</f>
        <v/>
      </c>
      <c r="E14" s="46">
        <f>IF($B14="","",SUMIFS(L_Obs,L_Year,$D$4,L_Month,($H$4+1)))</f>
        <v/>
      </c>
      <c r="F14" s="46">
        <f>IF($B14="","",SUMIFS(L_Viol,L_Year,$D$4,L_Month,($H$4+1)))</f>
        <v/>
      </c>
      <c r="G14" s="46">
        <f>IF($B14="","",COUNTIFS(L_Year,$D$4,L_Month,($H$4+1),L_Act,"مشاهدة فقط"))</f>
        <v/>
      </c>
      <c r="H14" s="46">
        <f>IF($B14="","",COUNTIFS(L_Year,$D$4,L_Month,($H$4+1),L_Type,"لا توجد مشاهدات"))</f>
        <v/>
      </c>
      <c r="I14" s="46">
        <f>IF($B14="","",SUMIFS(L_Pics,L_Year,$D$4,L_Month,($H$4+1)))</f>
        <v/>
      </c>
    </row>
    <row r="15">
      <c r="B15" s="44">
        <f>IF(($H$4+2)&gt;$I$4,"",INDEX(MonthList,($H$4+2)))</f>
        <v/>
      </c>
      <c r="C15" s="44" t="n"/>
      <c r="D15" s="44">
        <f>IF($B15="","",SUMIFS(L_NewVisit,L_Year,$D$4,L_Month,($H$4+2)))</f>
        <v/>
      </c>
      <c r="E15" s="44">
        <f>IF($B15="","",SUMIFS(L_Obs,L_Year,$D$4,L_Month,($H$4+2)))</f>
        <v/>
      </c>
      <c r="F15" s="44">
        <f>IF($B15="","",SUMIFS(L_Viol,L_Year,$D$4,L_Month,($H$4+2)))</f>
        <v/>
      </c>
      <c r="G15" s="44">
        <f>IF($B15="","",COUNTIFS(L_Year,$D$4,L_Month,($H$4+2),L_Act,"مشاهدة فقط"))</f>
        <v/>
      </c>
      <c r="H15" s="44">
        <f>IF($B15="","",COUNTIFS(L_Year,$D$4,L_Month,($H$4+2),L_Type,"لا توجد مشاهدات"))</f>
        <v/>
      </c>
      <c r="I15" s="44">
        <f>IF($B15="","",SUMIFS(L_Pics,L_Year,$D$4,L_Month,($H$4+2)))</f>
        <v/>
      </c>
    </row>
    <row r="16">
      <c r="B16" s="46">
        <f>IF(($H$4+3)&gt;$I$4,"",INDEX(MonthList,($H$4+3)))</f>
        <v/>
      </c>
      <c r="C16" s="46" t="n"/>
      <c r="D16" s="46">
        <f>IF($B16="","",SUMIFS(L_NewVisit,L_Year,$D$4,L_Month,($H$4+3)))</f>
        <v/>
      </c>
      <c r="E16" s="46">
        <f>IF($B16="","",SUMIFS(L_Obs,L_Year,$D$4,L_Month,($H$4+3)))</f>
        <v/>
      </c>
      <c r="F16" s="46">
        <f>IF($B16="","",SUMIFS(L_Viol,L_Year,$D$4,L_Month,($H$4+3)))</f>
        <v/>
      </c>
      <c r="G16" s="46">
        <f>IF($B16="","",COUNTIFS(L_Year,$D$4,L_Month,($H$4+3),L_Act,"مشاهدة فقط"))</f>
        <v/>
      </c>
      <c r="H16" s="46">
        <f>IF($B16="","",COUNTIFS(L_Year,$D$4,L_Month,($H$4+3),L_Type,"لا توجد مشاهدات"))</f>
        <v/>
      </c>
      <c r="I16" s="46">
        <f>IF($B16="","",SUMIFS(L_Pics,L_Year,$D$4,L_Month,($H$4+3)))</f>
        <v/>
      </c>
    </row>
    <row r="17">
      <c r="B17" s="44">
        <f>IF(($H$4+4)&gt;$I$4,"",INDEX(MonthList,($H$4+4)))</f>
        <v/>
      </c>
      <c r="C17" s="44" t="n"/>
      <c r="D17" s="44">
        <f>IF($B17="","",SUMIFS(L_NewVisit,L_Year,$D$4,L_Month,($H$4+4)))</f>
        <v/>
      </c>
      <c r="E17" s="44">
        <f>IF($B17="","",SUMIFS(L_Obs,L_Year,$D$4,L_Month,($H$4+4)))</f>
        <v/>
      </c>
      <c r="F17" s="44">
        <f>IF($B17="","",SUMIFS(L_Viol,L_Year,$D$4,L_Month,($H$4+4)))</f>
        <v/>
      </c>
      <c r="G17" s="44">
        <f>IF($B17="","",COUNTIFS(L_Year,$D$4,L_Month,($H$4+4),L_Act,"مشاهدة فقط"))</f>
        <v/>
      </c>
      <c r="H17" s="44">
        <f>IF($B17="","",COUNTIFS(L_Year,$D$4,L_Month,($H$4+4),L_Type,"لا توجد مشاهدات"))</f>
        <v/>
      </c>
      <c r="I17" s="44">
        <f>IF($B17="","",SUMIFS(L_Pics,L_Year,$D$4,L_Month,($H$4+4)))</f>
        <v/>
      </c>
    </row>
    <row r="18">
      <c r="B18" s="46">
        <f>IF(($H$4+5)&gt;$I$4,"",INDEX(MonthList,($H$4+5)))</f>
        <v/>
      </c>
      <c r="C18" s="46" t="n"/>
      <c r="D18" s="46">
        <f>IF($B18="","",SUMIFS(L_NewVisit,L_Year,$D$4,L_Month,($H$4+5)))</f>
        <v/>
      </c>
      <c r="E18" s="46">
        <f>IF($B18="","",SUMIFS(L_Obs,L_Year,$D$4,L_Month,($H$4+5)))</f>
        <v/>
      </c>
      <c r="F18" s="46">
        <f>IF($B18="","",SUMIFS(L_Viol,L_Year,$D$4,L_Month,($H$4+5)))</f>
        <v/>
      </c>
      <c r="G18" s="46">
        <f>IF($B18="","",COUNTIFS(L_Year,$D$4,L_Month,($H$4+5),L_Act,"مشاهدة فقط"))</f>
        <v/>
      </c>
      <c r="H18" s="46">
        <f>IF($B18="","",COUNTIFS(L_Year,$D$4,L_Month,($H$4+5),L_Type,"لا توجد مشاهدات"))</f>
        <v/>
      </c>
      <c r="I18" s="46">
        <f>IF($B18="","",SUMIFS(L_Pics,L_Year,$D$4,L_Month,($H$4+5)))</f>
        <v/>
      </c>
    </row>
    <row r="19">
      <c r="B19" s="44">
        <f>IF(($H$4+6)&gt;$I$4,"",INDEX(MonthList,($H$4+6)))</f>
        <v/>
      </c>
      <c r="C19" s="44" t="n"/>
      <c r="D19" s="44">
        <f>IF($B19="","",SUMIFS(L_NewVisit,L_Year,$D$4,L_Month,($H$4+6)))</f>
        <v/>
      </c>
      <c r="E19" s="44">
        <f>IF($B19="","",SUMIFS(L_Obs,L_Year,$D$4,L_Month,($H$4+6)))</f>
        <v/>
      </c>
      <c r="F19" s="44">
        <f>IF($B19="","",SUMIFS(L_Viol,L_Year,$D$4,L_Month,($H$4+6)))</f>
        <v/>
      </c>
      <c r="G19" s="44">
        <f>IF($B19="","",COUNTIFS(L_Year,$D$4,L_Month,($H$4+6),L_Act,"مشاهدة فقط"))</f>
        <v/>
      </c>
      <c r="H19" s="44">
        <f>IF($B19="","",COUNTIFS(L_Year,$D$4,L_Month,($H$4+6),L_Type,"لا توجد مشاهدات"))</f>
        <v/>
      </c>
      <c r="I19" s="44">
        <f>IF($B19="","",SUMIFS(L_Pics,L_Year,$D$4,L_Month,($H$4+6)))</f>
        <v/>
      </c>
    </row>
    <row r="20">
      <c r="B20" s="46">
        <f>IF(($H$4+7)&gt;$I$4,"",INDEX(MonthList,($H$4+7)))</f>
        <v/>
      </c>
      <c r="C20" s="46" t="n"/>
      <c r="D20" s="46">
        <f>IF($B20="","",SUMIFS(L_NewVisit,L_Year,$D$4,L_Month,($H$4+7)))</f>
        <v/>
      </c>
      <c r="E20" s="46">
        <f>IF($B20="","",SUMIFS(L_Obs,L_Year,$D$4,L_Month,($H$4+7)))</f>
        <v/>
      </c>
      <c r="F20" s="46">
        <f>IF($B20="","",SUMIFS(L_Viol,L_Year,$D$4,L_Month,($H$4+7)))</f>
        <v/>
      </c>
      <c r="G20" s="46">
        <f>IF($B20="","",COUNTIFS(L_Year,$D$4,L_Month,($H$4+7),L_Act,"مشاهدة فقط"))</f>
        <v/>
      </c>
      <c r="H20" s="46">
        <f>IF($B20="","",COUNTIFS(L_Year,$D$4,L_Month,($H$4+7),L_Type,"لا توجد مشاهدات"))</f>
        <v/>
      </c>
      <c r="I20" s="46">
        <f>IF($B20="","",SUMIFS(L_Pics,L_Year,$D$4,L_Month,($H$4+7)))</f>
        <v/>
      </c>
    </row>
    <row r="21">
      <c r="B21" s="44">
        <f>IF(($H$4+8)&gt;$I$4,"",INDEX(MonthList,($H$4+8)))</f>
        <v/>
      </c>
      <c r="C21" s="44" t="n"/>
      <c r="D21" s="44">
        <f>IF($B21="","",SUMIFS(L_NewVisit,L_Year,$D$4,L_Month,($H$4+8)))</f>
        <v/>
      </c>
      <c r="E21" s="44">
        <f>IF($B21="","",SUMIFS(L_Obs,L_Year,$D$4,L_Month,($H$4+8)))</f>
        <v/>
      </c>
      <c r="F21" s="44">
        <f>IF($B21="","",SUMIFS(L_Viol,L_Year,$D$4,L_Month,($H$4+8)))</f>
        <v/>
      </c>
      <c r="G21" s="44">
        <f>IF($B21="","",COUNTIFS(L_Year,$D$4,L_Month,($H$4+8),L_Act,"مشاهدة فقط"))</f>
        <v/>
      </c>
      <c r="H21" s="44">
        <f>IF($B21="","",COUNTIFS(L_Year,$D$4,L_Month,($H$4+8),L_Type,"لا توجد مشاهدات"))</f>
        <v/>
      </c>
      <c r="I21" s="44">
        <f>IF($B21="","",SUMIFS(L_Pics,L_Year,$D$4,L_Month,($H$4+8)))</f>
        <v/>
      </c>
    </row>
    <row r="22">
      <c r="B22" s="46">
        <f>IF(($H$4+9)&gt;$I$4,"",INDEX(MonthList,($H$4+9)))</f>
        <v/>
      </c>
      <c r="C22" s="46" t="n"/>
      <c r="D22" s="46">
        <f>IF($B22="","",SUMIFS(L_NewVisit,L_Year,$D$4,L_Month,($H$4+9)))</f>
        <v/>
      </c>
      <c r="E22" s="46">
        <f>IF($B22="","",SUMIFS(L_Obs,L_Year,$D$4,L_Month,($H$4+9)))</f>
        <v/>
      </c>
      <c r="F22" s="46">
        <f>IF($B22="","",SUMIFS(L_Viol,L_Year,$D$4,L_Month,($H$4+9)))</f>
        <v/>
      </c>
      <c r="G22" s="46">
        <f>IF($B22="","",COUNTIFS(L_Year,$D$4,L_Month,($H$4+9),L_Act,"مشاهدة فقط"))</f>
        <v/>
      </c>
      <c r="H22" s="46">
        <f>IF($B22="","",COUNTIFS(L_Year,$D$4,L_Month,($H$4+9),L_Type,"لا توجد مشاهدات"))</f>
        <v/>
      </c>
      <c r="I22" s="46">
        <f>IF($B22="","",SUMIFS(L_Pics,L_Year,$D$4,L_Month,($H$4+9)))</f>
        <v/>
      </c>
    </row>
    <row r="23">
      <c r="B23" s="44">
        <f>IF(($H$4+10)&gt;$I$4,"",INDEX(MonthList,($H$4+10)))</f>
        <v/>
      </c>
      <c r="C23" s="44" t="n"/>
      <c r="D23" s="44">
        <f>IF($B23="","",SUMIFS(L_NewVisit,L_Year,$D$4,L_Month,($H$4+10)))</f>
        <v/>
      </c>
      <c r="E23" s="44">
        <f>IF($B23="","",SUMIFS(L_Obs,L_Year,$D$4,L_Month,($H$4+10)))</f>
        <v/>
      </c>
      <c r="F23" s="44">
        <f>IF($B23="","",SUMIFS(L_Viol,L_Year,$D$4,L_Month,($H$4+10)))</f>
        <v/>
      </c>
      <c r="G23" s="44">
        <f>IF($B23="","",COUNTIFS(L_Year,$D$4,L_Month,($H$4+10),L_Act,"مشاهدة فقط"))</f>
        <v/>
      </c>
      <c r="H23" s="44">
        <f>IF($B23="","",COUNTIFS(L_Year,$D$4,L_Month,($H$4+10),L_Type,"لا توجد مشاهدات"))</f>
        <v/>
      </c>
      <c r="I23" s="44">
        <f>IF($B23="","",SUMIFS(L_Pics,L_Year,$D$4,L_Month,($H$4+10)))</f>
        <v/>
      </c>
    </row>
    <row r="24">
      <c r="B24" s="46">
        <f>IF(($H$4+11)&gt;$I$4,"",INDEX(MonthList,($H$4+11)))</f>
        <v/>
      </c>
      <c r="C24" s="46" t="n"/>
      <c r="D24" s="46">
        <f>IF($B24="","",SUMIFS(L_NewVisit,L_Year,$D$4,L_Month,($H$4+11)))</f>
        <v/>
      </c>
      <c r="E24" s="46">
        <f>IF($B24="","",SUMIFS(L_Obs,L_Year,$D$4,L_Month,($H$4+11)))</f>
        <v/>
      </c>
      <c r="F24" s="46">
        <f>IF($B24="","",SUMIFS(L_Viol,L_Year,$D$4,L_Month,($H$4+11)))</f>
        <v/>
      </c>
      <c r="G24" s="46">
        <f>IF($B24="","",COUNTIFS(L_Year,$D$4,L_Month,($H$4+11),L_Act,"مشاهدة فقط"))</f>
        <v/>
      </c>
      <c r="H24" s="46">
        <f>IF($B24="","",COUNTIFS(L_Year,$D$4,L_Month,($H$4+11),L_Type,"لا توجد مشاهدات"))</f>
        <v/>
      </c>
      <c r="I24" s="46">
        <f>IF($B24="","",SUMIFS(L_Pics,L_Year,$D$4,L_Month,($H$4+11)))</f>
        <v/>
      </c>
    </row>
    <row r="25">
      <c r="B25" s="48" t="inlineStr">
        <is>
          <t>الإجمالي</t>
        </is>
      </c>
      <c r="C25" s="48" t="n"/>
      <c r="D25" s="48">
        <f>SUM(D13:D24)</f>
        <v/>
      </c>
      <c r="E25" s="48">
        <f>SUM(E13:E24)</f>
        <v/>
      </c>
      <c r="F25" s="48">
        <f>SUM(F13:F24)</f>
        <v/>
      </c>
      <c r="G25" s="48">
        <f>SUM(G13:G24)</f>
        <v/>
      </c>
      <c r="H25" s="48">
        <f>SUM(H13:H24)</f>
        <v/>
      </c>
      <c r="I25" s="48">
        <f>SUM(I13:I24)</f>
        <v/>
      </c>
    </row>
    <row r="43">
      <c r="B43" s="42" t="inlineStr">
        <is>
          <t>حسب المنطقة</t>
        </is>
      </c>
      <c r="C43" s="42" t="n"/>
      <c r="D43" s="42" t="n"/>
      <c r="E43" s="42" t="n"/>
      <c r="F43" s="42" t="n"/>
      <c r="G43" s="42" t="n"/>
      <c r="H43" s="42" t="n"/>
      <c r="I43" s="42" t="n"/>
    </row>
    <row r="44" ht="26" customHeight="1">
      <c r="B44" s="43" t="inlineStr">
        <is>
          <t>المنطقة</t>
        </is>
      </c>
      <c r="C44" s="50" t="n"/>
      <c r="D44" s="43" t="inlineStr">
        <is>
          <t>الزيارات</t>
        </is>
      </c>
      <c r="E44" s="43" t="inlineStr">
        <is>
          <t>المشاهدات البيئية</t>
        </is>
      </c>
      <c r="F44" s="43" t="inlineStr">
        <is>
          <t>مخالفات محررة</t>
        </is>
      </c>
      <c r="G44" s="43" t="inlineStr">
        <is>
          <t>دون مخالف</t>
        </is>
      </c>
      <c r="H44" s="43" t="inlineStr">
        <is>
          <t>بلا مشاهدات</t>
        </is>
      </c>
      <c r="I44" s="43" t="inlineStr">
        <is>
          <t>النسبة</t>
        </is>
      </c>
    </row>
    <row r="45">
      <c r="B45" s="44">
        <f>IF(INDEX(AreaHdr,1)="","",INDEX(AreaHdr,1))</f>
        <v/>
      </c>
      <c r="C45" s="44" t="n"/>
      <c r="D45" s="44">
        <f>IF($B45="","",SUMIFS(L_NewVisit,L_Year,$D$4,L_Month,"&gt;="&amp;$H$4,L_Month,"&lt;="&amp;$I$4,L_Area,$B45))</f>
        <v/>
      </c>
      <c r="E45" s="44">
        <f>IF($B45="","",SUMIFS(L_Obs,L_Year,$D$4,L_Month,"&gt;="&amp;$H$4,L_Month,"&lt;="&amp;$I$4,L_Area,$B45))</f>
        <v/>
      </c>
      <c r="F45" s="44">
        <f>IF($B45="","",SUMIFS(L_Viol,L_Year,$D$4,L_Month,"&gt;="&amp;$H$4,L_Month,"&lt;="&amp;$I$4,L_Area,$B45))</f>
        <v/>
      </c>
      <c r="G45" s="44">
        <f>IF($B45="","",COUNTIFS(L_Year,$D$4,L_Month,"&gt;="&amp;$H$4,L_Month,"&lt;="&amp;$I$4,L_Area,$B45,L_Act,"مشاهدة فقط"))</f>
        <v/>
      </c>
      <c r="H45" s="44">
        <f>IF($B45="","",COUNTIFS(L_Year,$D$4,L_Month,"&gt;="&amp;$H$4,L_Month,"&lt;="&amp;$I$4,L_Area,$B45,L_Type,"لا توجد مشاهدات"))</f>
        <v/>
      </c>
      <c r="I45" s="52">
        <f>IF(OR($B45="",SUM($D$45:$D$54)=0),"",D45/SUM($D$45:$D$54))</f>
        <v/>
      </c>
    </row>
    <row r="46">
      <c r="B46" s="46">
        <f>IF(INDEX(AreaHdr,2)="","",INDEX(AreaHdr,2))</f>
        <v/>
      </c>
      <c r="C46" s="46" t="n"/>
      <c r="D46" s="46">
        <f>IF($B46="","",SUMIFS(L_NewVisit,L_Year,$D$4,L_Month,"&gt;="&amp;$H$4,L_Month,"&lt;="&amp;$I$4,L_Area,$B46))</f>
        <v/>
      </c>
      <c r="E46" s="46">
        <f>IF($B46="","",SUMIFS(L_Obs,L_Year,$D$4,L_Month,"&gt;="&amp;$H$4,L_Month,"&lt;="&amp;$I$4,L_Area,$B46))</f>
        <v/>
      </c>
      <c r="F46" s="46">
        <f>IF($B46="","",SUMIFS(L_Viol,L_Year,$D$4,L_Month,"&gt;="&amp;$H$4,L_Month,"&lt;="&amp;$I$4,L_Area,$B46))</f>
        <v/>
      </c>
      <c r="G46" s="46">
        <f>IF($B46="","",COUNTIFS(L_Year,$D$4,L_Month,"&gt;="&amp;$H$4,L_Month,"&lt;="&amp;$I$4,L_Area,$B46,L_Act,"مشاهدة فقط"))</f>
        <v/>
      </c>
      <c r="H46" s="46">
        <f>IF($B46="","",COUNTIFS(L_Year,$D$4,L_Month,"&gt;="&amp;$H$4,L_Month,"&lt;="&amp;$I$4,L_Area,$B46,L_Type,"لا توجد مشاهدات"))</f>
        <v/>
      </c>
      <c r="I46" s="54">
        <f>IF(OR($B46="",SUM($D$45:$D$54)=0),"",D46/SUM($D$45:$D$54))</f>
        <v/>
      </c>
    </row>
    <row r="47">
      <c r="B47" s="44">
        <f>IF(INDEX(AreaHdr,3)="","",INDEX(AreaHdr,3))</f>
        <v/>
      </c>
      <c r="C47" s="44" t="n"/>
      <c r="D47" s="44">
        <f>IF($B47="","",SUMIFS(L_NewVisit,L_Year,$D$4,L_Month,"&gt;="&amp;$H$4,L_Month,"&lt;="&amp;$I$4,L_Area,$B47))</f>
        <v/>
      </c>
      <c r="E47" s="44">
        <f>IF($B47="","",SUMIFS(L_Obs,L_Year,$D$4,L_Month,"&gt;="&amp;$H$4,L_Month,"&lt;="&amp;$I$4,L_Area,$B47))</f>
        <v/>
      </c>
      <c r="F47" s="44">
        <f>IF($B47="","",SUMIFS(L_Viol,L_Year,$D$4,L_Month,"&gt;="&amp;$H$4,L_Month,"&lt;="&amp;$I$4,L_Area,$B47))</f>
        <v/>
      </c>
      <c r="G47" s="44">
        <f>IF($B47="","",COUNTIFS(L_Year,$D$4,L_Month,"&gt;="&amp;$H$4,L_Month,"&lt;="&amp;$I$4,L_Area,$B47,L_Act,"مشاهدة فقط"))</f>
        <v/>
      </c>
      <c r="H47" s="44">
        <f>IF($B47="","",COUNTIFS(L_Year,$D$4,L_Month,"&gt;="&amp;$H$4,L_Month,"&lt;="&amp;$I$4,L_Area,$B47,L_Type,"لا توجد مشاهدات"))</f>
        <v/>
      </c>
      <c r="I47" s="52">
        <f>IF(OR($B47="",SUM($D$45:$D$54)=0),"",D47/SUM($D$45:$D$54))</f>
        <v/>
      </c>
    </row>
    <row r="48">
      <c r="B48" s="46">
        <f>IF(INDEX(AreaHdr,4)="","",INDEX(AreaHdr,4))</f>
        <v/>
      </c>
      <c r="C48" s="46" t="n"/>
      <c r="D48" s="46">
        <f>IF($B48="","",SUMIFS(L_NewVisit,L_Year,$D$4,L_Month,"&gt;="&amp;$H$4,L_Month,"&lt;="&amp;$I$4,L_Area,$B48))</f>
        <v/>
      </c>
      <c r="E48" s="46">
        <f>IF($B48="","",SUMIFS(L_Obs,L_Year,$D$4,L_Month,"&gt;="&amp;$H$4,L_Month,"&lt;="&amp;$I$4,L_Area,$B48))</f>
        <v/>
      </c>
      <c r="F48" s="46">
        <f>IF($B48="","",SUMIFS(L_Viol,L_Year,$D$4,L_Month,"&gt;="&amp;$H$4,L_Month,"&lt;="&amp;$I$4,L_Area,$B48))</f>
        <v/>
      </c>
      <c r="G48" s="46">
        <f>IF($B48="","",COUNTIFS(L_Year,$D$4,L_Month,"&gt;="&amp;$H$4,L_Month,"&lt;="&amp;$I$4,L_Area,$B48,L_Act,"مشاهدة فقط"))</f>
        <v/>
      </c>
      <c r="H48" s="46">
        <f>IF($B48="","",COUNTIFS(L_Year,$D$4,L_Month,"&gt;="&amp;$H$4,L_Month,"&lt;="&amp;$I$4,L_Area,$B48,L_Type,"لا توجد مشاهدات"))</f>
        <v/>
      </c>
      <c r="I48" s="54">
        <f>IF(OR($B48="",SUM($D$45:$D$54)=0),"",D48/SUM($D$45:$D$54))</f>
        <v/>
      </c>
    </row>
    <row r="49">
      <c r="B49" s="44">
        <f>IF(INDEX(AreaHdr,5)="","",INDEX(AreaHdr,5))</f>
        <v/>
      </c>
      <c r="C49" s="44" t="n"/>
      <c r="D49" s="44">
        <f>IF($B49="","",SUMIFS(L_NewVisit,L_Year,$D$4,L_Month,"&gt;="&amp;$H$4,L_Month,"&lt;="&amp;$I$4,L_Area,$B49))</f>
        <v/>
      </c>
      <c r="E49" s="44">
        <f>IF($B49="","",SUMIFS(L_Obs,L_Year,$D$4,L_Month,"&gt;="&amp;$H$4,L_Month,"&lt;="&amp;$I$4,L_Area,$B49))</f>
        <v/>
      </c>
      <c r="F49" s="44">
        <f>IF($B49="","",SUMIFS(L_Viol,L_Year,$D$4,L_Month,"&gt;="&amp;$H$4,L_Month,"&lt;="&amp;$I$4,L_Area,$B49))</f>
        <v/>
      </c>
      <c r="G49" s="44">
        <f>IF($B49="","",COUNTIFS(L_Year,$D$4,L_Month,"&gt;="&amp;$H$4,L_Month,"&lt;="&amp;$I$4,L_Area,$B49,L_Act,"مشاهدة فقط"))</f>
        <v/>
      </c>
      <c r="H49" s="44">
        <f>IF($B49="","",COUNTIFS(L_Year,$D$4,L_Month,"&gt;="&amp;$H$4,L_Month,"&lt;="&amp;$I$4,L_Area,$B49,L_Type,"لا توجد مشاهدات"))</f>
        <v/>
      </c>
      <c r="I49" s="52">
        <f>IF(OR($B49="",SUM($D$45:$D$54)=0),"",D49/SUM($D$45:$D$54))</f>
        <v/>
      </c>
    </row>
    <row r="50">
      <c r="B50" s="46">
        <f>IF(INDEX(AreaHdr,6)="","",INDEX(AreaHdr,6))</f>
        <v/>
      </c>
      <c r="C50" s="46" t="n"/>
      <c r="D50" s="46">
        <f>IF($B50="","",SUMIFS(L_NewVisit,L_Year,$D$4,L_Month,"&gt;="&amp;$H$4,L_Month,"&lt;="&amp;$I$4,L_Area,$B50))</f>
        <v/>
      </c>
      <c r="E50" s="46">
        <f>IF($B50="","",SUMIFS(L_Obs,L_Year,$D$4,L_Month,"&gt;="&amp;$H$4,L_Month,"&lt;="&amp;$I$4,L_Area,$B50))</f>
        <v/>
      </c>
      <c r="F50" s="46">
        <f>IF($B50="","",SUMIFS(L_Viol,L_Year,$D$4,L_Month,"&gt;="&amp;$H$4,L_Month,"&lt;="&amp;$I$4,L_Area,$B50))</f>
        <v/>
      </c>
      <c r="G50" s="46">
        <f>IF($B50="","",COUNTIFS(L_Year,$D$4,L_Month,"&gt;="&amp;$H$4,L_Month,"&lt;="&amp;$I$4,L_Area,$B50,L_Act,"مشاهدة فقط"))</f>
        <v/>
      </c>
      <c r="H50" s="46">
        <f>IF($B50="","",COUNTIFS(L_Year,$D$4,L_Month,"&gt;="&amp;$H$4,L_Month,"&lt;="&amp;$I$4,L_Area,$B50,L_Type,"لا توجد مشاهدات"))</f>
        <v/>
      </c>
      <c r="I50" s="54">
        <f>IF(OR($B50="",SUM($D$45:$D$54)=0),"",D50/SUM($D$45:$D$54))</f>
        <v/>
      </c>
    </row>
    <row r="51">
      <c r="B51" s="44">
        <f>IF(INDEX(AreaHdr,7)="","",INDEX(AreaHdr,7))</f>
        <v/>
      </c>
      <c r="C51" s="44" t="n"/>
      <c r="D51" s="44">
        <f>IF($B51="","",SUMIFS(L_NewVisit,L_Year,$D$4,L_Month,"&gt;="&amp;$H$4,L_Month,"&lt;="&amp;$I$4,L_Area,$B51))</f>
        <v/>
      </c>
      <c r="E51" s="44">
        <f>IF($B51="","",SUMIFS(L_Obs,L_Year,$D$4,L_Month,"&gt;="&amp;$H$4,L_Month,"&lt;="&amp;$I$4,L_Area,$B51))</f>
        <v/>
      </c>
      <c r="F51" s="44">
        <f>IF($B51="","",SUMIFS(L_Viol,L_Year,$D$4,L_Month,"&gt;="&amp;$H$4,L_Month,"&lt;="&amp;$I$4,L_Area,$B51))</f>
        <v/>
      </c>
      <c r="G51" s="44">
        <f>IF($B51="","",COUNTIFS(L_Year,$D$4,L_Month,"&gt;="&amp;$H$4,L_Month,"&lt;="&amp;$I$4,L_Area,$B51,L_Act,"مشاهدة فقط"))</f>
        <v/>
      </c>
      <c r="H51" s="44">
        <f>IF($B51="","",COUNTIFS(L_Year,$D$4,L_Month,"&gt;="&amp;$H$4,L_Month,"&lt;="&amp;$I$4,L_Area,$B51,L_Type,"لا توجد مشاهدات"))</f>
        <v/>
      </c>
      <c r="I51" s="52">
        <f>IF(OR($B51="",SUM($D$45:$D$54)=0),"",D51/SUM($D$45:$D$54))</f>
        <v/>
      </c>
    </row>
    <row r="52">
      <c r="B52" s="46">
        <f>IF(INDEX(AreaHdr,8)="","",INDEX(AreaHdr,8))</f>
        <v/>
      </c>
      <c r="C52" s="46" t="n"/>
      <c r="D52" s="46">
        <f>IF($B52="","",SUMIFS(L_NewVisit,L_Year,$D$4,L_Month,"&gt;="&amp;$H$4,L_Month,"&lt;="&amp;$I$4,L_Area,$B52))</f>
        <v/>
      </c>
      <c r="E52" s="46">
        <f>IF($B52="","",SUMIFS(L_Obs,L_Year,$D$4,L_Month,"&gt;="&amp;$H$4,L_Month,"&lt;="&amp;$I$4,L_Area,$B52))</f>
        <v/>
      </c>
      <c r="F52" s="46">
        <f>IF($B52="","",SUMIFS(L_Viol,L_Year,$D$4,L_Month,"&gt;="&amp;$H$4,L_Month,"&lt;="&amp;$I$4,L_Area,$B52))</f>
        <v/>
      </c>
      <c r="G52" s="46">
        <f>IF($B52="","",COUNTIFS(L_Year,$D$4,L_Month,"&gt;="&amp;$H$4,L_Month,"&lt;="&amp;$I$4,L_Area,$B52,L_Act,"مشاهدة فقط"))</f>
        <v/>
      </c>
      <c r="H52" s="46">
        <f>IF($B52="","",COUNTIFS(L_Year,$D$4,L_Month,"&gt;="&amp;$H$4,L_Month,"&lt;="&amp;$I$4,L_Area,$B52,L_Type,"لا توجد مشاهدات"))</f>
        <v/>
      </c>
      <c r="I52" s="54">
        <f>IF(OR($B52="",SUM($D$45:$D$54)=0),"",D52/SUM($D$45:$D$54))</f>
        <v/>
      </c>
    </row>
    <row r="53">
      <c r="B53" s="44">
        <f>IF(INDEX(AreaHdr,9)="","",INDEX(AreaHdr,9))</f>
        <v/>
      </c>
      <c r="C53" s="44" t="n"/>
      <c r="D53" s="44">
        <f>IF($B53="","",SUMIFS(L_NewVisit,L_Year,$D$4,L_Month,"&gt;="&amp;$H$4,L_Month,"&lt;="&amp;$I$4,L_Area,$B53))</f>
        <v/>
      </c>
      <c r="E53" s="44">
        <f>IF($B53="","",SUMIFS(L_Obs,L_Year,$D$4,L_Month,"&gt;="&amp;$H$4,L_Month,"&lt;="&amp;$I$4,L_Area,$B53))</f>
        <v/>
      </c>
      <c r="F53" s="44">
        <f>IF($B53="","",SUMIFS(L_Viol,L_Year,$D$4,L_Month,"&gt;="&amp;$H$4,L_Month,"&lt;="&amp;$I$4,L_Area,$B53))</f>
        <v/>
      </c>
      <c r="G53" s="44">
        <f>IF($B53="","",COUNTIFS(L_Year,$D$4,L_Month,"&gt;="&amp;$H$4,L_Month,"&lt;="&amp;$I$4,L_Area,$B53,L_Act,"مشاهدة فقط"))</f>
        <v/>
      </c>
      <c r="H53" s="44">
        <f>IF($B53="","",COUNTIFS(L_Year,$D$4,L_Month,"&gt;="&amp;$H$4,L_Month,"&lt;="&amp;$I$4,L_Area,$B53,L_Type,"لا توجد مشاهدات"))</f>
        <v/>
      </c>
      <c r="I53" s="52">
        <f>IF(OR($B53="",SUM($D$45:$D$54)=0),"",D53/SUM($D$45:$D$54))</f>
        <v/>
      </c>
    </row>
    <row r="54">
      <c r="B54" s="46">
        <f>IF(INDEX(AreaHdr,10)="","",INDEX(AreaHdr,10))</f>
        <v/>
      </c>
      <c r="C54" s="46" t="n"/>
      <c r="D54" s="46">
        <f>IF($B54="","",SUMIFS(L_NewVisit,L_Year,$D$4,L_Month,"&gt;="&amp;$H$4,L_Month,"&lt;="&amp;$I$4,L_Area,$B54))</f>
        <v/>
      </c>
      <c r="E54" s="46">
        <f>IF($B54="","",SUMIFS(L_Obs,L_Year,$D$4,L_Month,"&gt;="&amp;$H$4,L_Month,"&lt;="&amp;$I$4,L_Area,$B54))</f>
        <v/>
      </c>
      <c r="F54" s="46">
        <f>IF($B54="","",SUMIFS(L_Viol,L_Year,$D$4,L_Month,"&gt;="&amp;$H$4,L_Month,"&lt;="&amp;$I$4,L_Area,$B54))</f>
        <v/>
      </c>
      <c r="G54" s="46">
        <f>IF($B54="","",COUNTIFS(L_Year,$D$4,L_Month,"&gt;="&amp;$H$4,L_Month,"&lt;="&amp;$I$4,L_Area,$B54,L_Act,"مشاهدة فقط"))</f>
        <v/>
      </c>
      <c r="H54" s="46">
        <f>IF($B54="","",COUNTIFS(L_Year,$D$4,L_Month,"&gt;="&amp;$H$4,L_Month,"&lt;="&amp;$I$4,L_Area,$B54,L_Type,"لا توجد مشاهدات"))</f>
        <v/>
      </c>
      <c r="I54" s="54">
        <f>IF(OR($B54="",SUM($D$45:$D$54)=0),"",D54/SUM($D$45:$D$54))</f>
        <v/>
      </c>
    </row>
    <row r="55">
      <c r="B55" s="48" t="inlineStr">
        <is>
          <t>الإجمالي</t>
        </is>
      </c>
      <c r="C55" s="48" t="n"/>
      <c r="D55" s="48">
        <f>SUM(D45:D54)</f>
        <v/>
      </c>
      <c r="E55" s="48">
        <f>SUM(E45:E54)</f>
        <v/>
      </c>
      <c r="F55" s="48">
        <f>SUM(F45:F54)</f>
        <v/>
      </c>
      <c r="G55" s="48">
        <f>SUM(G45:G54)</f>
        <v/>
      </c>
      <c r="H55" s="48">
        <f>SUM(H45:H54)</f>
        <v/>
      </c>
      <c r="I55" s="48" t="n"/>
    </row>
    <row r="57">
      <c r="B57" s="42" t="inlineStr">
        <is>
          <t>حسب نوع المشاهدة</t>
        </is>
      </c>
      <c r="C57" s="42" t="n"/>
      <c r="D57" s="42" t="n"/>
      <c r="E57" s="42" t="n"/>
      <c r="F57" s="42" t="n"/>
      <c r="G57" s="42" t="n"/>
      <c r="H57" s="42" t="n"/>
      <c r="I57" s="42" t="n"/>
    </row>
    <row r="58" ht="26" customHeight="1">
      <c r="B58" s="43" t="inlineStr">
        <is>
          <t>نوع المشاهدة</t>
        </is>
      </c>
      <c r="C58" s="49" t="n"/>
      <c r="D58" s="49" t="n"/>
      <c r="E58" s="50" t="n"/>
      <c r="F58" s="43" t="inlineStr">
        <is>
          <t>العدد</t>
        </is>
      </c>
      <c r="G58" s="43" t="inlineStr">
        <is>
          <t>مخالفة محررة</t>
        </is>
      </c>
      <c r="H58" s="43" t="inlineStr">
        <is>
          <t>دون مخالف</t>
        </is>
      </c>
      <c r="I58" s="43" t="inlineStr">
        <is>
          <t>النسبة</t>
        </is>
      </c>
    </row>
    <row r="59">
      <c r="B59" s="51">
        <f>IF(INDEX('الإعدادات'!$L$12:$L$26,1)="","",INDEX('الإعدادات'!$L$12:$L$26,1))</f>
        <v/>
      </c>
      <c r="C59" s="44" t="n"/>
      <c r="D59" s="44" t="n"/>
      <c r="E59" s="44" t="n"/>
      <c r="F59" s="44">
        <f>IF($B59="","",COUNTIFS(L_Year,$D$4,L_Month,"&gt;="&amp;$H$4,L_Month,"&lt;="&amp;$I$4,L_Type,$B59))</f>
        <v/>
      </c>
      <c r="G59" s="44">
        <f>IF($B59="","",COUNTIFS(L_Year,$D$4,L_Month,"&gt;="&amp;$H$4,L_Month,"&lt;="&amp;$I$4,L_Type,$B59,L_Act,"تم تحرير مخالفة"))</f>
        <v/>
      </c>
      <c r="H59" s="44">
        <f>IF($B59="","",COUNTIFS(L_Year,$D$4,L_Month,"&gt;="&amp;$H$4,L_Month,"&lt;="&amp;$I$4,L_Type,$B59,L_Act,"مشاهدة فقط"))</f>
        <v/>
      </c>
      <c r="I59" s="52">
        <f>IF(OR($B59="",SUM($F$59:$F$68)=0),"",F59/SUM($F$59:$F$68))</f>
        <v/>
      </c>
    </row>
    <row r="60">
      <c r="B60" s="53">
        <f>IF(INDEX('الإعدادات'!$L$12:$L$26,2)="","",INDEX('الإعدادات'!$L$12:$L$26,2))</f>
        <v/>
      </c>
      <c r="C60" s="46" t="n"/>
      <c r="D60" s="46" t="n"/>
      <c r="E60" s="46" t="n"/>
      <c r="F60" s="46">
        <f>IF($B60="","",COUNTIFS(L_Year,$D$4,L_Month,"&gt;="&amp;$H$4,L_Month,"&lt;="&amp;$I$4,L_Type,$B60))</f>
        <v/>
      </c>
      <c r="G60" s="46">
        <f>IF($B60="","",COUNTIFS(L_Year,$D$4,L_Month,"&gt;="&amp;$H$4,L_Month,"&lt;="&amp;$I$4,L_Type,$B60,L_Act,"تم تحرير مخالفة"))</f>
        <v/>
      </c>
      <c r="H60" s="46">
        <f>IF($B60="","",COUNTIFS(L_Year,$D$4,L_Month,"&gt;="&amp;$H$4,L_Month,"&lt;="&amp;$I$4,L_Type,$B60,L_Act,"مشاهدة فقط"))</f>
        <v/>
      </c>
      <c r="I60" s="54">
        <f>IF(OR($B60="",SUM($F$59:$F$68)=0),"",F60/SUM($F$59:$F$68))</f>
        <v/>
      </c>
    </row>
    <row r="61">
      <c r="B61" s="51">
        <f>IF(INDEX('الإعدادات'!$L$12:$L$26,3)="","",INDEX('الإعدادات'!$L$12:$L$26,3))</f>
        <v/>
      </c>
      <c r="C61" s="44" t="n"/>
      <c r="D61" s="44" t="n"/>
      <c r="E61" s="44" t="n"/>
      <c r="F61" s="44">
        <f>IF($B61="","",COUNTIFS(L_Year,$D$4,L_Month,"&gt;="&amp;$H$4,L_Month,"&lt;="&amp;$I$4,L_Type,$B61))</f>
        <v/>
      </c>
      <c r="G61" s="44">
        <f>IF($B61="","",COUNTIFS(L_Year,$D$4,L_Month,"&gt;="&amp;$H$4,L_Month,"&lt;="&amp;$I$4,L_Type,$B61,L_Act,"تم تحرير مخالفة"))</f>
        <v/>
      </c>
      <c r="H61" s="44">
        <f>IF($B61="","",COUNTIFS(L_Year,$D$4,L_Month,"&gt;="&amp;$H$4,L_Month,"&lt;="&amp;$I$4,L_Type,$B61,L_Act,"مشاهدة فقط"))</f>
        <v/>
      </c>
      <c r="I61" s="52">
        <f>IF(OR($B61="",SUM($F$59:$F$68)=0),"",F61/SUM($F$59:$F$68))</f>
        <v/>
      </c>
    </row>
    <row r="62">
      <c r="B62" s="53">
        <f>IF(INDEX('الإعدادات'!$L$12:$L$26,4)="","",INDEX('الإعدادات'!$L$12:$L$26,4))</f>
        <v/>
      </c>
      <c r="C62" s="46" t="n"/>
      <c r="D62" s="46" t="n"/>
      <c r="E62" s="46" t="n"/>
      <c r="F62" s="46">
        <f>IF($B62="","",COUNTIFS(L_Year,$D$4,L_Month,"&gt;="&amp;$H$4,L_Month,"&lt;="&amp;$I$4,L_Type,$B62))</f>
        <v/>
      </c>
      <c r="G62" s="46">
        <f>IF($B62="","",COUNTIFS(L_Year,$D$4,L_Month,"&gt;="&amp;$H$4,L_Month,"&lt;="&amp;$I$4,L_Type,$B62,L_Act,"تم تحرير مخالفة"))</f>
        <v/>
      </c>
      <c r="H62" s="46">
        <f>IF($B62="","",COUNTIFS(L_Year,$D$4,L_Month,"&gt;="&amp;$H$4,L_Month,"&lt;="&amp;$I$4,L_Type,$B62,L_Act,"مشاهدة فقط"))</f>
        <v/>
      </c>
      <c r="I62" s="54">
        <f>IF(OR($B62="",SUM($F$59:$F$68)=0),"",F62/SUM($F$59:$F$68))</f>
        <v/>
      </c>
    </row>
    <row r="63">
      <c r="B63" s="51">
        <f>IF(INDEX('الإعدادات'!$L$12:$L$26,5)="","",INDEX('الإعدادات'!$L$12:$L$26,5))</f>
        <v/>
      </c>
      <c r="C63" s="44" t="n"/>
      <c r="D63" s="44" t="n"/>
      <c r="E63" s="44" t="n"/>
      <c r="F63" s="44">
        <f>IF($B63="","",COUNTIFS(L_Year,$D$4,L_Month,"&gt;="&amp;$H$4,L_Month,"&lt;="&amp;$I$4,L_Type,$B63))</f>
        <v/>
      </c>
      <c r="G63" s="44">
        <f>IF($B63="","",COUNTIFS(L_Year,$D$4,L_Month,"&gt;="&amp;$H$4,L_Month,"&lt;="&amp;$I$4,L_Type,$B63,L_Act,"تم تحرير مخالفة"))</f>
        <v/>
      </c>
      <c r="H63" s="44">
        <f>IF($B63="","",COUNTIFS(L_Year,$D$4,L_Month,"&gt;="&amp;$H$4,L_Month,"&lt;="&amp;$I$4,L_Type,$B63,L_Act,"مشاهدة فقط"))</f>
        <v/>
      </c>
      <c r="I63" s="52">
        <f>IF(OR($B63="",SUM($F$59:$F$68)=0),"",F63/SUM($F$59:$F$68))</f>
        <v/>
      </c>
    </row>
    <row r="64">
      <c r="B64" s="53">
        <f>IF(INDEX('الإعدادات'!$L$12:$L$26,6)="","",INDEX('الإعدادات'!$L$12:$L$26,6))</f>
        <v/>
      </c>
      <c r="C64" s="46" t="n"/>
      <c r="D64" s="46" t="n"/>
      <c r="E64" s="46" t="n"/>
      <c r="F64" s="46">
        <f>IF($B64="","",COUNTIFS(L_Year,$D$4,L_Month,"&gt;="&amp;$H$4,L_Month,"&lt;="&amp;$I$4,L_Type,$B64))</f>
        <v/>
      </c>
      <c r="G64" s="46">
        <f>IF($B64="","",COUNTIFS(L_Year,$D$4,L_Month,"&gt;="&amp;$H$4,L_Month,"&lt;="&amp;$I$4,L_Type,$B64,L_Act,"تم تحرير مخالفة"))</f>
        <v/>
      </c>
      <c r="H64" s="46">
        <f>IF($B64="","",COUNTIFS(L_Year,$D$4,L_Month,"&gt;="&amp;$H$4,L_Month,"&lt;="&amp;$I$4,L_Type,$B64,L_Act,"مشاهدة فقط"))</f>
        <v/>
      </c>
      <c r="I64" s="54">
        <f>IF(OR($B64="",SUM($F$59:$F$68)=0),"",F64/SUM($F$59:$F$68))</f>
        <v/>
      </c>
    </row>
    <row r="65">
      <c r="B65" s="51">
        <f>IF(INDEX('الإعدادات'!$L$12:$L$26,7)="","",INDEX('الإعدادات'!$L$12:$L$26,7))</f>
        <v/>
      </c>
      <c r="C65" s="44" t="n"/>
      <c r="D65" s="44" t="n"/>
      <c r="E65" s="44" t="n"/>
      <c r="F65" s="44">
        <f>IF($B65="","",COUNTIFS(L_Year,$D$4,L_Month,"&gt;="&amp;$H$4,L_Month,"&lt;="&amp;$I$4,L_Type,$B65))</f>
        <v/>
      </c>
      <c r="G65" s="44">
        <f>IF($B65="","",COUNTIFS(L_Year,$D$4,L_Month,"&gt;="&amp;$H$4,L_Month,"&lt;="&amp;$I$4,L_Type,$B65,L_Act,"تم تحرير مخالفة"))</f>
        <v/>
      </c>
      <c r="H65" s="44">
        <f>IF($B65="","",COUNTIFS(L_Year,$D$4,L_Month,"&gt;="&amp;$H$4,L_Month,"&lt;="&amp;$I$4,L_Type,$B65,L_Act,"مشاهدة فقط"))</f>
        <v/>
      </c>
      <c r="I65" s="52">
        <f>IF(OR($B65="",SUM($F$59:$F$68)=0),"",F65/SUM($F$59:$F$68))</f>
        <v/>
      </c>
    </row>
    <row r="66">
      <c r="B66" s="53">
        <f>IF(INDEX('الإعدادات'!$L$12:$L$26,8)="","",INDEX('الإعدادات'!$L$12:$L$26,8))</f>
        <v/>
      </c>
      <c r="C66" s="46" t="n"/>
      <c r="D66" s="46" t="n"/>
      <c r="E66" s="46" t="n"/>
      <c r="F66" s="46">
        <f>IF($B66="","",COUNTIFS(L_Year,$D$4,L_Month,"&gt;="&amp;$H$4,L_Month,"&lt;="&amp;$I$4,L_Type,$B66))</f>
        <v/>
      </c>
      <c r="G66" s="46">
        <f>IF($B66="","",COUNTIFS(L_Year,$D$4,L_Month,"&gt;="&amp;$H$4,L_Month,"&lt;="&amp;$I$4,L_Type,$B66,L_Act,"تم تحرير مخالفة"))</f>
        <v/>
      </c>
      <c r="H66" s="46">
        <f>IF($B66="","",COUNTIFS(L_Year,$D$4,L_Month,"&gt;="&amp;$H$4,L_Month,"&lt;="&amp;$I$4,L_Type,$B66,L_Act,"مشاهدة فقط"))</f>
        <v/>
      </c>
      <c r="I66" s="54">
        <f>IF(OR($B66="",SUM($F$59:$F$68)=0),"",F66/SUM($F$59:$F$68))</f>
        <v/>
      </c>
    </row>
    <row r="67">
      <c r="B67" s="51">
        <f>IF(INDEX('الإعدادات'!$L$12:$L$26,9)="","",INDEX('الإعدادات'!$L$12:$L$26,9))</f>
        <v/>
      </c>
      <c r="C67" s="44" t="n"/>
      <c r="D67" s="44" t="n"/>
      <c r="E67" s="44" t="n"/>
      <c r="F67" s="44">
        <f>IF($B67="","",COUNTIFS(L_Year,$D$4,L_Month,"&gt;="&amp;$H$4,L_Month,"&lt;="&amp;$I$4,L_Type,$B67))</f>
        <v/>
      </c>
      <c r="G67" s="44">
        <f>IF($B67="","",COUNTIFS(L_Year,$D$4,L_Month,"&gt;="&amp;$H$4,L_Month,"&lt;="&amp;$I$4,L_Type,$B67,L_Act,"تم تحرير مخالفة"))</f>
        <v/>
      </c>
      <c r="H67" s="44">
        <f>IF($B67="","",COUNTIFS(L_Year,$D$4,L_Month,"&gt;="&amp;$H$4,L_Month,"&lt;="&amp;$I$4,L_Type,$B67,L_Act,"مشاهدة فقط"))</f>
        <v/>
      </c>
      <c r="I67" s="52">
        <f>IF(OR($B67="",SUM($F$59:$F$68)=0),"",F67/SUM($F$59:$F$68))</f>
        <v/>
      </c>
    </row>
    <row r="68">
      <c r="B68" s="53">
        <f>IF(INDEX('الإعدادات'!$L$12:$L$26,10)="","",INDEX('الإعدادات'!$L$12:$L$26,10))</f>
        <v/>
      </c>
      <c r="C68" s="46" t="n"/>
      <c r="D68" s="46" t="n"/>
      <c r="E68" s="46" t="n"/>
      <c r="F68" s="46">
        <f>IF($B68="","",COUNTIFS(L_Year,$D$4,L_Month,"&gt;="&amp;$H$4,L_Month,"&lt;="&amp;$I$4,L_Type,$B68))</f>
        <v/>
      </c>
      <c r="G68" s="46">
        <f>IF($B68="","",COUNTIFS(L_Year,$D$4,L_Month,"&gt;="&amp;$H$4,L_Month,"&lt;="&amp;$I$4,L_Type,$B68,L_Act,"تم تحرير مخالفة"))</f>
        <v/>
      </c>
      <c r="H68" s="46">
        <f>IF($B68="","",COUNTIFS(L_Year,$D$4,L_Month,"&gt;="&amp;$H$4,L_Month,"&lt;="&amp;$I$4,L_Type,$B68,L_Act,"مشاهدة فقط"))</f>
        <v/>
      </c>
      <c r="I68" s="54">
        <f>IF(OR($B68="",SUM($F$59:$F$68)=0),"",F68/SUM($F$59:$F$68))</f>
        <v/>
      </c>
    </row>
    <row r="86">
      <c r="B86" s="42" t="inlineStr">
        <is>
          <t>ملاحظات وتوصيات المفتش</t>
        </is>
      </c>
      <c r="C86" s="42" t="n"/>
      <c r="D86" s="42" t="n"/>
      <c r="E86" s="42" t="n"/>
      <c r="F86" s="42" t="n"/>
      <c r="G86" s="42" t="n"/>
      <c r="H86" s="42" t="n"/>
      <c r="I86" s="42" t="n"/>
    </row>
    <row r="87">
      <c r="B87" s="58" t="n"/>
      <c r="C87" s="6" t="n"/>
      <c r="D87" s="6" t="n"/>
      <c r="E87" s="6" t="n"/>
      <c r="F87" s="6" t="n"/>
      <c r="G87" s="6" t="n"/>
      <c r="H87" s="6" t="n"/>
      <c r="I87" s="6" t="n"/>
    </row>
    <row r="88">
      <c r="B88" s="6" t="n"/>
      <c r="C88" s="6" t="n"/>
      <c r="D88" s="6" t="n"/>
      <c r="E88" s="6" t="n"/>
      <c r="F88" s="6" t="n"/>
      <c r="G88" s="6" t="n"/>
      <c r="H88" s="6" t="n"/>
      <c r="I88" s="6" t="n"/>
    </row>
    <row r="89">
      <c r="B89" s="6" t="n"/>
      <c r="C89" s="6" t="n"/>
      <c r="D89" s="6" t="n"/>
      <c r="E89" s="6" t="n"/>
      <c r="F89" s="6" t="n"/>
      <c r="G89" s="6" t="n"/>
      <c r="H89" s="6" t="n"/>
      <c r="I89" s="6" t="n"/>
    </row>
    <row r="90">
      <c r="B90" s="6" t="n"/>
      <c r="C90" s="6" t="n"/>
      <c r="D90" s="6" t="n"/>
      <c r="E90" s="6" t="n"/>
      <c r="F90" s="6" t="n"/>
      <c r="G90" s="6" t="n"/>
      <c r="H90" s="6" t="n"/>
      <c r="I90" s="6" t="n"/>
    </row>
    <row r="91">
      <c r="B91" s="6" t="n"/>
      <c r="C91" s="6" t="n"/>
      <c r="D91" s="6" t="n"/>
      <c r="E91" s="6" t="n"/>
      <c r="F91" s="6" t="n"/>
      <c r="G91" s="6" t="n"/>
      <c r="H91" s="6" t="n"/>
      <c r="I91" s="6" t="n"/>
    </row>
    <row r="93" ht="30" customHeight="1">
      <c r="B93" s="27">
        <f>"المفتش: "&amp;InspectorName</f>
        <v/>
      </c>
      <c r="F93" s="27" t="inlineStr">
        <is>
          <t>التوقيع: ............................</t>
        </is>
      </c>
    </row>
    <row r="94">
      <c r="B94" s="27">
        <f>"تاريخ الإعداد: "&amp;TEXT(TODAY(),"yyyy/mm/dd")</f>
        <v/>
      </c>
    </row>
  </sheetData>
  <mergeCells count="61">
    <mergeCell ref="F93:I93"/>
    <mergeCell ref="B47:C47"/>
    <mergeCell ref="B16:C16"/>
    <mergeCell ref="B54:C54"/>
    <mergeCell ref="B65:E65"/>
    <mergeCell ref="D9"/>
    <mergeCell ref="B25:C25"/>
    <mergeCell ref="D8"/>
    <mergeCell ref="B68:E68"/>
    <mergeCell ref="B46:C46"/>
    <mergeCell ref="B64:E64"/>
    <mergeCell ref="B22:C22"/>
    <mergeCell ref="B18:C18"/>
    <mergeCell ref="D5:G5"/>
    <mergeCell ref="H9:I9"/>
    <mergeCell ref="B12:C12"/>
    <mergeCell ref="B43:I43"/>
    <mergeCell ref="B63:E63"/>
    <mergeCell ref="B52:C52"/>
    <mergeCell ref="B21:C21"/>
    <mergeCell ref="B48:C48"/>
    <mergeCell ref="B86:I86"/>
    <mergeCell ref="B94:E94"/>
    <mergeCell ref="B11:I11"/>
    <mergeCell ref="B2:I2"/>
    <mergeCell ref="B62:E62"/>
    <mergeCell ref="B23:C23"/>
    <mergeCell ref="B14:C14"/>
    <mergeCell ref="B59:E59"/>
    <mergeCell ref="B17:C17"/>
    <mergeCell ref="B8:C8"/>
    <mergeCell ref="B1:I1"/>
    <mergeCell ref="B53:C53"/>
    <mergeCell ref="B57:I57"/>
    <mergeCell ref="B66:E66"/>
    <mergeCell ref="F8:G8"/>
    <mergeCell ref="B13:C13"/>
    <mergeCell ref="B93:E93"/>
    <mergeCell ref="E8"/>
    <mergeCell ref="B44:C44"/>
    <mergeCell ref="B58:E58"/>
    <mergeCell ref="B19:C19"/>
    <mergeCell ref="B9:C9"/>
    <mergeCell ref="B49:C49"/>
    <mergeCell ref="F9:G9"/>
    <mergeCell ref="B60:E60"/>
    <mergeCell ref="B67:E67"/>
    <mergeCell ref="E9"/>
    <mergeCell ref="B6:C6"/>
    <mergeCell ref="B24:C24"/>
    <mergeCell ref="B55:C55"/>
    <mergeCell ref="B61:E61"/>
    <mergeCell ref="B15:C15"/>
    <mergeCell ref="B87:I91"/>
    <mergeCell ref="B5:C5"/>
    <mergeCell ref="B20:C20"/>
    <mergeCell ref="B51:C51"/>
    <mergeCell ref="B45:C45"/>
    <mergeCell ref="B50:C50"/>
    <mergeCell ref="H8:I8"/>
    <mergeCell ref="B4:C4"/>
  </mergeCells>
  <dataValidations count="1">
    <dataValidation sqref="F4" showDropDown="0" showInputMessage="0" showErrorMessage="0" allowBlank="0" type="list">
      <formula1>=PeriodList</formula1>
    </dataValidation>
  </dataValidations>
  <printOptions horizontalCentered="1"/>
  <pageMargins left="0.4" right="0.4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showGridLines="0" rightToLeft="1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" customWidth="1" min="11" max="11"/>
    <col width="28" customWidth="1" min="12" max="12"/>
    <col width="3" customWidth="1" min="13" max="13"/>
    <col width="18" customWidth="1" min="14" max="14"/>
    <col width="3" customWidth="1" min="15" max="15"/>
    <col width="12" customWidth="1" min="16" max="16"/>
    <col width="3" customWidth="1" min="17" max="17"/>
    <col width="16" customWidth="1" min="18" max="18"/>
    <col width="9" customWidth="1" min="19" max="19"/>
    <col width="9" customWidth="1" min="20" max="20"/>
    <col width="3" customWidth="1" min="21" max="21"/>
    <col width="11" customWidth="1" min="22" max="22"/>
    <col width="50" customWidth="1" min="23" max="23"/>
  </cols>
  <sheetData>
    <row r="1">
      <c r="A1" s="10" t="inlineStr">
        <is>
          <t>الإعدادات والقوائم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3">
      <c r="A3" s="63" t="inlineStr">
        <is>
          <t>اسم المفتش</t>
        </is>
      </c>
      <c r="B3" s="64" t="inlineStr">
        <is>
          <t>جاسم الحمادي</t>
        </is>
      </c>
      <c r="C3" s="50" t="n"/>
    </row>
    <row r="4">
      <c r="A4" s="63" t="inlineStr">
        <is>
          <t>الجهة</t>
        </is>
      </c>
      <c r="B4" s="64" t="inlineStr">
        <is>
          <t>هيئة البيئة</t>
        </is>
      </c>
      <c r="C4" s="50" t="n"/>
    </row>
    <row r="5">
      <c r="A5" s="63" t="inlineStr">
        <is>
          <t>القطاع</t>
        </is>
      </c>
      <c r="B5" s="64" t="inlineStr">
        <is>
          <t>منطقة الظفرة</t>
        </is>
      </c>
      <c r="C5" s="50" t="n"/>
    </row>
    <row r="6">
      <c r="A6" s="63" t="inlineStr">
        <is>
          <t>فولدر الصور (بجانب الملف)</t>
        </is>
      </c>
      <c r="B6" s="64" t="inlineStr">
        <is>
          <t>الصور</t>
        </is>
      </c>
      <c r="C6" s="50" t="n"/>
    </row>
    <row r="9">
      <c r="A9" s="42" t="inlineStr">
        <is>
          <t>المواقع حسب المنطقة — لإضافة موقع جديد اكتبه في أول خانة فاضية تحت منطقته، ولإضافة منطقة جديدة اكتب اسمها في خانة عنوان فاضية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</row>
    <row r="10">
      <c r="A10" s="65" t="inlineStr">
        <is>
          <t>الخانات الصفراء فاضية وجاهزة للإضافة</t>
        </is>
      </c>
    </row>
    <row r="11">
      <c r="A11" s="14" t="inlineStr">
        <is>
          <t>ليوا</t>
        </is>
      </c>
      <c r="B11" s="14" t="inlineStr">
        <is>
          <t>حبشان</t>
        </is>
      </c>
      <c r="C11" s="14" t="inlineStr">
        <is>
          <t>الرويس</t>
        </is>
      </c>
      <c r="D11" s="14" t="inlineStr">
        <is>
          <t>المرفأ</t>
        </is>
      </c>
      <c r="E11" s="14" t="inlineStr">
        <is>
          <t>غياثي</t>
        </is>
      </c>
      <c r="F11" s="14" t="inlineStr">
        <is>
          <t>السلع</t>
        </is>
      </c>
      <c r="G11" s="14" t="inlineStr">
        <is>
          <t>بدع زايد</t>
        </is>
      </c>
      <c r="H11" s="14" t="n"/>
      <c r="I11" s="14" t="n"/>
      <c r="J11" s="14" t="n"/>
      <c r="L11" s="14" t="inlineStr">
        <is>
          <t>أنواع المشاهدات</t>
        </is>
      </c>
      <c r="N11" s="14" t="inlineStr">
        <is>
          <t>الإجراء</t>
        </is>
      </c>
      <c r="P11" s="14" t="inlineStr">
        <is>
          <t>الأشهر</t>
        </is>
      </c>
      <c r="R11" s="14" t="inlineStr">
        <is>
          <t>الفترة</t>
        </is>
      </c>
      <c r="S11" s="14" t="inlineStr">
        <is>
          <t>من شهر</t>
        </is>
      </c>
      <c r="T11" s="14" t="inlineStr">
        <is>
          <t>إلى شهر</t>
        </is>
      </c>
      <c r="V11" s="66" t="inlineStr">
        <is>
          <t>اليوم</t>
        </is>
      </c>
      <c r="W11" s="66" t="inlineStr">
        <is>
          <t>المناطق المعتادة</t>
        </is>
      </c>
    </row>
    <row r="12">
      <c r="A12" s="67" t="inlineStr">
        <is>
          <t>الثروانية</t>
        </is>
      </c>
      <c r="B12" s="67" t="inlineStr">
        <is>
          <t>حبشان الشرقية</t>
        </is>
      </c>
      <c r="C12" s="67" t="inlineStr">
        <is>
          <t>الرويس</t>
        </is>
      </c>
      <c r="D12" s="67" t="inlineStr">
        <is>
          <t>المرفأ</t>
        </is>
      </c>
      <c r="E12" s="67" t="inlineStr">
        <is>
          <t>غياثي</t>
        </is>
      </c>
      <c r="F12" s="67" t="inlineStr">
        <is>
          <t>السلع</t>
        </is>
      </c>
      <c r="G12" s="67" t="inlineStr">
        <is>
          <t>بدع زايد</t>
        </is>
      </c>
      <c r="H12" s="68" t="n"/>
      <c r="I12" s="68" t="n"/>
      <c r="J12" s="68" t="n"/>
      <c r="L12" s="67" t="inlineStr">
        <is>
          <t>حرق مخلفات</t>
        </is>
      </c>
      <c r="N12" s="67" t="inlineStr">
        <is>
          <t>تم تحرير مخالفة</t>
        </is>
      </c>
      <c r="P12" s="67" t="inlineStr">
        <is>
          <t>يناير</t>
        </is>
      </c>
      <c r="R12" s="20" t="inlineStr">
        <is>
          <t>الربع الأول</t>
        </is>
      </c>
      <c r="S12" s="20" t="n">
        <v>1</v>
      </c>
      <c r="T12" s="20" t="n">
        <v>3</v>
      </c>
      <c r="V12" s="18" t="inlineStr">
        <is>
          <t>الاثنين</t>
        </is>
      </c>
      <c r="W12" s="18" t="inlineStr">
        <is>
          <t>ليوا (محضر أو محضرين) / المرفأ / الرويس / غياثي / السلع</t>
        </is>
      </c>
    </row>
    <row r="13">
      <c r="A13" s="67" t="inlineStr">
        <is>
          <t>الجبانة</t>
        </is>
      </c>
      <c r="B13" s="67" t="inlineStr">
        <is>
          <t>حبشان الغربية</t>
        </is>
      </c>
      <c r="C13" s="68" t="n"/>
      <c r="D13" s="67" t="inlineStr">
        <is>
          <t>الطريف</t>
        </is>
      </c>
      <c r="E13" s="68" t="n"/>
      <c r="F13" s="68" t="n"/>
      <c r="G13" s="68" t="n"/>
      <c r="H13" s="68" t="n"/>
      <c r="I13" s="68" t="n"/>
      <c r="J13" s="68" t="n"/>
      <c r="L13" s="67" t="inlineStr">
        <is>
          <t>تحميل مياه جوفية في صهاريج</t>
        </is>
      </c>
      <c r="N13" s="67" t="inlineStr">
        <is>
          <t>مشاهدة فقط</t>
        </is>
      </c>
      <c r="P13" s="67" t="inlineStr">
        <is>
          <t>فبراير</t>
        </is>
      </c>
      <c r="R13" s="20" t="inlineStr">
        <is>
          <t>الربع الثاني</t>
        </is>
      </c>
      <c r="S13" s="20" t="n">
        <v>4</v>
      </c>
      <c r="T13" s="20" t="n">
        <v>6</v>
      </c>
      <c r="V13" s="18" t="inlineStr">
        <is>
          <t>الثلاثاء</t>
        </is>
      </c>
      <c r="W13" s="18" t="inlineStr">
        <is>
          <t>حبشان (شرق أو غرب)</t>
        </is>
      </c>
    </row>
    <row r="14">
      <c r="A14" s="67" t="inlineStr">
        <is>
          <t>مزيرعة</t>
        </is>
      </c>
      <c r="B14" s="68" t="n"/>
      <c r="C14" s="68" t="n"/>
      <c r="D14" s="68" t="n"/>
      <c r="E14" s="68" t="n"/>
      <c r="F14" s="68" t="n"/>
      <c r="G14" s="68" t="n"/>
      <c r="H14" s="68" t="n"/>
      <c r="I14" s="68" t="n"/>
      <c r="J14" s="68" t="n"/>
      <c r="L14" s="67" t="inlineStr">
        <is>
          <t>تصريف / كب صرف صحي</t>
        </is>
      </c>
      <c r="N14" s="67" t="inlineStr">
        <is>
          <t>لا يوجد</t>
        </is>
      </c>
      <c r="P14" s="67" t="inlineStr">
        <is>
          <t>مارس</t>
        </is>
      </c>
      <c r="R14" s="20" t="inlineStr">
        <is>
          <t>النصف الأول</t>
        </is>
      </c>
      <c r="S14" s="20" t="n">
        <v>1</v>
      </c>
      <c r="T14" s="20" t="n">
        <v>6</v>
      </c>
      <c r="V14" s="18" t="inlineStr">
        <is>
          <t>الأربعاء</t>
        </is>
      </c>
      <c r="W14" s="18" t="inlineStr">
        <is>
          <t>ليوا (محضر أو محضرين) / المرفأ / الرويس / غياثي / السلع</t>
        </is>
      </c>
    </row>
    <row r="15">
      <c r="A15" s="67" t="inlineStr">
        <is>
          <t>حميم</t>
        </is>
      </c>
      <c r="B15" s="68" t="n"/>
      <c r="C15" s="68" t="n"/>
      <c r="D15" s="68" t="n"/>
      <c r="E15" s="68" t="n"/>
      <c r="F15" s="68" t="n"/>
      <c r="G15" s="68" t="n"/>
      <c r="H15" s="68" t="n"/>
      <c r="I15" s="68" t="n"/>
      <c r="J15" s="68" t="n"/>
      <c r="L15" s="67" t="inlineStr">
        <is>
          <t>رمي نفايات عامة</t>
        </is>
      </c>
      <c r="P15" s="67" t="inlineStr">
        <is>
          <t>أبريل</t>
        </is>
      </c>
      <c r="R15" s="20" t="inlineStr">
        <is>
          <t>الربع الثالث</t>
        </is>
      </c>
      <c r="S15" s="20" t="n">
        <v>7</v>
      </c>
      <c r="T15" s="20" t="n">
        <v>9</v>
      </c>
      <c r="V15" s="18" t="inlineStr">
        <is>
          <t>الخميس</t>
        </is>
      </c>
      <c r="W15" s="18" t="inlineStr">
        <is>
          <t>حبشان (شرق أو غرب)</t>
        </is>
      </c>
    </row>
    <row r="16">
      <c r="A16" s="67" t="inlineStr">
        <is>
          <t>بوعوانة</t>
        </is>
      </c>
      <c r="B16" s="68" t="n"/>
      <c r="C16" s="68" t="n"/>
      <c r="D16" s="68" t="n"/>
      <c r="E16" s="68" t="n"/>
      <c r="F16" s="68" t="n"/>
      <c r="G16" s="68" t="n"/>
      <c r="H16" s="68" t="n"/>
      <c r="I16" s="68" t="n"/>
      <c r="J16" s="68" t="n"/>
      <c r="L16" s="67" t="inlineStr">
        <is>
          <t>تسرب زيوت أو مواد كيميائية</t>
        </is>
      </c>
      <c r="P16" s="67" t="inlineStr">
        <is>
          <t>مايو</t>
        </is>
      </c>
      <c r="R16" s="20" t="inlineStr">
        <is>
          <t>الربع الرابع</t>
        </is>
      </c>
      <c r="S16" s="20" t="n">
        <v>10</v>
      </c>
      <c r="T16" s="20" t="n">
        <v>12</v>
      </c>
      <c r="V16" s="18" t="inlineStr">
        <is>
          <t>الجمعة</t>
        </is>
      </c>
      <c r="W16" s="18" t="inlineStr">
        <is>
          <t>بدع زايد (نصف دوام)</t>
        </is>
      </c>
    </row>
    <row r="17">
      <c r="A17" s="67" t="inlineStr">
        <is>
          <t>اليارية</t>
        </is>
      </c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L17" s="67" t="inlineStr">
        <is>
          <t>حفر آبار غير مصرح</t>
        </is>
      </c>
      <c r="P17" s="67" t="inlineStr">
        <is>
          <t>يونيو</t>
        </is>
      </c>
      <c r="R17" s="20" t="inlineStr">
        <is>
          <t>النصف الثاني</t>
        </is>
      </c>
      <c r="S17" s="20" t="n">
        <v>7</v>
      </c>
      <c r="T17" s="20" t="n">
        <v>12</v>
      </c>
    </row>
    <row r="18">
      <c r="A18" s="67" t="inlineStr">
        <is>
          <t>موقب</t>
        </is>
      </c>
      <c r="B18" s="68" t="n"/>
      <c r="C18" s="68" t="n"/>
      <c r="D18" s="68" t="n"/>
      <c r="E18" s="68" t="n"/>
      <c r="F18" s="68" t="n"/>
      <c r="G18" s="68" t="n"/>
      <c r="H18" s="68" t="n"/>
      <c r="I18" s="68" t="n"/>
      <c r="J18" s="68" t="n"/>
      <c r="L18" s="67" t="inlineStr">
        <is>
          <t>لا توجد مشاهدات</t>
        </is>
      </c>
      <c r="P18" s="67" t="inlineStr">
        <is>
          <t>يوليو</t>
        </is>
      </c>
      <c r="R18" s="20" t="inlineStr">
        <is>
          <t>التقرير السنوي</t>
        </is>
      </c>
      <c r="S18" s="20" t="n">
        <v>1</v>
      </c>
      <c r="T18" s="20" t="n">
        <v>12</v>
      </c>
    </row>
    <row r="19">
      <c r="A19" s="67" t="inlineStr">
        <is>
          <t>الخيس</t>
        </is>
      </c>
      <c r="B19" s="68" t="n"/>
      <c r="C19" s="68" t="n"/>
      <c r="D19" s="68" t="n"/>
      <c r="E19" s="68" t="n"/>
      <c r="F19" s="68" t="n"/>
      <c r="G19" s="68" t="n"/>
      <c r="H19" s="68" t="n"/>
      <c r="I19" s="68" t="n"/>
      <c r="J19" s="68" t="n"/>
      <c r="L19" s="68" t="n"/>
      <c r="P19" s="67" t="inlineStr">
        <is>
          <t>أغسطس</t>
        </is>
      </c>
    </row>
    <row r="20">
      <c r="A20" s="67" t="inlineStr">
        <is>
          <t>نشاش</t>
        </is>
      </c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  <c r="L20" s="68" t="n"/>
      <c r="P20" s="67" t="inlineStr">
        <is>
          <t>سبتمبر</t>
        </is>
      </c>
    </row>
    <row r="21">
      <c r="A21" s="67" t="inlineStr">
        <is>
          <t>وذين</t>
        </is>
      </c>
      <c r="B21" s="68" t="n"/>
      <c r="C21" s="68" t="n"/>
      <c r="D21" s="68" t="n"/>
      <c r="E21" s="68" t="n"/>
      <c r="F21" s="68" t="n"/>
      <c r="G21" s="68" t="n"/>
      <c r="H21" s="68" t="n"/>
      <c r="I21" s="68" t="n"/>
      <c r="J21" s="68" t="n"/>
      <c r="L21" s="68" t="n"/>
      <c r="P21" s="67" t="inlineStr">
        <is>
          <t>أكتوبر</t>
        </is>
      </c>
    </row>
    <row r="22">
      <c r="A22" s="67" t="inlineStr">
        <is>
          <t>اليبانة</t>
        </is>
      </c>
      <c r="B22" s="68" t="n"/>
      <c r="C22" s="68" t="n"/>
      <c r="D22" s="68" t="n"/>
      <c r="E22" s="68" t="n"/>
      <c r="F22" s="68" t="n"/>
      <c r="G22" s="68" t="n"/>
      <c r="H22" s="68" t="n"/>
      <c r="I22" s="68" t="n"/>
      <c r="J22" s="68" t="n"/>
      <c r="L22" s="68" t="n"/>
      <c r="P22" s="67" t="inlineStr">
        <is>
          <t>نوفمبر</t>
        </is>
      </c>
    </row>
    <row r="23">
      <c r="A23" s="67" t="inlineStr">
        <is>
          <t>يرّة</t>
        </is>
      </c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L23" s="68" t="n"/>
      <c r="P23" s="67" t="inlineStr">
        <is>
          <t>ديسمبر</t>
        </is>
      </c>
    </row>
    <row r="24">
      <c r="A24" s="67" t="inlineStr">
        <is>
          <t>موصل</t>
        </is>
      </c>
      <c r="B24" s="68" t="n"/>
      <c r="C24" s="68" t="n"/>
      <c r="D24" s="68" t="n"/>
      <c r="E24" s="68" t="n"/>
      <c r="F24" s="68" t="n"/>
      <c r="G24" s="68" t="n"/>
      <c r="H24" s="68" t="n"/>
      <c r="I24" s="68" t="n"/>
      <c r="J24" s="68" t="n"/>
      <c r="L24" s="68" t="n"/>
    </row>
    <row r="25">
      <c r="A25" s="67" t="inlineStr">
        <is>
          <t>قرمدة</t>
        </is>
      </c>
      <c r="B25" s="68" t="n"/>
      <c r="C25" s="68" t="n"/>
      <c r="D25" s="68" t="n"/>
      <c r="E25" s="68" t="n"/>
      <c r="F25" s="68" t="n"/>
      <c r="G25" s="68" t="n"/>
      <c r="H25" s="68" t="n"/>
      <c r="I25" s="68" t="n"/>
      <c r="J25" s="68" t="n"/>
      <c r="L25" s="68" t="n"/>
    </row>
    <row r="26">
      <c r="A26" s="67" t="inlineStr">
        <is>
          <t>نفير</t>
        </is>
      </c>
      <c r="B26" s="68" t="n"/>
      <c r="C26" s="68" t="n"/>
      <c r="D26" s="68" t="n"/>
      <c r="E26" s="68" t="n"/>
      <c r="F26" s="68" t="n"/>
      <c r="G26" s="68" t="n"/>
      <c r="H26" s="68" t="n"/>
      <c r="I26" s="68" t="n"/>
      <c r="J26" s="68" t="n"/>
      <c r="L26" s="68" t="n"/>
    </row>
    <row r="27">
      <c r="A27" s="67" t="inlineStr">
        <is>
          <t>الرايقة</t>
        </is>
      </c>
      <c r="B27" s="68" t="n"/>
      <c r="C27" s="68" t="n"/>
      <c r="D27" s="68" t="n"/>
      <c r="E27" s="68" t="n"/>
      <c r="F27" s="68" t="n"/>
      <c r="G27" s="68" t="n"/>
      <c r="H27" s="68" t="n"/>
      <c r="I27" s="68" t="n"/>
      <c r="J27" s="68" t="n"/>
    </row>
    <row r="28">
      <c r="A28" s="67" t="inlineStr">
        <is>
          <t>المارية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  <c r="J28" s="68" t="n"/>
    </row>
    <row r="29">
      <c r="A29" s="67" t="inlineStr">
        <is>
          <t>المارية الغربية</t>
        </is>
      </c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</row>
    <row r="30">
      <c r="A30" s="67" t="inlineStr">
        <is>
          <t>عتاب</t>
        </is>
      </c>
      <c r="B30" s="68" t="n"/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A31" s="67" t="inlineStr">
        <is>
          <t>خنّور</t>
        </is>
      </c>
      <c r="B31" s="68" t="n"/>
      <c r="C31" s="68" t="n"/>
      <c r="D31" s="68" t="n"/>
      <c r="E31" s="68" t="n"/>
      <c r="F31" s="68" t="n"/>
      <c r="G31" s="68" t="n"/>
      <c r="H31" s="68" t="n"/>
      <c r="I31" s="68" t="n"/>
      <c r="J31" s="68" t="n"/>
    </row>
    <row r="32">
      <c r="A32" s="67" t="inlineStr">
        <is>
          <t>الحميضي</t>
        </is>
      </c>
      <c r="B32" s="68" t="n"/>
      <c r="C32" s="68" t="n"/>
      <c r="D32" s="68" t="n"/>
      <c r="E32" s="68" t="n"/>
      <c r="F32" s="68" t="n"/>
      <c r="G32" s="68" t="n"/>
      <c r="H32" s="68" t="n"/>
      <c r="I32" s="68" t="n"/>
      <c r="J32" s="68" t="n"/>
    </row>
    <row r="33">
      <c r="A33" s="67" t="inlineStr">
        <is>
          <t>الصبخة</t>
        </is>
      </c>
      <c r="B33" s="68" t="n"/>
      <c r="C33" s="68" t="n"/>
      <c r="D33" s="68" t="n"/>
      <c r="E33" s="68" t="n"/>
      <c r="F33" s="68" t="n"/>
      <c r="G33" s="68" t="n"/>
      <c r="H33" s="68" t="n"/>
      <c r="I33" s="68" t="n"/>
      <c r="J33" s="68" t="n"/>
    </row>
    <row r="34">
      <c r="A34" s="67" t="inlineStr">
        <is>
          <t>حفيف</t>
        </is>
      </c>
      <c r="B34" s="68" t="n"/>
      <c r="C34" s="68" t="n"/>
      <c r="D34" s="68" t="n"/>
      <c r="E34" s="68" t="n"/>
      <c r="F34" s="68" t="n"/>
      <c r="G34" s="68" t="n"/>
      <c r="H34" s="68" t="n"/>
      <c r="I34" s="68" t="n"/>
      <c r="J34" s="68" t="n"/>
    </row>
    <row r="35">
      <c r="A35" s="67" t="inlineStr">
        <is>
          <t>قطوف</t>
        </is>
      </c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</row>
    <row r="36">
      <c r="A36" s="67" t="inlineStr">
        <is>
          <t>الهيلة</t>
        </is>
      </c>
      <c r="B36" s="68" t="n"/>
      <c r="C36" s="68" t="n"/>
      <c r="D36" s="68" t="n"/>
      <c r="E36" s="68" t="n"/>
      <c r="F36" s="68" t="n"/>
      <c r="G36" s="68" t="n"/>
      <c r="H36" s="68" t="n"/>
      <c r="I36" s="68" t="n"/>
      <c r="J36" s="68" t="n"/>
    </row>
    <row r="37">
      <c r="A37" s="67" t="inlineStr">
        <is>
          <t>عرادة</t>
        </is>
      </c>
      <c r="B37" s="68" t="n"/>
      <c r="C37" s="68" t="n"/>
      <c r="D37" s="68" t="n"/>
      <c r="E37" s="68" t="n"/>
      <c r="F37" s="68" t="n"/>
      <c r="G37" s="68" t="n"/>
      <c r="H37" s="68" t="n"/>
      <c r="I37" s="68" t="n"/>
      <c r="J37" s="68" t="n"/>
    </row>
    <row r="38">
      <c r="A38" s="67" t="inlineStr">
        <is>
          <t>ملقطة</t>
        </is>
      </c>
      <c r="B38" s="68" t="n"/>
      <c r="C38" s="68" t="n"/>
      <c r="D38" s="68" t="n"/>
      <c r="E38" s="68" t="n"/>
      <c r="F38" s="68" t="n"/>
      <c r="G38" s="68" t="n"/>
      <c r="H38" s="68" t="n"/>
      <c r="I38" s="68" t="n"/>
      <c r="J38" s="68" t="n"/>
    </row>
    <row r="39">
      <c r="A39" s="67" t="inlineStr">
        <is>
          <t>العيد</t>
        </is>
      </c>
      <c r="B39" s="68" t="n"/>
      <c r="C39" s="68" t="n"/>
      <c r="D39" s="68" t="n"/>
      <c r="E39" s="68" t="n"/>
      <c r="F39" s="68" t="n"/>
      <c r="G39" s="68" t="n"/>
      <c r="H39" s="68" t="n"/>
      <c r="I39" s="68" t="n"/>
      <c r="J39" s="68" t="n"/>
    </row>
    <row r="40">
      <c r="A40" s="67" t="inlineStr">
        <is>
          <t>أم القرين</t>
        </is>
      </c>
      <c r="B40" s="68" t="n"/>
      <c r="C40" s="68" t="n"/>
      <c r="D40" s="68" t="n"/>
      <c r="E40" s="68" t="n"/>
      <c r="F40" s="68" t="n"/>
      <c r="G40" s="68" t="n"/>
      <c r="H40" s="68" t="n"/>
      <c r="I40" s="68" t="n"/>
      <c r="J40" s="68" t="n"/>
    </row>
    <row r="41">
      <c r="A41" s="67" t="inlineStr">
        <is>
          <t>العاطر</t>
        </is>
      </c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</row>
    <row r="42">
      <c r="A42" s="67" t="inlineStr">
        <is>
          <t>الهذي</t>
        </is>
      </c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</row>
    <row r="43">
      <c r="A43" s="67" t="inlineStr">
        <is>
          <t>المشرب</t>
        </is>
      </c>
      <c r="B43" s="68" t="n"/>
      <c r="C43" s="68" t="n"/>
      <c r="D43" s="68" t="n"/>
      <c r="E43" s="68" t="n"/>
      <c r="F43" s="68" t="n"/>
      <c r="G43" s="68" t="n"/>
      <c r="H43" s="68" t="n"/>
      <c r="I43" s="68" t="n"/>
      <c r="J43" s="68" t="n"/>
    </row>
    <row r="44">
      <c r="A44" s="67" t="inlineStr">
        <is>
          <t>مهدر بن عصيان</t>
        </is>
      </c>
      <c r="B44" s="68" t="n"/>
      <c r="C44" s="68" t="n"/>
      <c r="D44" s="68" t="n"/>
      <c r="E44" s="68" t="n"/>
      <c r="F44" s="68" t="n"/>
      <c r="G44" s="68" t="n"/>
      <c r="H44" s="68" t="n"/>
      <c r="I44" s="68" t="n"/>
      <c r="J44" s="68" t="n"/>
    </row>
    <row r="45">
      <c r="A45" s="68" t="n"/>
      <c r="B45" s="68" t="n"/>
      <c r="C45" s="68" t="n"/>
      <c r="D45" s="68" t="n"/>
      <c r="E45" s="68" t="n"/>
      <c r="F45" s="68" t="n"/>
      <c r="G45" s="68" t="n"/>
      <c r="H45" s="68" t="n"/>
      <c r="I45" s="68" t="n"/>
      <c r="J45" s="68" t="n"/>
    </row>
    <row r="46">
      <c r="A46" s="68" t="n"/>
      <c r="B46" s="68" t="n"/>
      <c r="C46" s="68" t="n"/>
      <c r="D46" s="68" t="n"/>
      <c r="E46" s="68" t="n"/>
      <c r="F46" s="68" t="n"/>
      <c r="G46" s="68" t="n"/>
      <c r="H46" s="68" t="n"/>
      <c r="I46" s="68" t="n"/>
      <c r="J46" s="68" t="n"/>
    </row>
    <row r="47">
      <c r="A47" s="68" t="n"/>
      <c r="B47" s="68" t="n"/>
      <c r="C47" s="68" t="n"/>
      <c r="D47" s="68" t="n"/>
      <c r="E47" s="68" t="n"/>
      <c r="F47" s="68" t="n"/>
      <c r="G47" s="68" t="n"/>
      <c r="H47" s="68" t="n"/>
      <c r="I47" s="68" t="n"/>
      <c r="J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</row>
    <row r="49">
      <c r="A49" s="68" t="n"/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</row>
    <row r="50">
      <c r="A50" s="68" t="n"/>
      <c r="B50" s="68" t="n"/>
      <c r="C50" s="68" t="n"/>
      <c r="D50" s="68" t="n"/>
      <c r="E50" s="68" t="n"/>
      <c r="F50" s="68" t="n"/>
      <c r="G50" s="68" t="n"/>
      <c r="H50" s="68" t="n"/>
      <c r="I50" s="68" t="n"/>
      <c r="J50" s="68" t="n"/>
    </row>
    <row r="51">
      <c r="A51" s="68" t="n"/>
      <c r="B51" s="68" t="n"/>
      <c r="C51" s="68" t="n"/>
      <c r="D51" s="68" t="n"/>
      <c r="E51" s="68" t="n"/>
      <c r="F51" s="68" t="n"/>
      <c r="G51" s="68" t="n"/>
      <c r="H51" s="68" t="n"/>
      <c r="I51" s="68" t="n"/>
      <c r="J51" s="68" t="n"/>
    </row>
    <row r="52">
      <c r="A52" s="68" t="n"/>
      <c r="B52" s="68" t="n"/>
      <c r="C52" s="68" t="n"/>
      <c r="D52" s="68" t="n"/>
      <c r="E52" s="68" t="n"/>
      <c r="F52" s="68" t="n"/>
      <c r="G52" s="68" t="n"/>
      <c r="H52" s="68" t="n"/>
      <c r="I52" s="68" t="n"/>
      <c r="J52" s="68" t="n"/>
    </row>
    <row r="53">
      <c r="A53" s="68" t="n"/>
      <c r="B53" s="68" t="n"/>
      <c r="C53" s="68" t="n"/>
      <c r="D53" s="68" t="n"/>
      <c r="E53" s="68" t="n"/>
      <c r="F53" s="68" t="n"/>
      <c r="G53" s="68" t="n"/>
      <c r="H53" s="68" t="n"/>
      <c r="I53" s="68" t="n"/>
      <c r="J53" s="68" t="n"/>
    </row>
    <row r="54">
      <c r="A54" s="68" t="n"/>
      <c r="B54" s="68" t="n"/>
      <c r="C54" s="68" t="n"/>
      <c r="D54" s="68" t="n"/>
      <c r="E54" s="68" t="n"/>
      <c r="F54" s="68" t="n"/>
      <c r="G54" s="68" t="n"/>
      <c r="H54" s="68" t="n"/>
      <c r="I54" s="68" t="n"/>
      <c r="J54" s="68" t="n"/>
    </row>
    <row r="55">
      <c r="A55" s="68" t="n"/>
      <c r="B55" s="68" t="n"/>
      <c r="C55" s="68" t="n"/>
      <c r="D55" s="68" t="n"/>
      <c r="E55" s="68" t="n"/>
      <c r="F55" s="68" t="n"/>
      <c r="G55" s="68" t="n"/>
      <c r="H55" s="68" t="n"/>
      <c r="I55" s="68" t="n"/>
      <c r="J55" s="68" t="n"/>
    </row>
    <row r="56">
      <c r="A56" s="68" t="n"/>
      <c r="B56" s="68" t="n"/>
      <c r="C56" s="68" t="n"/>
      <c r="D56" s="68" t="n"/>
      <c r="E56" s="68" t="n"/>
      <c r="F56" s="68" t="n"/>
      <c r="G56" s="68" t="n"/>
      <c r="H56" s="68" t="n"/>
      <c r="I56" s="68" t="n"/>
      <c r="J56" s="68" t="n"/>
    </row>
    <row r="57">
      <c r="A57" s="68" t="n"/>
      <c r="B57" s="68" t="n"/>
      <c r="C57" s="68" t="n"/>
      <c r="D57" s="68" t="n"/>
      <c r="E57" s="68" t="n"/>
      <c r="F57" s="68" t="n"/>
      <c r="G57" s="68" t="n"/>
      <c r="H57" s="68" t="n"/>
      <c r="I57" s="68" t="n"/>
      <c r="J57" s="68" t="n"/>
    </row>
    <row r="58">
      <c r="A58" s="68" t="n"/>
      <c r="B58" s="68" t="n"/>
      <c r="C58" s="68" t="n"/>
      <c r="D58" s="68" t="n"/>
      <c r="E58" s="68" t="n"/>
      <c r="F58" s="68" t="n"/>
      <c r="G58" s="68" t="n"/>
      <c r="H58" s="68" t="n"/>
      <c r="I58" s="68" t="n"/>
      <c r="J58" s="68" t="n"/>
    </row>
    <row r="59">
      <c r="A59" s="68" t="n"/>
      <c r="B59" s="68" t="n"/>
      <c r="C59" s="68" t="n"/>
      <c r="D59" s="68" t="n"/>
      <c r="E59" s="68" t="n"/>
      <c r="F59" s="68" t="n"/>
      <c r="G59" s="68" t="n"/>
      <c r="H59" s="68" t="n"/>
      <c r="I59" s="68" t="n"/>
      <c r="J59" s="68" t="n"/>
    </row>
    <row r="60">
      <c r="A60" s="68" t="n"/>
      <c r="B60" s="68" t="n"/>
      <c r="C60" s="68" t="n"/>
      <c r="D60" s="68" t="n"/>
      <c r="E60" s="68" t="n"/>
      <c r="F60" s="68" t="n"/>
      <c r="G60" s="68" t="n"/>
      <c r="H60" s="68" t="n"/>
      <c r="I60" s="68" t="n"/>
      <c r="J60" s="68" t="n"/>
    </row>
    <row r="61">
      <c r="A61" s="68" t="n"/>
      <c r="B61" s="68" t="n"/>
      <c r="C61" s="68" t="n"/>
      <c r="D61" s="68" t="n"/>
      <c r="E61" s="68" t="n"/>
      <c r="F61" s="68" t="n"/>
      <c r="G61" s="68" t="n"/>
      <c r="H61" s="68" t="n"/>
      <c r="I61" s="68" t="n"/>
      <c r="J61" s="68" t="n"/>
    </row>
  </sheetData>
  <mergeCells count="6">
    <mergeCell ref="B6:C6"/>
    <mergeCell ref="A1:J1"/>
    <mergeCell ref="B3:C3"/>
    <mergeCell ref="B5:C5"/>
    <mergeCell ref="A9:J9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2026-10-29T14:53:32Z</dcterms:created>
  <dcterms:modified xmlns:dcterms="http://purl.org/dc/terms/" xmlns:xsi="http://www.w3.org/2001/XMLSchema-instance" xsi:type="dcterms:W3CDTF">2026-10-29T14:53:33Z</dcterms:modified>
</cp:coreProperties>
</file>